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KennenMcIntyre\Downloads\"/>
    </mc:Choice>
  </mc:AlternateContent>
  <xr:revisionPtr revIDLastSave="4" documentId="13_ncr:1_{83DE8C2B-E306-48BB-AF2F-A23318EE9CC5}" xr6:coauthVersionLast="47" xr6:coauthVersionMax="47" xr10:uidLastSave="{07EAAD45-F081-4B79-BFE9-F98EF969F52F}"/>
  <bookViews>
    <workbookView xWindow="-28920" yWindow="-120" windowWidth="29040" windowHeight="15720" tabRatio="586" activeTab="3" xr2:uid="{00000000-000D-0000-FFFF-FFFF00000000}"/>
  </bookViews>
  <sheets>
    <sheet name="RAW Truck List Data" sheetId="1" r:id="rId1"/>
    <sheet name="Helper Trucklist Page" sheetId="2" r:id="rId2"/>
    <sheet name="Copy This Data" sheetId="5" r:id="rId3"/>
    <sheet name="Paste Here ctrl+shift+v List" sheetId="4" r:id="rId4"/>
    <sheet name="Pallets Helper" sheetId="6" r:id="rId5"/>
    <sheet name="Pallets Needed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0" i="2" l="1" a="1"/>
  <c r="O2040" i="2" s="1"/>
  <c r="O2043" i="2" a="1"/>
  <c r="O2043" i="2" s="1"/>
  <c r="O20" i="2" a="1"/>
  <c r="O20" i="2" s="1"/>
  <c r="O21" i="2" a="1"/>
  <c r="O21" i="2" s="1"/>
  <c r="O22" i="2" a="1"/>
  <c r="O22" i="2" s="1"/>
  <c r="O23" i="2" a="1"/>
  <c r="O23" i="2"/>
  <c r="O24" i="2" a="1"/>
  <c r="O24" i="2" s="1"/>
  <c r="O25" i="2" a="1"/>
  <c r="O25" i="2"/>
  <c r="O26" i="2" a="1"/>
  <c r="O26" i="2" s="1"/>
  <c r="O27" i="2" a="1"/>
  <c r="O27" i="2" s="1"/>
  <c r="O28" i="2" a="1"/>
  <c r="O28" i="2" s="1"/>
  <c r="O29" i="2" a="1"/>
  <c r="O29" i="2"/>
  <c r="O30" i="2" a="1"/>
  <c r="O30" i="2"/>
  <c r="O31" i="2" a="1"/>
  <c r="O31" i="2"/>
  <c r="O32" i="2" a="1"/>
  <c r="O32" i="2" s="1"/>
  <c r="O33" i="2" a="1"/>
  <c r="O33" i="2" s="1"/>
  <c r="O34" i="2" a="1"/>
  <c r="O34" i="2" s="1"/>
  <c r="O35" i="2" a="1"/>
  <c r="O35" i="2"/>
  <c r="O36" i="2" a="1"/>
  <c r="O36" i="2" s="1"/>
  <c r="O37" i="2" a="1"/>
  <c r="O37" i="2" s="1"/>
  <c r="O38" i="2" a="1"/>
  <c r="O38" i="2" s="1"/>
  <c r="O39" i="2" a="1"/>
  <c r="O39" i="2" s="1"/>
  <c r="O40" i="2" a="1"/>
  <c r="O40" i="2" s="1"/>
  <c r="O41" i="2" a="1"/>
  <c r="O41" i="2"/>
  <c r="O42" i="2" a="1"/>
  <c r="O42" i="2" s="1"/>
  <c r="O43" i="2" a="1"/>
  <c r="O43" i="2"/>
  <c r="O44" i="2" a="1"/>
  <c r="O44" i="2" s="1"/>
  <c r="O45" i="2" a="1"/>
  <c r="O45" i="2" s="1"/>
  <c r="O46" i="2" a="1"/>
  <c r="O46" i="2" s="1"/>
  <c r="O47" i="2" a="1"/>
  <c r="O47" i="2"/>
  <c r="O48" i="2" a="1"/>
  <c r="O48" i="2" s="1"/>
  <c r="O49" i="2" a="1"/>
  <c r="O49" i="2"/>
  <c r="O50" i="2" a="1"/>
  <c r="O50" i="2" s="1"/>
  <c r="O51" i="2" a="1"/>
  <c r="O51" i="2" s="1"/>
  <c r="O52" i="2" a="1"/>
  <c r="O52" i="2" s="1"/>
  <c r="O53" i="2" a="1"/>
  <c r="O53" i="2"/>
  <c r="O54" i="2" a="1"/>
  <c r="O54" i="2"/>
  <c r="O55" i="2" a="1"/>
  <c r="O55" i="2"/>
  <c r="O56" i="2" a="1"/>
  <c r="O56" i="2" s="1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 s="1"/>
  <c r="O64" i="2" a="1"/>
  <c r="O64" i="2" s="1"/>
  <c r="O65" i="2" a="1"/>
  <c r="O65" i="2"/>
  <c r="O66" i="2" a="1"/>
  <c r="O66" i="2" s="1"/>
  <c r="O67" i="2" a="1"/>
  <c r="O67" i="2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/>
  <c r="O74" i="2" a="1"/>
  <c r="O74" i="2" s="1"/>
  <c r="O75" i="2" a="1"/>
  <c r="O75" i="2" s="1"/>
  <c r="O76" i="2" a="1"/>
  <c r="O76" i="2" s="1"/>
  <c r="O77" i="2" a="1"/>
  <c r="O77" i="2"/>
  <c r="O78" i="2" a="1"/>
  <c r="O78" i="2"/>
  <c r="O79" i="2" a="1"/>
  <c r="O79" i="2"/>
  <c r="O80" i="2" a="1"/>
  <c r="O80" i="2" s="1"/>
  <c r="O81" i="2" a="1"/>
  <c r="O81" i="2" s="1"/>
  <c r="O82" i="2" a="1"/>
  <c r="O82" i="2" s="1"/>
  <c r="O83" i="2" a="1"/>
  <c r="O83" i="2" s="1"/>
  <c r="O84" i="2" a="1"/>
  <c r="O84" i="2" s="1"/>
  <c r="O85" i="2" a="1"/>
  <c r="O85" i="2" s="1"/>
  <c r="O86" i="2" a="1"/>
  <c r="O86" i="2" s="1"/>
  <c r="O87" i="2" a="1"/>
  <c r="O87" i="2" s="1"/>
  <c r="O88" i="2" a="1"/>
  <c r="O88" i="2" s="1"/>
  <c r="O89" i="2" a="1"/>
  <c r="O89" i="2"/>
  <c r="O90" i="2" a="1"/>
  <c r="O90" i="2" s="1"/>
  <c r="O91" i="2" a="1"/>
  <c r="O91" i="2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/>
  <c r="O98" i="2" a="1"/>
  <c r="O98" i="2" s="1"/>
  <c r="O99" i="2" a="1"/>
  <c r="O99" i="2" s="1"/>
  <c r="O100" i="2" a="1"/>
  <c r="O100" i="2" s="1"/>
  <c r="O101" i="2" a="1"/>
  <c r="O101" i="2"/>
  <c r="O102" i="2" a="1"/>
  <c r="O102" i="2"/>
  <c r="O103" i="2" a="1"/>
  <c r="O103" i="2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/>
  <c r="O114" i="2" a="1"/>
  <c r="O114" i="2"/>
  <c r="O115" i="2" a="1"/>
  <c r="O115" i="2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/>
  <c r="O122" i="2" a="1"/>
  <c r="O122" i="2" s="1"/>
  <c r="O123" i="2" a="1"/>
  <c r="O123" i="2" s="1"/>
  <c r="O124" i="2" a="1"/>
  <c r="O124" i="2" s="1"/>
  <c r="O125" i="2" a="1"/>
  <c r="O125" i="2"/>
  <c r="O126" i="2" a="1"/>
  <c r="O126" i="2"/>
  <c r="O127" i="2" a="1"/>
  <c r="O127" i="2"/>
  <c r="O128" i="2" a="1"/>
  <c r="O128" i="2" s="1"/>
  <c r="O129" i="2" a="1"/>
  <c r="O129" i="2" s="1"/>
  <c r="O130" i="2" a="1"/>
  <c r="O130" i="2" s="1"/>
  <c r="O131" i="2" a="1"/>
  <c r="O131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/>
  <c r="O138" i="2" a="1"/>
  <c r="O138" i="2" s="1"/>
  <c r="O139" i="2" a="1"/>
  <c r="O139" i="2"/>
  <c r="O140" i="2" a="1"/>
  <c r="O140" i="2" s="1"/>
  <c r="O141" i="2" a="1"/>
  <c r="O141" i="2" s="1"/>
  <c r="O142" i="2" a="1"/>
  <c r="O142" i="2" s="1"/>
  <c r="O143" i="2" a="1"/>
  <c r="O143" i="2" s="1"/>
  <c r="O144" i="2" a="1"/>
  <c r="O144" i="2" s="1"/>
  <c r="O145" i="2" a="1"/>
  <c r="O145" i="2"/>
  <c r="O146" i="2" a="1"/>
  <c r="O146" i="2" s="1"/>
  <c r="O147" i="2" a="1"/>
  <c r="O147" i="2" s="1"/>
  <c r="O148" i="2" a="1"/>
  <c r="O148" i="2" s="1"/>
  <c r="O149" i="2" a="1"/>
  <c r="O149" i="2"/>
  <c r="O150" i="2" a="1"/>
  <c r="O150" i="2"/>
  <c r="O151" i="2" a="1"/>
  <c r="O151" i="2"/>
  <c r="O152" i="2" a="1"/>
  <c r="O152" i="2" s="1"/>
  <c r="O153" i="2" a="1"/>
  <c r="O153" i="2" s="1"/>
  <c r="O154" i="2" a="1"/>
  <c r="O154" i="2" s="1"/>
  <c r="O155" i="2" a="1"/>
  <c r="O155" i="2"/>
  <c r="O156" i="2" a="1"/>
  <c r="O156" i="2" s="1"/>
  <c r="O157" i="2" a="1"/>
  <c r="O157" i="2" s="1"/>
  <c r="O158" i="2" a="1"/>
  <c r="O158" i="2" s="1"/>
  <c r="O159" i="2" a="1"/>
  <c r="O159" i="2" s="1"/>
  <c r="O160" i="2" a="1"/>
  <c r="O160" i="2" s="1"/>
  <c r="O161" i="2" a="1"/>
  <c r="O161" i="2"/>
  <c r="O162" i="2" a="1"/>
  <c r="O162" i="2"/>
  <c r="O163" i="2" a="1"/>
  <c r="O163" i="2"/>
  <c r="O164" i="2" a="1"/>
  <c r="O164" i="2" s="1"/>
  <c r="O165" i="2" a="1"/>
  <c r="O165" i="2" s="1"/>
  <c r="O166" i="2" a="1"/>
  <c r="O166" i="2" s="1"/>
  <c r="O167" i="2" a="1"/>
  <c r="O167" i="2" s="1"/>
  <c r="O168" i="2" a="1"/>
  <c r="O168" i="2" s="1"/>
  <c r="O169" i="2" a="1"/>
  <c r="O169" i="2"/>
  <c r="O170" i="2" a="1"/>
  <c r="O170" i="2" s="1"/>
  <c r="O171" i="2" a="1"/>
  <c r="O171" i="2" s="1"/>
  <c r="O172" i="2" a="1"/>
  <c r="O172" i="2" s="1"/>
  <c r="O173" i="2" a="1"/>
  <c r="O173" i="2"/>
  <c r="O174" i="2" a="1"/>
  <c r="O174" i="2"/>
  <c r="O175" i="2" a="1"/>
  <c r="O175" i="2"/>
  <c r="O176" i="2" a="1"/>
  <c r="O176" i="2" s="1"/>
  <c r="O177" i="2" a="1"/>
  <c r="O177" i="2" s="1"/>
  <c r="O178" i="2" a="1"/>
  <c r="O178" i="2" s="1"/>
  <c r="O179" i="2" a="1"/>
  <c r="O179" i="2" s="1"/>
  <c r="O180" i="2" a="1"/>
  <c r="O180" i="2" s="1"/>
  <c r="O181" i="2" a="1"/>
  <c r="O181" i="2" s="1"/>
  <c r="O182" i="2" a="1"/>
  <c r="O182" i="2" s="1"/>
  <c r="O183" i="2" a="1"/>
  <c r="O183" i="2" s="1"/>
  <c r="O184" i="2" a="1"/>
  <c r="O184" i="2" s="1"/>
  <c r="O185" i="2" a="1"/>
  <c r="O185" i="2"/>
  <c r="O186" i="2" a="1"/>
  <c r="O186" i="2"/>
  <c r="O187" i="2" a="1"/>
  <c r="O187" i="2" s="1"/>
  <c r="O188" i="2" a="1"/>
  <c r="O188" i="2" s="1"/>
  <c r="O189" i="2" a="1"/>
  <c r="O189" i="2" s="1"/>
  <c r="O190" i="2" a="1"/>
  <c r="O190" i="2" s="1"/>
  <c r="O191" i="2" a="1"/>
  <c r="O191" i="2" s="1"/>
  <c r="O192" i="2" a="1"/>
  <c r="O192" i="2" s="1"/>
  <c r="O193" i="2" a="1"/>
  <c r="O193" i="2"/>
  <c r="O194" i="2" a="1"/>
  <c r="O194" i="2" s="1"/>
  <c r="O195" i="2" a="1"/>
  <c r="O195" i="2" s="1"/>
  <c r="O196" i="2" a="1"/>
  <c r="O196" i="2" s="1"/>
  <c r="O197" i="2" a="1"/>
  <c r="O197" i="2"/>
  <c r="O198" i="2" a="1"/>
  <c r="O198" i="2"/>
  <c r="O199" i="2" a="1"/>
  <c r="O199" i="2"/>
  <c r="O200" i="2" a="1"/>
  <c r="O200" i="2" s="1"/>
  <c r="O201" i="2" a="1"/>
  <c r="O201" i="2" s="1"/>
  <c r="O202" i="2" a="1"/>
  <c r="O202" i="2" s="1"/>
  <c r="O203" i="2" a="1"/>
  <c r="O203" i="2" s="1"/>
  <c r="O204" i="2" a="1"/>
  <c r="O204" i="2" s="1"/>
  <c r="O205" i="2" a="1"/>
  <c r="O205" i="2" s="1"/>
  <c r="O206" i="2" a="1"/>
  <c r="O206" i="2" s="1"/>
  <c r="O207" i="2" a="1"/>
  <c r="O207" i="2" s="1"/>
  <c r="O208" i="2" a="1"/>
  <c r="O208" i="2" s="1"/>
  <c r="O209" i="2" a="1"/>
  <c r="O209" i="2"/>
  <c r="O210" i="2" a="1"/>
  <c r="O210" i="2" s="1"/>
  <c r="O211" i="2" a="1"/>
  <c r="O211" i="2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/>
  <c r="O218" i="2" a="1"/>
  <c r="O218" i="2" s="1"/>
  <c r="O219" i="2" a="1"/>
  <c r="O219" i="2" s="1"/>
  <c r="O220" i="2" a="1"/>
  <c r="O220" i="2" s="1"/>
  <c r="O221" i="2" a="1"/>
  <c r="O221" i="2"/>
  <c r="O222" i="2" a="1"/>
  <c r="O222" i="2"/>
  <c r="O223" i="2" a="1"/>
  <c r="O223" i="2"/>
  <c r="O224" i="2" a="1"/>
  <c r="O224" i="2" s="1"/>
  <c r="O225" i="2" a="1"/>
  <c r="O225" i="2" s="1"/>
  <c r="O226" i="2" a="1"/>
  <c r="O226" i="2" s="1"/>
  <c r="O227" i="2" a="1"/>
  <c r="O227" i="2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/>
  <c r="O234" i="2" a="1"/>
  <c r="O234" i="2" s="1"/>
  <c r="O235" i="2" a="1"/>
  <c r="O235" i="2"/>
  <c r="O236" i="2" a="1"/>
  <c r="O236" i="2" s="1"/>
  <c r="O237" i="2" a="1"/>
  <c r="O237" i="2" s="1"/>
  <c r="O238" i="2" a="1"/>
  <c r="O238" i="2" s="1"/>
  <c r="O239" i="2" a="1"/>
  <c r="O239" i="2" s="1"/>
  <c r="O240" i="2" a="1"/>
  <c r="O240" i="2" s="1"/>
  <c r="O241" i="2" a="1"/>
  <c r="O241" i="2"/>
  <c r="O242" i="2" a="1"/>
  <c r="O242" i="2" s="1"/>
  <c r="O243" i="2" a="1"/>
  <c r="O243" i="2" s="1"/>
  <c r="O244" i="2" a="1"/>
  <c r="O244" i="2" s="1"/>
  <c r="O245" i="2" a="1"/>
  <c r="O245" i="2" s="1"/>
  <c r="O246" i="2" a="1"/>
  <c r="O246" i="2"/>
  <c r="O247" i="2" a="1"/>
  <c r="O247" i="2"/>
  <c r="O248" i="2" a="1"/>
  <c r="O248" i="2" s="1"/>
  <c r="O249" i="2" a="1"/>
  <c r="O249" i="2" s="1"/>
  <c r="O250" i="2" a="1"/>
  <c r="O250" i="2" s="1"/>
  <c r="O251" i="2" a="1"/>
  <c r="O251" i="2"/>
  <c r="O252" i="2" a="1"/>
  <c r="O252" i="2" s="1"/>
  <c r="O253" i="2" a="1"/>
  <c r="O253" i="2" s="1"/>
  <c r="O254" i="2" a="1"/>
  <c r="O254" i="2" s="1"/>
  <c r="O255" i="2" a="1"/>
  <c r="O255" i="2" s="1"/>
  <c r="O256" i="2" a="1"/>
  <c r="O256" i="2" s="1"/>
  <c r="O257" i="2" a="1"/>
  <c r="O257" i="2"/>
  <c r="O258" i="2" a="1"/>
  <c r="O258" i="2" s="1"/>
  <c r="O259" i="2" a="1"/>
  <c r="O259" i="2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65" i="2" a="1"/>
  <c r="O265" i="2"/>
  <c r="O266" i="2" a="1"/>
  <c r="O266" i="2" s="1"/>
  <c r="O267" i="2" a="1"/>
  <c r="O267" i="2" s="1"/>
  <c r="O268" i="2" a="1"/>
  <c r="O268" i="2" s="1"/>
  <c r="O269" i="2" a="1"/>
  <c r="O269" i="2" s="1"/>
  <c r="O270" i="2" a="1"/>
  <c r="O270" i="2"/>
  <c r="O271" i="2" a="1"/>
  <c r="O271" i="2"/>
  <c r="O272" i="2" a="1"/>
  <c r="O272" i="2" s="1"/>
  <c r="O273" i="2" a="1"/>
  <c r="O273" i="2" s="1"/>
  <c r="O274" i="2" a="1"/>
  <c r="O274" i="2" s="1"/>
  <c r="O275" i="2" a="1"/>
  <c r="O275" i="2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/>
  <c r="O282" i="2" a="1"/>
  <c r="O282" i="2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/>
  <c r="O290" i="2" a="1"/>
  <c r="O290" i="2" s="1"/>
  <c r="O291" i="2" a="1"/>
  <c r="O291" i="2" s="1"/>
  <c r="O292" i="2" a="1"/>
  <c r="O292" i="2" s="1"/>
  <c r="O293" i="2" a="1"/>
  <c r="O293" i="2" s="1"/>
  <c r="O294" i="2" a="1"/>
  <c r="O294" i="2"/>
  <c r="O295" i="2" a="1"/>
  <c r="O295" i="2"/>
  <c r="O296" i="2" a="1"/>
  <c r="O296" i="2" s="1"/>
  <c r="O297" i="2" a="1"/>
  <c r="O297" i="2" s="1"/>
  <c r="O298" i="2" a="1"/>
  <c r="O298" i="2" s="1"/>
  <c r="O299" i="2" a="1"/>
  <c r="O299" i="2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305" i="2" a="1"/>
  <c r="O305" i="2"/>
  <c r="O306" i="2" a="1"/>
  <c r="O306" i="2"/>
  <c r="O307" i="2" a="1"/>
  <c r="O307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/>
  <c r="O314" i="2" a="1"/>
  <c r="O314" i="2" s="1"/>
  <c r="O315" i="2" a="1"/>
  <c r="O315" i="2" s="1"/>
  <c r="O316" i="2" a="1"/>
  <c r="O316" i="2" s="1"/>
  <c r="O317" i="2" a="1"/>
  <c r="O317" i="2" s="1"/>
  <c r="O318" i="2" a="1"/>
  <c r="O318" i="2"/>
  <c r="O319" i="2" a="1"/>
  <c r="O319" i="2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/>
  <c r="O330" i="2" a="1"/>
  <c r="O330" i="2" s="1"/>
  <c r="O331" i="2" a="1"/>
  <c r="O331" i="2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/>
  <c r="O343" i="2" a="1"/>
  <c r="O343" i="2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/>
  <c r="O354" i="2" a="1"/>
  <c r="O354" i="2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/>
  <c r="O362" i="2" a="1"/>
  <c r="O362" i="2" s="1"/>
  <c r="O363" i="2" a="1"/>
  <c r="O363" i="2" s="1"/>
  <c r="O364" i="2" a="1"/>
  <c r="O364" i="2" s="1"/>
  <c r="O365" i="2" a="1"/>
  <c r="O365" i="2" s="1"/>
  <c r="O366" i="2" a="1"/>
  <c r="O366" i="2"/>
  <c r="O367" i="2" a="1"/>
  <c r="O367" i="2"/>
  <c r="O368" i="2" a="1"/>
  <c r="O368" i="2" s="1"/>
  <c r="O369" i="2" a="1"/>
  <c r="O369" i="2" s="1"/>
  <c r="O370" i="2" a="1"/>
  <c r="O370" i="2" s="1"/>
  <c r="O371" i="2" a="1"/>
  <c r="O371" i="2"/>
  <c r="O372" i="2" a="1"/>
  <c r="O372" i="2" s="1"/>
  <c r="O373" i="2" a="1"/>
  <c r="O373" i="2" s="1"/>
  <c r="O374" i="2" a="1"/>
  <c r="O374" i="2" s="1"/>
  <c r="O375" i="2" a="1"/>
  <c r="O375" i="2"/>
  <c r="O376" i="2" a="1"/>
  <c r="O376" i="2" s="1"/>
  <c r="O377" i="2" a="1"/>
  <c r="O377" i="2"/>
  <c r="O378" i="2" a="1"/>
  <c r="O378" i="2" s="1"/>
  <c r="O379" i="2" a="1"/>
  <c r="O379" i="2" s="1"/>
  <c r="O380" i="2" a="1"/>
  <c r="O380" i="2" s="1"/>
  <c r="O381" i="2" a="1"/>
  <c r="O381" i="2"/>
  <c r="O382" i="2" a="1"/>
  <c r="O382" i="2" s="1"/>
  <c r="O383" i="2" a="1"/>
  <c r="O383" i="2" s="1"/>
  <c r="O384" i="2" a="1"/>
  <c r="O384" i="2"/>
  <c r="O385" i="2" a="1"/>
  <c r="O385" i="2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/>
  <c r="O392" i="2" a="1"/>
  <c r="O392" i="2" s="1"/>
  <c r="O393" i="2" a="1"/>
  <c r="O393" i="2"/>
  <c r="O394" i="2" a="1"/>
  <c r="O394" i="2" s="1"/>
  <c r="O395" i="2" a="1"/>
  <c r="O395" i="2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/>
  <c r="O406" i="2" a="1"/>
  <c r="O406" i="2" s="1"/>
  <c r="O407" i="2" a="1"/>
  <c r="O407" i="2"/>
  <c r="O408" i="2" a="1"/>
  <c r="O408" i="2" s="1"/>
  <c r="O409" i="2" a="1"/>
  <c r="O409" i="2" s="1"/>
  <c r="O410" i="2" a="1"/>
  <c r="O410" i="2" s="1"/>
  <c r="O411" i="2" a="1"/>
  <c r="O411" i="2"/>
  <c r="O412" i="2" a="1"/>
  <c r="O412" i="2" s="1"/>
  <c r="O413" i="2" a="1"/>
  <c r="O413" i="2"/>
  <c r="O414" i="2" a="1"/>
  <c r="O414" i="2" s="1"/>
  <c r="O415" i="2" a="1"/>
  <c r="O415" i="2" s="1"/>
  <c r="O416" i="2" a="1"/>
  <c r="O416" i="2" s="1"/>
  <c r="O417" i="2" a="1"/>
  <c r="O417" i="2"/>
  <c r="O418" i="2" a="1"/>
  <c r="O418" i="2" s="1"/>
  <c r="O419" i="2" a="1"/>
  <c r="O419" i="2" s="1"/>
  <c r="O420" i="2" a="1"/>
  <c r="O420" i="2"/>
  <c r="O421" i="2" a="1"/>
  <c r="O421" i="2" s="1"/>
  <c r="O422" i="2" a="1"/>
  <c r="O422" i="2" s="1"/>
  <c r="O423" i="2" a="1"/>
  <c r="O423" i="2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/>
  <c r="O442" i="2" a="1"/>
  <c r="O442" i="2" s="1"/>
  <c r="O443" i="2" a="1"/>
  <c r="O443" i="2"/>
  <c r="O444" i="2" a="1"/>
  <c r="O444" i="2" s="1"/>
  <c r="O445" i="2" a="1"/>
  <c r="O445" i="2" s="1"/>
  <c r="O446" i="2" a="1"/>
  <c r="O446" i="2" s="1"/>
  <c r="O447" i="2" a="1"/>
  <c r="O447" i="2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/>
  <c r="O454" i="2" a="1"/>
  <c r="O454" i="2" s="1"/>
  <c r="O455" i="2" a="1"/>
  <c r="O455" i="2" s="1"/>
  <c r="O456" i="2" a="1"/>
  <c r="O456" i="2"/>
  <c r="O457" i="2" a="1"/>
  <c r="O457" i="2" s="1"/>
  <c r="O458" i="2" a="1"/>
  <c r="O458" i="2" s="1"/>
  <c r="O459" i="2" a="1"/>
  <c r="O459" i="2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/>
  <c r="O472" i="2" a="1"/>
  <c r="O472" i="2" s="1"/>
  <c r="O473" i="2" a="1"/>
  <c r="O473" i="2" s="1"/>
  <c r="O474" i="2" a="1"/>
  <c r="O474" i="2" s="1"/>
  <c r="O475" i="2" a="1"/>
  <c r="O475" i="2" s="1"/>
  <c r="O476" i="2" a="1"/>
  <c r="O476" i="2" s="1"/>
  <c r="O477" i="2" a="1"/>
  <c r="O477" i="2"/>
  <c r="O478" i="2" a="1"/>
  <c r="O478" i="2" s="1"/>
  <c r="O479" i="2" a="1"/>
  <c r="O479" i="2"/>
  <c r="O480" i="2" a="1"/>
  <c r="O480" i="2" s="1"/>
  <c r="O481" i="2" a="1"/>
  <c r="O481" i="2" s="1"/>
  <c r="O482" i="2" a="1"/>
  <c r="O482" i="2" s="1"/>
  <c r="O483" i="2" a="1"/>
  <c r="O483" i="2"/>
  <c r="O484" i="2" a="1"/>
  <c r="O484" i="2" s="1"/>
  <c r="O485" i="2" a="1"/>
  <c r="O485" i="2" s="1"/>
  <c r="O486" i="2" a="1"/>
  <c r="O486" i="2" s="1"/>
  <c r="O487" i="2" a="1"/>
  <c r="O487" i="2" s="1"/>
  <c r="O488" i="2" a="1"/>
  <c r="O488" i="2" s="1"/>
  <c r="O489" i="2" a="1"/>
  <c r="O489" i="2"/>
  <c r="O490" i="2" a="1"/>
  <c r="O490" i="2" s="1"/>
  <c r="O491" i="2" a="1"/>
  <c r="O491" i="2" s="1"/>
  <c r="O492" i="2" a="1"/>
  <c r="O492" i="2"/>
  <c r="O493" i="2" a="1"/>
  <c r="O493" i="2" s="1"/>
  <c r="O494" i="2" a="1"/>
  <c r="O494" i="2" s="1"/>
  <c r="O495" i="2" a="1"/>
  <c r="O495" i="2"/>
  <c r="O496" i="2" a="1"/>
  <c r="O496" i="2" s="1"/>
  <c r="O497" i="2" a="1"/>
  <c r="O497" i="2" s="1"/>
  <c r="O498" i="2" a="1"/>
  <c r="O498" i="2" s="1"/>
  <c r="O499" i="2" a="1"/>
  <c r="O499" i="2" s="1"/>
  <c r="O500" i="2" a="1"/>
  <c r="O500" i="2" s="1"/>
  <c r="O501" i="2" a="1"/>
  <c r="O501" i="2" s="1"/>
  <c r="O502" i="2" a="1"/>
  <c r="O502" i="2" s="1"/>
  <c r="O503" i="2" a="1"/>
  <c r="O503" i="2" s="1"/>
  <c r="O504" i="2" a="1"/>
  <c r="O504" i="2" s="1"/>
  <c r="O505" i="2" a="1"/>
  <c r="O505" i="2" s="1"/>
  <c r="O506" i="2" a="1"/>
  <c r="O506" i="2" s="1"/>
  <c r="O507" i="2" a="1"/>
  <c r="O507" i="2" s="1"/>
  <c r="O508" i="2" a="1"/>
  <c r="O508" i="2" s="1"/>
  <c r="O509" i="2" a="1"/>
  <c r="O509" i="2" s="1"/>
  <c r="O510" i="2" a="1"/>
  <c r="O510" i="2" s="1"/>
  <c r="O511" i="2" a="1"/>
  <c r="O511" i="2" s="1"/>
  <c r="O512" i="2" a="1"/>
  <c r="O512" i="2" s="1"/>
  <c r="O513" i="2" a="1"/>
  <c r="O513" i="2"/>
  <c r="O514" i="2" a="1"/>
  <c r="O514" i="2" s="1"/>
  <c r="O515" i="2" a="1"/>
  <c r="O515" i="2"/>
  <c r="O516" i="2" a="1"/>
  <c r="O516" i="2" s="1"/>
  <c r="O517" i="2" a="1"/>
  <c r="O517" i="2" s="1"/>
  <c r="O518" i="2" a="1"/>
  <c r="O518" i="2" s="1"/>
  <c r="O519" i="2" a="1"/>
  <c r="O519" i="2"/>
  <c r="O520" i="2" a="1"/>
  <c r="O520" i="2" s="1"/>
  <c r="O521" i="2" a="1"/>
  <c r="O521" i="2" s="1"/>
  <c r="O522" i="2" a="1"/>
  <c r="O522" i="2" s="1"/>
  <c r="O523" i="2" a="1"/>
  <c r="O523" i="2" s="1"/>
  <c r="O524" i="2" a="1"/>
  <c r="O524" i="2" s="1"/>
  <c r="O525" i="2" a="1"/>
  <c r="O525" i="2"/>
  <c r="O526" i="2" a="1"/>
  <c r="O526" i="2" s="1"/>
  <c r="O527" i="2" a="1"/>
  <c r="O527" i="2" s="1"/>
  <c r="O528" i="2" a="1"/>
  <c r="O528" i="2"/>
  <c r="O529" i="2" a="1"/>
  <c r="O529" i="2" s="1"/>
  <c r="O530" i="2" a="1"/>
  <c r="O530" i="2" s="1"/>
  <c r="O531" i="2" a="1"/>
  <c r="O531" i="2" s="1"/>
  <c r="O532" i="2" a="1"/>
  <c r="O532" i="2" s="1"/>
  <c r="O533" i="2" a="1"/>
  <c r="O533" i="2" s="1"/>
  <c r="O534" i="2" a="1"/>
  <c r="O534" i="2"/>
  <c r="O535" i="2" a="1"/>
  <c r="O535" i="2" s="1"/>
  <c r="O536" i="2" a="1"/>
  <c r="O536" i="2" s="1"/>
  <c r="O537" i="2" a="1"/>
  <c r="O537" i="2" s="1"/>
  <c r="O538" i="2" a="1"/>
  <c r="O538" i="2" s="1"/>
  <c r="O539" i="2" a="1"/>
  <c r="O539" i="2" s="1"/>
  <c r="O540" i="2" a="1"/>
  <c r="O540" i="2" s="1"/>
  <c r="O541" i="2" a="1"/>
  <c r="O541" i="2"/>
  <c r="O542" i="2" a="1"/>
  <c r="O542" i="2" s="1"/>
  <c r="O543" i="2" a="1"/>
  <c r="O543" i="2" s="1"/>
  <c r="O544" i="2" a="1"/>
  <c r="O544" i="2" s="1"/>
  <c r="O545" i="2" a="1"/>
  <c r="O545" i="2" s="1"/>
  <c r="O546" i="2" a="1"/>
  <c r="O546" i="2"/>
  <c r="O547" i="2" a="1"/>
  <c r="O547" i="2" s="1"/>
  <c r="O548" i="2" a="1"/>
  <c r="O548" i="2" s="1"/>
  <c r="O549" i="2" a="1"/>
  <c r="O549" i="2" s="1"/>
  <c r="O550" i="2" a="1"/>
  <c r="O550" i="2" s="1"/>
  <c r="O551" i="2" a="1"/>
  <c r="O551" i="2" s="1"/>
  <c r="O552" i="2" a="1"/>
  <c r="O552" i="2"/>
  <c r="O553" i="2" a="1"/>
  <c r="O553" i="2" s="1"/>
  <c r="O554" i="2" a="1"/>
  <c r="O554" i="2" s="1"/>
  <c r="O555" i="2" a="1"/>
  <c r="O555" i="2" s="1"/>
  <c r="O556" i="2" a="1"/>
  <c r="O556" i="2" s="1"/>
  <c r="O557" i="2" a="1"/>
  <c r="O557" i="2" s="1"/>
  <c r="O558" i="2" a="1"/>
  <c r="O558" i="2" s="1"/>
  <c r="O559" i="2" a="1"/>
  <c r="O559" i="2"/>
  <c r="O560" i="2" a="1"/>
  <c r="O560" i="2" s="1"/>
  <c r="O561" i="2" a="1"/>
  <c r="O561" i="2" s="1"/>
  <c r="O562" i="2" a="1"/>
  <c r="O562" i="2" s="1"/>
  <c r="O563" i="2" a="1"/>
  <c r="O563" i="2" s="1"/>
  <c r="O564" i="2" a="1"/>
  <c r="O564" i="2"/>
  <c r="O565" i="2" a="1"/>
  <c r="O565" i="2" s="1"/>
  <c r="O566" i="2" a="1"/>
  <c r="O566" i="2" s="1"/>
  <c r="O567" i="2" a="1"/>
  <c r="O567" i="2" s="1"/>
  <c r="O568" i="2" a="1"/>
  <c r="O568" i="2" s="1"/>
  <c r="O569" i="2" a="1"/>
  <c r="O569" i="2" s="1"/>
  <c r="O570" i="2" a="1"/>
  <c r="O570" i="2"/>
  <c r="O571" i="2" a="1"/>
  <c r="O571" i="2" s="1"/>
  <c r="O572" i="2" a="1"/>
  <c r="O572" i="2" s="1"/>
  <c r="O573" i="2" a="1"/>
  <c r="O573" i="2" s="1"/>
  <c r="O574" i="2" a="1"/>
  <c r="O574" i="2" s="1"/>
  <c r="O575" i="2" a="1"/>
  <c r="O575" i="2" s="1"/>
  <c r="O576" i="2" a="1"/>
  <c r="O576" i="2" s="1"/>
  <c r="O577" i="2" a="1"/>
  <c r="O577" i="2"/>
  <c r="O578" i="2" a="1"/>
  <c r="O578" i="2" s="1"/>
  <c r="O579" i="2" a="1"/>
  <c r="O579" i="2" s="1"/>
  <c r="O580" i="2" a="1"/>
  <c r="O580" i="2" s="1"/>
  <c r="O581" i="2" a="1"/>
  <c r="O581" i="2" s="1"/>
  <c r="O582" i="2" a="1"/>
  <c r="O582" i="2"/>
  <c r="O583" i="2" a="1"/>
  <c r="O583" i="2" s="1"/>
  <c r="O584" i="2" a="1"/>
  <c r="O584" i="2" s="1"/>
  <c r="O585" i="2" a="1"/>
  <c r="O585" i="2" s="1"/>
  <c r="O586" i="2" a="1"/>
  <c r="O586" i="2" s="1"/>
  <c r="O587" i="2" a="1"/>
  <c r="O587" i="2" s="1"/>
  <c r="O588" i="2" a="1"/>
  <c r="O588" i="2" s="1"/>
  <c r="O589" i="2" a="1"/>
  <c r="O589" i="2" s="1"/>
  <c r="O590" i="2" a="1"/>
  <c r="O590" i="2" s="1"/>
  <c r="O591" i="2" a="1"/>
  <c r="O591" i="2" s="1"/>
  <c r="O592" i="2" a="1"/>
  <c r="O592" i="2" s="1"/>
  <c r="O593" i="2" a="1"/>
  <c r="O593" i="2" s="1"/>
  <c r="O594" i="2" a="1"/>
  <c r="O594" i="2" s="1"/>
  <c r="O595" i="2" a="1"/>
  <c r="O595" i="2"/>
  <c r="O596" i="2" a="1"/>
  <c r="O596" i="2" s="1"/>
  <c r="O597" i="2" a="1"/>
  <c r="O597" i="2" s="1"/>
  <c r="O598" i="2" a="1"/>
  <c r="O598" i="2" s="1"/>
  <c r="O599" i="2" a="1"/>
  <c r="O599" i="2" s="1"/>
  <c r="O600" i="2" a="1"/>
  <c r="O600" i="2"/>
  <c r="O601" i="2" a="1"/>
  <c r="O601" i="2" s="1"/>
  <c r="O602" i="2" a="1"/>
  <c r="O602" i="2" s="1"/>
  <c r="O603" i="2" a="1"/>
  <c r="O603" i="2" s="1"/>
  <c r="O604" i="2" a="1"/>
  <c r="O604" i="2" s="1"/>
  <c r="O605" i="2" a="1"/>
  <c r="O605" i="2" s="1"/>
  <c r="O606" i="2" a="1"/>
  <c r="O606" i="2"/>
  <c r="O607" i="2" a="1"/>
  <c r="O607" i="2" s="1"/>
  <c r="O608" i="2" a="1"/>
  <c r="O608" i="2" s="1"/>
  <c r="O609" i="2" a="1"/>
  <c r="O609" i="2" s="1"/>
  <c r="O610" i="2" a="1"/>
  <c r="O610" i="2" s="1"/>
  <c r="O611" i="2" a="1"/>
  <c r="O611" i="2" s="1"/>
  <c r="O612" i="2" a="1"/>
  <c r="O612" i="2" s="1"/>
  <c r="O613" i="2" a="1"/>
  <c r="O613" i="2"/>
  <c r="O614" i="2" a="1"/>
  <c r="O614" i="2" s="1"/>
  <c r="O615" i="2" a="1"/>
  <c r="O615" i="2" s="1"/>
  <c r="O616" i="2" a="1"/>
  <c r="O616" i="2" s="1"/>
  <c r="O617" i="2" a="1"/>
  <c r="O617" i="2" s="1"/>
  <c r="O618" i="2" a="1"/>
  <c r="O618" i="2"/>
  <c r="O619" i="2" a="1"/>
  <c r="O619" i="2" s="1"/>
  <c r="O620" i="2" a="1"/>
  <c r="O620" i="2" s="1"/>
  <c r="O621" i="2" a="1"/>
  <c r="O621" i="2" s="1"/>
  <c r="O622" i="2" a="1"/>
  <c r="O622" i="2" s="1"/>
  <c r="O623" i="2" a="1"/>
  <c r="O623" i="2" s="1"/>
  <c r="O624" i="2" a="1"/>
  <c r="O624" i="2"/>
  <c r="O625" i="2" a="1"/>
  <c r="O625" i="2" s="1"/>
  <c r="O626" i="2" a="1"/>
  <c r="O626" i="2" s="1"/>
  <c r="O627" i="2" a="1"/>
  <c r="O627" i="2" s="1"/>
  <c r="O628" i="2" a="1"/>
  <c r="O628" i="2" s="1"/>
  <c r="O629" i="2" a="1"/>
  <c r="O629" i="2" s="1"/>
  <c r="O630" i="2" a="1"/>
  <c r="O630" i="2" s="1"/>
  <c r="O631" i="2" a="1"/>
  <c r="O631" i="2"/>
  <c r="O632" i="2" a="1"/>
  <c r="O632" i="2" s="1"/>
  <c r="O633" i="2" a="1"/>
  <c r="O633" i="2" s="1"/>
  <c r="O634" i="2" a="1"/>
  <c r="O634" i="2" s="1"/>
  <c r="O635" i="2" a="1"/>
  <c r="O635" i="2" s="1"/>
  <c r="O636" i="2" a="1"/>
  <c r="O636" i="2"/>
  <c r="O637" i="2" a="1"/>
  <c r="O637" i="2" s="1"/>
  <c r="O638" i="2" a="1"/>
  <c r="O638" i="2" s="1"/>
  <c r="O639" i="2" a="1"/>
  <c r="O639" i="2" s="1"/>
  <c r="O640" i="2" a="1"/>
  <c r="O640" i="2" s="1"/>
  <c r="O641" i="2" a="1"/>
  <c r="O641" i="2" s="1"/>
  <c r="O642" i="2" a="1"/>
  <c r="O642" i="2"/>
  <c r="O643" i="2" a="1"/>
  <c r="O643" i="2" s="1"/>
  <c r="O644" i="2" a="1"/>
  <c r="O644" i="2" s="1"/>
  <c r="O645" i="2" a="1"/>
  <c r="O645" i="2" s="1"/>
  <c r="O646" i="2" a="1"/>
  <c r="O646" i="2" s="1"/>
  <c r="O647" i="2" a="1"/>
  <c r="O647" i="2" s="1"/>
  <c r="O648" i="2" a="1"/>
  <c r="O648" i="2" s="1"/>
  <c r="O649" i="2" a="1"/>
  <c r="O649" i="2"/>
  <c r="O650" i="2" a="1"/>
  <c r="O650" i="2" s="1"/>
  <c r="O651" i="2" a="1"/>
  <c r="O651" i="2" s="1"/>
  <c r="O652" i="2" a="1"/>
  <c r="O652" i="2" s="1"/>
  <c r="O653" i="2" a="1"/>
  <c r="O653" i="2" s="1"/>
  <c r="O654" i="2" a="1"/>
  <c r="O654" i="2"/>
  <c r="O655" i="2" a="1"/>
  <c r="O655" i="2" s="1"/>
  <c r="O656" i="2" a="1"/>
  <c r="O656" i="2" s="1"/>
  <c r="O657" i="2" a="1"/>
  <c r="O657" i="2" s="1"/>
  <c r="O658" i="2" a="1"/>
  <c r="O658" i="2" s="1"/>
  <c r="O659" i="2" a="1"/>
  <c r="O659" i="2" s="1"/>
  <c r="O660" i="2" a="1"/>
  <c r="O660" i="2" s="1"/>
  <c r="O661" i="2" a="1"/>
  <c r="O661" i="2" s="1"/>
  <c r="O662" i="2" a="1"/>
  <c r="O662" i="2" s="1"/>
  <c r="O663" i="2" a="1"/>
  <c r="O663" i="2" s="1"/>
  <c r="O664" i="2" a="1"/>
  <c r="O664" i="2" s="1"/>
  <c r="O665" i="2" a="1"/>
  <c r="O665" i="2" s="1"/>
  <c r="O666" i="2" a="1"/>
  <c r="O666" i="2" s="1"/>
  <c r="O667" i="2" a="1"/>
  <c r="O667" i="2"/>
  <c r="O668" i="2" a="1"/>
  <c r="O668" i="2" s="1"/>
  <c r="O669" i="2" a="1"/>
  <c r="O669" i="2" s="1"/>
  <c r="O670" i="2" a="1"/>
  <c r="O670" i="2" s="1"/>
  <c r="O671" i="2" a="1"/>
  <c r="O671" i="2" s="1"/>
  <c r="O672" i="2" a="1"/>
  <c r="O672" i="2"/>
  <c r="O673" i="2" a="1"/>
  <c r="O673" i="2" s="1"/>
  <c r="O674" i="2" a="1"/>
  <c r="O674" i="2" s="1"/>
  <c r="O675" i="2" a="1"/>
  <c r="O675" i="2" s="1"/>
  <c r="O676" i="2" a="1"/>
  <c r="O676" i="2" s="1"/>
  <c r="O677" i="2" a="1"/>
  <c r="O677" i="2" s="1"/>
  <c r="O678" i="2" a="1"/>
  <c r="O678" i="2"/>
  <c r="O679" i="2" a="1"/>
  <c r="O679" i="2" s="1"/>
  <c r="O680" i="2" a="1"/>
  <c r="O680" i="2" s="1"/>
  <c r="O681" i="2" a="1"/>
  <c r="O681" i="2" s="1"/>
  <c r="O682" i="2" a="1"/>
  <c r="O682" i="2" s="1"/>
  <c r="O683" i="2" a="1"/>
  <c r="O683" i="2" s="1"/>
  <c r="O684" i="2" a="1"/>
  <c r="O684" i="2" s="1"/>
  <c r="O685" i="2" a="1"/>
  <c r="O685" i="2"/>
  <c r="O686" i="2" a="1"/>
  <c r="O686" i="2" s="1"/>
  <c r="O687" i="2" a="1"/>
  <c r="O687" i="2" s="1"/>
  <c r="O688" i="2" a="1"/>
  <c r="O688" i="2" s="1"/>
  <c r="O689" i="2" a="1"/>
  <c r="O689" i="2" s="1"/>
  <c r="O690" i="2" a="1"/>
  <c r="O690" i="2"/>
  <c r="O691" i="2" a="1"/>
  <c r="O691" i="2" s="1"/>
  <c r="O692" i="2" a="1"/>
  <c r="O692" i="2" s="1"/>
  <c r="O693" i="2" a="1"/>
  <c r="O693" i="2" s="1"/>
  <c r="O694" i="2" a="1"/>
  <c r="O694" i="2" s="1"/>
  <c r="O695" i="2" a="1"/>
  <c r="O695" i="2" s="1"/>
  <c r="O696" i="2" a="1"/>
  <c r="O696" i="2" s="1"/>
  <c r="O697" i="2" a="1"/>
  <c r="O697" i="2" s="1"/>
  <c r="O698" i="2" a="1"/>
  <c r="O698" i="2" s="1"/>
  <c r="O699" i="2" a="1"/>
  <c r="O699" i="2" s="1"/>
  <c r="O700" i="2" a="1"/>
  <c r="O700" i="2" s="1"/>
  <c r="O701" i="2" a="1"/>
  <c r="O701" i="2" s="1"/>
  <c r="O702" i="2" a="1"/>
  <c r="O702" i="2" s="1"/>
  <c r="O703" i="2" a="1"/>
  <c r="O703" i="2" s="1"/>
  <c r="O704" i="2" a="1"/>
  <c r="O704" i="2" s="1"/>
  <c r="O705" i="2" a="1"/>
  <c r="O705" i="2" s="1"/>
  <c r="O706" i="2" a="1"/>
  <c r="O706" i="2" s="1"/>
  <c r="O707" i="2" a="1"/>
  <c r="O707" i="2" s="1"/>
  <c r="O708" i="2" a="1"/>
  <c r="O708" i="2"/>
  <c r="O709" i="2" a="1"/>
  <c r="O709" i="2" s="1"/>
  <c r="O710" i="2" a="1"/>
  <c r="O710" i="2" s="1"/>
  <c r="O711" i="2" a="1"/>
  <c r="O711" i="2" s="1"/>
  <c r="O712" i="2" a="1"/>
  <c r="O712" i="2" s="1"/>
  <c r="O713" i="2" a="1"/>
  <c r="O713" i="2" s="1"/>
  <c r="O714" i="2" a="1"/>
  <c r="O714" i="2"/>
  <c r="O715" i="2" a="1"/>
  <c r="O715" i="2" s="1"/>
  <c r="O716" i="2" a="1"/>
  <c r="O716" i="2" s="1"/>
  <c r="O717" i="2" a="1"/>
  <c r="O717" i="2" s="1"/>
  <c r="O718" i="2" a="1"/>
  <c r="O718" i="2" s="1"/>
  <c r="O719" i="2" a="1"/>
  <c r="O719" i="2" s="1"/>
  <c r="O720" i="2" a="1"/>
  <c r="O720" i="2" s="1"/>
  <c r="O721" i="2" a="1"/>
  <c r="O721" i="2" s="1"/>
  <c r="O722" i="2" a="1"/>
  <c r="O722" i="2" s="1"/>
  <c r="O723" i="2" a="1"/>
  <c r="O723" i="2" s="1"/>
  <c r="O724" i="2" a="1"/>
  <c r="O724" i="2" s="1"/>
  <c r="O725" i="2" a="1"/>
  <c r="O725" i="2" s="1"/>
  <c r="O726" i="2" a="1"/>
  <c r="O726" i="2"/>
  <c r="O727" i="2" a="1"/>
  <c r="O727" i="2" s="1"/>
  <c r="O728" i="2" a="1"/>
  <c r="O728" i="2" s="1"/>
  <c r="O729" i="2" a="1"/>
  <c r="O729" i="2" s="1"/>
  <c r="O730" i="2" a="1"/>
  <c r="O730" i="2" s="1"/>
  <c r="O731" i="2" a="1"/>
  <c r="O731" i="2" s="1"/>
  <c r="O732" i="2" a="1"/>
  <c r="O732" i="2" s="1"/>
  <c r="O733" i="2" a="1"/>
  <c r="O733" i="2" s="1"/>
  <c r="O734" i="2" a="1"/>
  <c r="O734" i="2" s="1"/>
  <c r="O735" i="2" a="1"/>
  <c r="O735" i="2" s="1"/>
  <c r="O736" i="2" a="1"/>
  <c r="O736" i="2" s="1"/>
  <c r="O737" i="2" a="1"/>
  <c r="O737" i="2" s="1"/>
  <c r="O738" i="2" a="1"/>
  <c r="O738" i="2" s="1"/>
  <c r="O739" i="2" a="1"/>
  <c r="O739" i="2" s="1"/>
  <c r="O740" i="2" a="1"/>
  <c r="O740" i="2" s="1"/>
  <c r="O741" i="2" a="1"/>
  <c r="O741" i="2" s="1"/>
  <c r="O742" i="2" a="1"/>
  <c r="O742" i="2" s="1"/>
  <c r="O743" i="2" a="1"/>
  <c r="O743" i="2" s="1"/>
  <c r="O744" i="2" a="1"/>
  <c r="O744" i="2"/>
  <c r="O745" i="2" a="1"/>
  <c r="O745" i="2" s="1"/>
  <c r="O746" i="2" a="1"/>
  <c r="O746" i="2" s="1"/>
  <c r="O747" i="2" a="1"/>
  <c r="O747" i="2" s="1"/>
  <c r="O748" i="2" a="1"/>
  <c r="O748" i="2" s="1"/>
  <c r="O749" i="2" a="1"/>
  <c r="O749" i="2" s="1"/>
  <c r="O750" i="2" a="1"/>
  <c r="O750" i="2"/>
  <c r="O751" i="2" a="1"/>
  <c r="O751" i="2" s="1"/>
  <c r="O752" i="2" a="1"/>
  <c r="O752" i="2" s="1"/>
  <c r="O753" i="2" a="1"/>
  <c r="O753" i="2" s="1"/>
  <c r="O754" i="2" a="1"/>
  <c r="O754" i="2" s="1"/>
  <c r="O755" i="2" a="1"/>
  <c r="O755" i="2" s="1"/>
  <c r="O756" i="2" a="1"/>
  <c r="O756" i="2" s="1"/>
  <c r="O757" i="2" a="1"/>
  <c r="O757" i="2" s="1"/>
  <c r="O758" i="2" a="1"/>
  <c r="O758" i="2" s="1"/>
  <c r="O759" i="2" a="1"/>
  <c r="O759" i="2" s="1"/>
  <c r="O760" i="2" a="1"/>
  <c r="O760" i="2" s="1"/>
  <c r="O761" i="2" a="1"/>
  <c r="O761" i="2" s="1"/>
  <c r="O762" i="2" a="1"/>
  <c r="O762" i="2"/>
  <c r="O763" i="2" a="1"/>
  <c r="O763" i="2" s="1"/>
  <c r="O764" i="2" a="1"/>
  <c r="O764" i="2" s="1"/>
  <c r="O765" i="2" a="1"/>
  <c r="O765" i="2" s="1"/>
  <c r="O766" i="2" a="1"/>
  <c r="O766" i="2" s="1"/>
  <c r="O767" i="2" a="1"/>
  <c r="O767" i="2" s="1"/>
  <c r="O768" i="2" a="1"/>
  <c r="O768" i="2"/>
  <c r="O769" i="2" a="1"/>
  <c r="O769" i="2" s="1"/>
  <c r="O770" i="2" a="1"/>
  <c r="O770" i="2" s="1"/>
  <c r="O771" i="2" a="1"/>
  <c r="O771" i="2" s="1"/>
  <c r="O772" i="2" a="1"/>
  <c r="O772" i="2" s="1"/>
  <c r="O773" i="2" a="1"/>
  <c r="O773" i="2" s="1"/>
  <c r="O774" i="2" a="1"/>
  <c r="O774" i="2" s="1"/>
  <c r="O775" i="2" a="1"/>
  <c r="O775" i="2" s="1"/>
  <c r="O776" i="2" a="1"/>
  <c r="O776" i="2" s="1"/>
  <c r="O777" i="2" a="1"/>
  <c r="O777" i="2" s="1"/>
  <c r="O778" i="2" a="1"/>
  <c r="O778" i="2" s="1"/>
  <c r="O779" i="2" a="1"/>
  <c r="O779" i="2" s="1"/>
  <c r="O780" i="2" a="1"/>
  <c r="O780" i="2" s="1"/>
  <c r="O781" i="2" a="1"/>
  <c r="O781" i="2" s="1"/>
  <c r="O782" i="2" a="1"/>
  <c r="O782" i="2" s="1"/>
  <c r="O783" i="2" a="1"/>
  <c r="O783" i="2" s="1"/>
  <c r="O784" i="2" a="1"/>
  <c r="O784" i="2" s="1"/>
  <c r="O785" i="2" a="1"/>
  <c r="O785" i="2" s="1"/>
  <c r="O786" i="2" a="1"/>
  <c r="O786" i="2"/>
  <c r="O787" i="2" a="1"/>
  <c r="O787" i="2" s="1"/>
  <c r="O788" i="2" a="1"/>
  <c r="O788" i="2" s="1"/>
  <c r="O789" i="2" a="1"/>
  <c r="O789" i="2" s="1"/>
  <c r="O790" i="2" a="1"/>
  <c r="O790" i="2" s="1"/>
  <c r="O791" i="2" a="1"/>
  <c r="O791" i="2" s="1"/>
  <c r="O792" i="2" a="1"/>
  <c r="O792" i="2" s="1"/>
  <c r="O793" i="2" a="1"/>
  <c r="O793" i="2" s="1"/>
  <c r="O794" i="2" a="1"/>
  <c r="O794" i="2" s="1"/>
  <c r="O795" i="2" a="1"/>
  <c r="O795" i="2" s="1"/>
  <c r="O796" i="2" a="1"/>
  <c r="O796" i="2" s="1"/>
  <c r="O797" i="2" a="1"/>
  <c r="O797" i="2" s="1"/>
  <c r="O798" i="2" a="1"/>
  <c r="O798" i="2" s="1"/>
  <c r="O799" i="2" a="1"/>
  <c r="O799" i="2" s="1"/>
  <c r="O800" i="2" a="1"/>
  <c r="O800" i="2" s="1"/>
  <c r="O801" i="2" a="1"/>
  <c r="O801" i="2" s="1"/>
  <c r="O802" i="2" a="1"/>
  <c r="O802" i="2" s="1"/>
  <c r="O803" i="2" a="1"/>
  <c r="O803" i="2" s="1"/>
  <c r="O804" i="2" a="1"/>
  <c r="O804" i="2" s="1"/>
  <c r="O805" i="2" a="1"/>
  <c r="O805" i="2" s="1"/>
  <c r="O806" i="2" a="1"/>
  <c r="O806" i="2" s="1"/>
  <c r="O807" i="2" a="1"/>
  <c r="O807" i="2" s="1"/>
  <c r="O808" i="2" a="1"/>
  <c r="O808" i="2" s="1"/>
  <c r="O809" i="2" a="1"/>
  <c r="O809" i="2" s="1"/>
  <c r="O810" i="2" a="1"/>
  <c r="O810" i="2" s="1"/>
  <c r="O811" i="2" a="1"/>
  <c r="O811" i="2" s="1"/>
  <c r="O812" i="2" a="1"/>
  <c r="O812" i="2" s="1"/>
  <c r="O813" i="2" a="1"/>
  <c r="O813" i="2" s="1"/>
  <c r="O814" i="2" a="1"/>
  <c r="O814" i="2" s="1"/>
  <c r="O815" i="2" a="1"/>
  <c r="O815" i="2" s="1"/>
  <c r="O816" i="2" a="1"/>
  <c r="O816" i="2" s="1"/>
  <c r="O817" i="2" a="1"/>
  <c r="O817" i="2" s="1"/>
  <c r="O818" i="2" a="1"/>
  <c r="O818" i="2" s="1"/>
  <c r="O819" i="2" a="1"/>
  <c r="O819" i="2" s="1"/>
  <c r="O820" i="2" a="1"/>
  <c r="O820" i="2" s="1"/>
  <c r="O821" i="2" a="1"/>
  <c r="O821" i="2" s="1"/>
  <c r="O822" i="2" a="1"/>
  <c r="O822" i="2"/>
  <c r="O823" i="2" a="1"/>
  <c r="O823" i="2" s="1"/>
  <c r="O824" i="2" a="1"/>
  <c r="O824" i="2" s="1"/>
  <c r="O825" i="2" a="1"/>
  <c r="O825" i="2" s="1"/>
  <c r="O826" i="2" a="1"/>
  <c r="O826" i="2" s="1"/>
  <c r="O827" i="2" a="1"/>
  <c r="O827" i="2" s="1"/>
  <c r="O828" i="2" a="1"/>
  <c r="O828" i="2" s="1"/>
  <c r="O829" i="2" a="1"/>
  <c r="O829" i="2"/>
  <c r="O830" i="2" a="1"/>
  <c r="O830" i="2" s="1"/>
  <c r="O831" i="2" a="1"/>
  <c r="O831" i="2" s="1"/>
  <c r="O832" i="2" a="1"/>
  <c r="O832" i="2" s="1"/>
  <c r="O833" i="2" a="1"/>
  <c r="O833" i="2" s="1"/>
  <c r="O834" i="2" a="1"/>
  <c r="O834" i="2" s="1"/>
  <c r="O835" i="2" a="1"/>
  <c r="O835" i="2" s="1"/>
  <c r="O836" i="2" a="1"/>
  <c r="O836" i="2" s="1"/>
  <c r="O837" i="2" a="1"/>
  <c r="O837" i="2" s="1"/>
  <c r="O838" i="2" a="1"/>
  <c r="O838" i="2" s="1"/>
  <c r="O839" i="2" a="1"/>
  <c r="O839" i="2" s="1"/>
  <c r="O840" i="2" a="1"/>
  <c r="O840" i="2"/>
  <c r="O841" i="2" a="1"/>
  <c r="O841" i="2" s="1"/>
  <c r="O842" i="2" a="1"/>
  <c r="O842" i="2" s="1"/>
  <c r="O843" i="2" a="1"/>
  <c r="O843" i="2" s="1"/>
  <c r="O844" i="2" a="1"/>
  <c r="O844" i="2" s="1"/>
  <c r="O845" i="2" a="1"/>
  <c r="O845" i="2" s="1"/>
  <c r="O846" i="2" a="1"/>
  <c r="O846" i="2" s="1"/>
  <c r="O847" i="2" a="1"/>
  <c r="O847" i="2" s="1"/>
  <c r="O848" i="2" a="1"/>
  <c r="O848" i="2" s="1"/>
  <c r="O849" i="2" a="1"/>
  <c r="O849" i="2" s="1"/>
  <c r="O850" i="2" a="1"/>
  <c r="O850" i="2" s="1"/>
  <c r="O851" i="2" a="1"/>
  <c r="O851" i="2" s="1"/>
  <c r="O852" i="2" a="1"/>
  <c r="O852" i="2" s="1"/>
  <c r="O853" i="2" a="1"/>
  <c r="O853" i="2" s="1"/>
  <c r="O854" i="2" a="1"/>
  <c r="O854" i="2" s="1"/>
  <c r="O855" i="2" a="1"/>
  <c r="O855" i="2" s="1"/>
  <c r="O856" i="2" a="1"/>
  <c r="O856" i="2" s="1"/>
  <c r="O857" i="2" a="1"/>
  <c r="O857" i="2" s="1"/>
  <c r="O858" i="2" a="1"/>
  <c r="O858" i="2"/>
  <c r="O859" i="2" a="1"/>
  <c r="O859" i="2" s="1"/>
  <c r="O860" i="2" a="1"/>
  <c r="O860" i="2" s="1"/>
  <c r="O861" i="2" a="1"/>
  <c r="O861" i="2" s="1"/>
  <c r="O862" i="2" a="1"/>
  <c r="O862" i="2" s="1"/>
  <c r="O863" i="2" a="1"/>
  <c r="O863" i="2" s="1"/>
  <c r="O864" i="2" a="1"/>
  <c r="O864" i="2" s="1"/>
  <c r="O865" i="2" a="1"/>
  <c r="O865" i="2" s="1"/>
  <c r="O866" i="2" a="1"/>
  <c r="O866" i="2" s="1"/>
  <c r="O867" i="2" a="1"/>
  <c r="O867" i="2" s="1"/>
  <c r="O868" i="2" a="1"/>
  <c r="O868" i="2" s="1"/>
  <c r="O869" i="2" a="1"/>
  <c r="O869" i="2" s="1"/>
  <c r="O870" i="2" a="1"/>
  <c r="O870" i="2"/>
  <c r="O871" i="2" a="1"/>
  <c r="O871" i="2" s="1"/>
  <c r="O872" i="2" a="1"/>
  <c r="O872" i="2" s="1"/>
  <c r="O873" i="2" a="1"/>
  <c r="O873" i="2"/>
  <c r="O874" i="2" a="1"/>
  <c r="O874" i="2" s="1"/>
  <c r="O875" i="2" a="1"/>
  <c r="O875" i="2" s="1"/>
  <c r="O876" i="2" a="1"/>
  <c r="O876" i="2" s="1"/>
  <c r="O877" i="2" a="1"/>
  <c r="O877" i="2" s="1"/>
  <c r="O878" i="2" a="1"/>
  <c r="O878" i="2" s="1"/>
  <c r="O879" i="2" a="1"/>
  <c r="O879" i="2"/>
  <c r="O880" i="2" a="1"/>
  <c r="O880" i="2" s="1"/>
  <c r="O881" i="2" a="1"/>
  <c r="O881" i="2" s="1"/>
  <c r="O882" i="2" a="1"/>
  <c r="O882" i="2" s="1"/>
  <c r="O883" i="2" a="1"/>
  <c r="O883" i="2" s="1"/>
  <c r="O884" i="2" a="1"/>
  <c r="O884" i="2" s="1"/>
  <c r="O885" i="2" a="1"/>
  <c r="O885" i="2"/>
  <c r="O886" i="2" a="1"/>
  <c r="O886" i="2"/>
  <c r="O887" i="2" a="1"/>
  <c r="O887" i="2" s="1"/>
  <c r="O888" i="2" a="1"/>
  <c r="O888" i="2" s="1"/>
  <c r="O889" i="2" a="1"/>
  <c r="O889" i="2" s="1"/>
  <c r="O890" i="2" a="1"/>
  <c r="O890" i="2" s="1"/>
  <c r="O891" i="2" a="1"/>
  <c r="O891" i="2"/>
  <c r="O892" i="2" a="1"/>
  <c r="O892" i="2" s="1"/>
  <c r="O893" i="2" a="1"/>
  <c r="O893" i="2" s="1"/>
  <c r="O894" i="2" a="1"/>
  <c r="O894" i="2" s="1"/>
  <c r="O895" i="2" a="1"/>
  <c r="O895" i="2" s="1"/>
  <c r="O896" i="2" a="1"/>
  <c r="O896" i="2" s="1"/>
  <c r="O897" i="2" a="1"/>
  <c r="O897" i="2"/>
  <c r="O898" i="2" a="1"/>
  <c r="O898" i="2" s="1"/>
  <c r="O899" i="2" a="1"/>
  <c r="O899" i="2" s="1"/>
  <c r="O900" i="2" a="1"/>
  <c r="O900" i="2" s="1"/>
  <c r="O901" i="2" a="1"/>
  <c r="O901" i="2" s="1"/>
  <c r="O902" i="2" a="1"/>
  <c r="O902" i="2" s="1"/>
  <c r="O903" i="2" a="1"/>
  <c r="O903" i="2"/>
  <c r="O904" i="2" a="1"/>
  <c r="O904" i="2" s="1"/>
  <c r="O905" i="2" a="1"/>
  <c r="O905" i="2" s="1"/>
  <c r="O906" i="2" a="1"/>
  <c r="O906" i="2" s="1"/>
  <c r="O907" i="2" a="1"/>
  <c r="O907" i="2" s="1"/>
  <c r="O908" i="2" a="1"/>
  <c r="O908" i="2" s="1"/>
  <c r="O909" i="2" a="1"/>
  <c r="O909" i="2"/>
  <c r="O910" i="2" a="1"/>
  <c r="O910" i="2"/>
  <c r="O911" i="2" a="1"/>
  <c r="O911" i="2" s="1"/>
  <c r="O912" i="2" a="1"/>
  <c r="O912" i="2" s="1"/>
  <c r="O913" i="2" a="1"/>
  <c r="O913" i="2" s="1"/>
  <c r="O914" i="2" a="1"/>
  <c r="O914" i="2" s="1"/>
  <c r="O915" i="2" a="1"/>
  <c r="O915" i="2"/>
  <c r="O916" i="2" a="1"/>
  <c r="O916" i="2" s="1"/>
  <c r="O917" i="2" a="1"/>
  <c r="O917" i="2" s="1"/>
  <c r="O918" i="2" a="1"/>
  <c r="O918" i="2"/>
  <c r="O919" i="2" a="1"/>
  <c r="O919" i="2" s="1"/>
  <c r="O920" i="2" a="1"/>
  <c r="O920" i="2" s="1"/>
  <c r="O921" i="2" a="1"/>
  <c r="O921" i="2"/>
  <c r="O922" i="2" a="1"/>
  <c r="O922" i="2" s="1"/>
  <c r="O923" i="2" a="1"/>
  <c r="O923" i="2" s="1"/>
  <c r="O924" i="2" a="1"/>
  <c r="O924" i="2" s="1"/>
  <c r="O925" i="2" a="1"/>
  <c r="O925" i="2" s="1"/>
  <c r="O926" i="2" a="1"/>
  <c r="O926" i="2" s="1"/>
  <c r="O927" i="2" a="1"/>
  <c r="O927" i="2"/>
  <c r="O928" i="2" a="1"/>
  <c r="O928" i="2" s="1"/>
  <c r="O929" i="2" a="1"/>
  <c r="O929" i="2" s="1"/>
  <c r="O930" i="2" a="1"/>
  <c r="O930" i="2" s="1"/>
  <c r="O931" i="2" a="1"/>
  <c r="O931" i="2" s="1"/>
  <c r="O932" i="2" a="1"/>
  <c r="O932" i="2" s="1"/>
  <c r="O933" i="2" a="1"/>
  <c r="O933" i="2"/>
  <c r="O934" i="2" a="1"/>
  <c r="O934" i="2"/>
  <c r="O935" i="2" a="1"/>
  <c r="O935" i="2" s="1"/>
  <c r="O936" i="2" a="1"/>
  <c r="O936" i="2" s="1"/>
  <c r="O937" i="2" a="1"/>
  <c r="O937" i="2" s="1"/>
  <c r="O938" i="2" a="1"/>
  <c r="O938" i="2" s="1"/>
  <c r="O939" i="2" a="1"/>
  <c r="O939" i="2"/>
  <c r="O940" i="2" a="1"/>
  <c r="O940" i="2" s="1"/>
  <c r="O941" i="2" a="1"/>
  <c r="O941" i="2" s="1"/>
  <c r="O942" i="2" a="1"/>
  <c r="O942" i="2" s="1"/>
  <c r="O943" i="2" a="1"/>
  <c r="O943" i="2" s="1"/>
  <c r="O944" i="2" a="1"/>
  <c r="O944" i="2" s="1"/>
  <c r="O945" i="2" a="1"/>
  <c r="O945" i="2"/>
  <c r="O946" i="2" a="1"/>
  <c r="O946" i="2" s="1"/>
  <c r="O947" i="2" a="1"/>
  <c r="O947" i="2" s="1"/>
  <c r="O948" i="2" a="1"/>
  <c r="O948" i="2" s="1"/>
  <c r="O949" i="2" a="1"/>
  <c r="O949" i="2" s="1"/>
  <c r="O950" i="2" a="1"/>
  <c r="O950" i="2" s="1"/>
  <c r="O951" i="2" a="1"/>
  <c r="O951" i="2"/>
  <c r="O952" i="2" a="1"/>
  <c r="O952" i="2" s="1"/>
  <c r="O953" i="2" a="1"/>
  <c r="O953" i="2" s="1"/>
  <c r="O954" i="2" a="1"/>
  <c r="O954" i="2" s="1"/>
  <c r="O955" i="2" a="1"/>
  <c r="O955" i="2" s="1"/>
  <c r="O956" i="2" a="1"/>
  <c r="O956" i="2" s="1"/>
  <c r="O957" i="2" a="1"/>
  <c r="O957" i="2"/>
  <c r="O958" i="2" a="1"/>
  <c r="O958" i="2" s="1"/>
  <c r="O959" i="2" a="1"/>
  <c r="O959" i="2" s="1"/>
  <c r="O960" i="2" a="1"/>
  <c r="O960" i="2" s="1"/>
  <c r="O961" i="2" a="1"/>
  <c r="O961" i="2" s="1"/>
  <c r="O962" i="2" a="1"/>
  <c r="O962" i="2" s="1"/>
  <c r="O963" i="2" a="1"/>
  <c r="O963" i="2"/>
  <c r="O964" i="2" a="1"/>
  <c r="O964" i="2" s="1"/>
  <c r="O965" i="2" a="1"/>
  <c r="O965" i="2" s="1"/>
  <c r="O966" i="2" a="1"/>
  <c r="O966" i="2"/>
  <c r="O967" i="2" a="1"/>
  <c r="O967" i="2" s="1"/>
  <c r="O968" i="2" a="1"/>
  <c r="O968" i="2" s="1"/>
  <c r="O969" i="2" a="1"/>
  <c r="O969" i="2"/>
  <c r="O970" i="2" a="1"/>
  <c r="O970" i="2" s="1"/>
  <c r="O971" i="2" a="1"/>
  <c r="O971" i="2" s="1"/>
  <c r="O972" i="2" a="1"/>
  <c r="O972" i="2" s="1"/>
  <c r="O973" i="2" a="1"/>
  <c r="O973" i="2" s="1"/>
  <c r="O974" i="2" a="1"/>
  <c r="O974" i="2" s="1"/>
  <c r="O975" i="2" a="1"/>
  <c r="O975" i="2"/>
  <c r="O976" i="2" a="1"/>
  <c r="O976" i="2" s="1"/>
  <c r="O977" i="2" a="1"/>
  <c r="O977" i="2" s="1"/>
  <c r="O978" i="2" a="1"/>
  <c r="O978" i="2" s="1"/>
  <c r="O979" i="2" a="1"/>
  <c r="O979" i="2" s="1"/>
  <c r="O980" i="2" a="1"/>
  <c r="O980" i="2" s="1"/>
  <c r="O981" i="2" a="1"/>
  <c r="O981" i="2"/>
  <c r="O982" i="2" a="1"/>
  <c r="O982" i="2"/>
  <c r="O983" i="2" a="1"/>
  <c r="O983" i="2" s="1"/>
  <c r="O984" i="2" a="1"/>
  <c r="O984" i="2" s="1"/>
  <c r="O985" i="2" a="1"/>
  <c r="O985" i="2" s="1"/>
  <c r="O986" i="2" a="1"/>
  <c r="O986" i="2" s="1"/>
  <c r="O987" i="2" a="1"/>
  <c r="O987" i="2"/>
  <c r="O988" i="2" a="1"/>
  <c r="O988" i="2" s="1"/>
  <c r="O989" i="2" a="1"/>
  <c r="O989" i="2" s="1"/>
  <c r="O990" i="2" a="1"/>
  <c r="O990" i="2" s="1"/>
  <c r="O991" i="2" a="1"/>
  <c r="O991" i="2" s="1"/>
  <c r="O992" i="2" a="1"/>
  <c r="O992" i="2" s="1"/>
  <c r="O993" i="2" a="1"/>
  <c r="O993" i="2"/>
  <c r="O994" i="2" a="1"/>
  <c r="O994" i="2" s="1"/>
  <c r="O995" i="2" a="1"/>
  <c r="O995" i="2" s="1"/>
  <c r="O996" i="2" a="1"/>
  <c r="O996" i="2" s="1"/>
  <c r="O997" i="2" a="1"/>
  <c r="O997" i="2" s="1"/>
  <c r="O998" i="2" a="1"/>
  <c r="O998" i="2" s="1"/>
  <c r="O999" i="2" a="1"/>
  <c r="O999" i="2"/>
  <c r="O1000" i="2" a="1"/>
  <c r="O1000" i="2" s="1"/>
  <c r="O1001" i="2" a="1"/>
  <c r="O1001" i="2" s="1"/>
  <c r="O1002" i="2" a="1"/>
  <c r="O1002" i="2" s="1"/>
  <c r="O1003" i="2" a="1"/>
  <c r="O1003" i="2" s="1"/>
  <c r="O1004" i="2" a="1"/>
  <c r="O1004" i="2" s="1"/>
  <c r="O1005" i="2" a="1"/>
  <c r="O1005" i="2"/>
  <c r="O1006" i="2" a="1"/>
  <c r="O1006" i="2" s="1"/>
  <c r="O1007" i="2" a="1"/>
  <c r="O1007" i="2" s="1"/>
  <c r="O1008" i="2" a="1"/>
  <c r="O1008" i="2" s="1"/>
  <c r="O1009" i="2" a="1"/>
  <c r="O1009" i="2" s="1"/>
  <c r="O1010" i="2" a="1"/>
  <c r="O1010" i="2" s="1"/>
  <c r="O1011" i="2" a="1"/>
  <c r="O1011" i="2"/>
  <c r="O1012" i="2" a="1"/>
  <c r="O1012" i="2" s="1"/>
  <c r="O1013" i="2" a="1"/>
  <c r="O1013" i="2" s="1"/>
  <c r="O1014" i="2" a="1"/>
  <c r="O1014" i="2"/>
  <c r="O1015" i="2" a="1"/>
  <c r="O1015" i="2" s="1"/>
  <c r="O1016" i="2" a="1"/>
  <c r="O1016" i="2" s="1"/>
  <c r="O1017" i="2" a="1"/>
  <c r="O1017" i="2"/>
  <c r="O1018" i="2" a="1"/>
  <c r="O1018" i="2" s="1"/>
  <c r="O1019" i="2" a="1"/>
  <c r="O1019" i="2" s="1"/>
  <c r="O1020" i="2" a="1"/>
  <c r="O1020" i="2" s="1"/>
  <c r="O1021" i="2" a="1"/>
  <c r="O1021" i="2" s="1"/>
  <c r="O1022" i="2" a="1"/>
  <c r="O1022" i="2" s="1"/>
  <c r="O1023" i="2" a="1"/>
  <c r="O1023" i="2"/>
  <c r="O1024" i="2" a="1"/>
  <c r="O1024" i="2" s="1"/>
  <c r="O1025" i="2" a="1"/>
  <c r="O1025" i="2" s="1"/>
  <c r="O1026" i="2" a="1"/>
  <c r="O1026" i="2" s="1"/>
  <c r="O1027" i="2" a="1"/>
  <c r="O1027" i="2" s="1"/>
  <c r="O1028" i="2" a="1"/>
  <c r="O1028" i="2" s="1"/>
  <c r="O1029" i="2" a="1"/>
  <c r="O1029" i="2"/>
  <c r="O1030" i="2" a="1"/>
  <c r="O1030" i="2" s="1"/>
  <c r="O1031" i="2" a="1"/>
  <c r="O1031" i="2" s="1"/>
  <c r="O1032" i="2" a="1"/>
  <c r="O1032" i="2" s="1"/>
  <c r="O1033" i="2" a="1"/>
  <c r="O1033" i="2" s="1"/>
  <c r="O1034" i="2" a="1"/>
  <c r="O1034" i="2" s="1"/>
  <c r="O1035" i="2" a="1"/>
  <c r="O1035" i="2"/>
  <c r="O1036" i="2" a="1"/>
  <c r="O1036" i="2" s="1"/>
  <c r="O1037" i="2" a="1"/>
  <c r="O1037" i="2" s="1"/>
  <c r="O1038" i="2" a="1"/>
  <c r="O1038" i="2" s="1"/>
  <c r="O1039" i="2" a="1"/>
  <c r="O1039" i="2" s="1"/>
  <c r="O1040" i="2" a="1"/>
  <c r="O1040" i="2" s="1"/>
  <c r="O1041" i="2" a="1"/>
  <c r="O1041" i="2"/>
  <c r="O1042" i="2" a="1"/>
  <c r="O1042" i="2" s="1"/>
  <c r="O1043" i="2" a="1"/>
  <c r="O1043" i="2" s="1"/>
  <c r="O1044" i="2" a="1"/>
  <c r="O1044" i="2" s="1"/>
  <c r="O1045" i="2" a="1"/>
  <c r="O1045" i="2" s="1"/>
  <c r="O1046" i="2" a="1"/>
  <c r="O1046" i="2" s="1"/>
  <c r="O1047" i="2" a="1"/>
  <c r="O1047" i="2" s="1"/>
  <c r="O1048" i="2" a="1"/>
  <c r="O1048" i="2" s="1"/>
  <c r="O1049" i="2" a="1"/>
  <c r="O1049" i="2" s="1"/>
  <c r="O1050" i="2" a="1"/>
  <c r="O1050" i="2" s="1"/>
  <c r="O1051" i="2" a="1"/>
  <c r="O1051" i="2" s="1"/>
  <c r="O1052" i="2" a="1"/>
  <c r="O1052" i="2" s="1"/>
  <c r="O1053" i="2" a="1"/>
  <c r="O1053" i="2"/>
  <c r="O1054" i="2" a="1"/>
  <c r="O1054" i="2"/>
  <c r="O1055" i="2" a="1"/>
  <c r="O1055" i="2" s="1"/>
  <c r="O1056" i="2" a="1"/>
  <c r="O1056" i="2" s="1"/>
  <c r="O1057" i="2" a="1"/>
  <c r="O1057" i="2" s="1"/>
  <c r="O1058" i="2" a="1"/>
  <c r="O1058" i="2" s="1"/>
  <c r="O1059" i="2" a="1"/>
  <c r="O1059" i="2"/>
  <c r="O1060" i="2" a="1"/>
  <c r="O1060" i="2" s="1"/>
  <c r="O1061" i="2" a="1"/>
  <c r="O1061" i="2" s="1"/>
  <c r="O1062" i="2" a="1"/>
  <c r="O1062" i="2"/>
  <c r="O1063" i="2" a="1"/>
  <c r="O1063" i="2" s="1"/>
  <c r="O1064" i="2" a="1"/>
  <c r="O1064" i="2" s="1"/>
  <c r="O1065" i="2" a="1"/>
  <c r="O1065" i="2"/>
  <c r="O1066" i="2" a="1"/>
  <c r="O1066" i="2" s="1"/>
  <c r="O1067" i="2" a="1"/>
  <c r="O1067" i="2" s="1"/>
  <c r="O1068" i="2" a="1"/>
  <c r="O1068" i="2" s="1"/>
  <c r="O1069" i="2" a="1"/>
  <c r="O1069" i="2" s="1"/>
  <c r="O1070" i="2" a="1"/>
  <c r="O1070" i="2" s="1"/>
  <c r="O1071" i="2" a="1"/>
  <c r="O1071" i="2" s="1"/>
  <c r="O1072" i="2" a="1"/>
  <c r="O1072" i="2" s="1"/>
  <c r="O1073" i="2" a="1"/>
  <c r="O1073" i="2" s="1"/>
  <c r="O1074" i="2" a="1"/>
  <c r="O1074" i="2" s="1"/>
  <c r="O1075" i="2" a="1"/>
  <c r="O1075" i="2" s="1"/>
  <c r="O1076" i="2" a="1"/>
  <c r="O1076" i="2" s="1"/>
  <c r="O1077" i="2" a="1"/>
  <c r="O1077" i="2"/>
  <c r="O1078" i="2" a="1"/>
  <c r="O1078" i="2" s="1"/>
  <c r="O1079" i="2" a="1"/>
  <c r="O1079" i="2" s="1"/>
  <c r="O1080" i="2" a="1"/>
  <c r="O1080" i="2" s="1"/>
  <c r="O1081" i="2" a="1"/>
  <c r="O1081" i="2" s="1"/>
  <c r="O1082" i="2" a="1"/>
  <c r="O1082" i="2" s="1"/>
  <c r="O1083" i="2" a="1"/>
  <c r="O1083" i="2"/>
  <c r="O1084" i="2" a="1"/>
  <c r="O1084" i="2" s="1"/>
  <c r="O1085" i="2" a="1"/>
  <c r="O1085" i="2" s="1"/>
  <c r="O1086" i="2" a="1"/>
  <c r="O1086" i="2" s="1"/>
  <c r="O1087" i="2" a="1"/>
  <c r="O1087" i="2" s="1"/>
  <c r="O1088" i="2" a="1"/>
  <c r="O1088" i="2" s="1"/>
  <c r="O1089" i="2" a="1"/>
  <c r="O1089" i="2"/>
  <c r="O1090" i="2" a="1"/>
  <c r="O1090" i="2" s="1"/>
  <c r="O1091" i="2" a="1"/>
  <c r="O1091" i="2" s="1"/>
  <c r="O1092" i="2" a="1"/>
  <c r="O1092" i="2" s="1"/>
  <c r="O1093" i="2" a="1"/>
  <c r="O1093" i="2" s="1"/>
  <c r="O1094" i="2" a="1"/>
  <c r="O1094" i="2" s="1"/>
  <c r="O1095" i="2" a="1"/>
  <c r="O1095" i="2" s="1"/>
  <c r="O1096" i="2" a="1"/>
  <c r="O1096" i="2" s="1"/>
  <c r="O1097" i="2" a="1"/>
  <c r="O1097" i="2" s="1"/>
  <c r="O1098" i="2" a="1"/>
  <c r="O1098" i="2" s="1"/>
  <c r="O1099" i="2" a="1"/>
  <c r="O1099" i="2" s="1"/>
  <c r="O1100" i="2" a="1"/>
  <c r="O1100" i="2" s="1"/>
  <c r="O1101" i="2" a="1"/>
  <c r="O1101" i="2"/>
  <c r="O1102" i="2" a="1"/>
  <c r="O1102" i="2"/>
  <c r="O1103" i="2" a="1"/>
  <c r="O1103" i="2" s="1"/>
  <c r="O1104" i="2" a="1"/>
  <c r="O1104" i="2" s="1"/>
  <c r="O1105" i="2" a="1"/>
  <c r="O1105" i="2" s="1"/>
  <c r="O1106" i="2" a="1"/>
  <c r="O1106" i="2" s="1"/>
  <c r="O1107" i="2" a="1"/>
  <c r="O1107" i="2"/>
  <c r="O1108" i="2" a="1"/>
  <c r="O1108" i="2" s="1"/>
  <c r="O1109" i="2" a="1"/>
  <c r="O1109" i="2" s="1"/>
  <c r="O1110" i="2" a="1"/>
  <c r="O1110" i="2"/>
  <c r="O1111" i="2" a="1"/>
  <c r="O1111" i="2" s="1"/>
  <c r="O1112" i="2" a="1"/>
  <c r="O1112" i="2" s="1"/>
  <c r="O1113" i="2" a="1"/>
  <c r="O1113" i="2"/>
  <c r="O1114" i="2" a="1"/>
  <c r="O1114" i="2" s="1"/>
  <c r="O1115" i="2" a="1"/>
  <c r="O1115" i="2" s="1"/>
  <c r="O1116" i="2" a="1"/>
  <c r="O1116" i="2" s="1"/>
  <c r="O1117" i="2" a="1"/>
  <c r="O1117" i="2" s="1"/>
  <c r="O1118" i="2" a="1"/>
  <c r="O1118" i="2" s="1"/>
  <c r="O1119" i="2" a="1"/>
  <c r="O1119" i="2" s="1"/>
  <c r="O1120" i="2" a="1"/>
  <c r="O1120" i="2" s="1"/>
  <c r="O1121" i="2" a="1"/>
  <c r="O1121" i="2" s="1"/>
  <c r="O1122" i="2" a="1"/>
  <c r="O1122" i="2" s="1"/>
  <c r="O1123" i="2" a="1"/>
  <c r="O1123" i="2" s="1"/>
  <c r="O1124" i="2" a="1"/>
  <c r="O1124" i="2" s="1"/>
  <c r="O1125" i="2" a="1"/>
  <c r="O1125" i="2"/>
  <c r="O1126" i="2" a="1"/>
  <c r="O1126" i="2" s="1"/>
  <c r="O1127" i="2" a="1"/>
  <c r="O1127" i="2" s="1"/>
  <c r="O1128" i="2" a="1"/>
  <c r="O1128" i="2" s="1"/>
  <c r="O1129" i="2" a="1"/>
  <c r="O1129" i="2" s="1"/>
  <c r="O1130" i="2" a="1"/>
  <c r="O1130" i="2" s="1"/>
  <c r="O1131" i="2" a="1"/>
  <c r="O1131" i="2"/>
  <c r="O1132" i="2" a="1"/>
  <c r="O1132" i="2" s="1"/>
  <c r="O1133" i="2" a="1"/>
  <c r="O1133" i="2" s="1"/>
  <c r="O1134" i="2" a="1"/>
  <c r="O1134" i="2" s="1"/>
  <c r="O1135" i="2" a="1"/>
  <c r="O1135" i="2" s="1"/>
  <c r="O1136" i="2" a="1"/>
  <c r="O1136" i="2" s="1"/>
  <c r="O1137" i="2" a="1"/>
  <c r="O1137" i="2"/>
  <c r="O1138" i="2" a="1"/>
  <c r="O1138" i="2" s="1"/>
  <c r="O1139" i="2" a="1"/>
  <c r="O1139" i="2" s="1"/>
  <c r="O1140" i="2" a="1"/>
  <c r="O1140" i="2" s="1"/>
  <c r="O1141" i="2" a="1"/>
  <c r="O1141" i="2" s="1"/>
  <c r="O1142" i="2" a="1"/>
  <c r="O1142" i="2" s="1"/>
  <c r="O1143" i="2" a="1"/>
  <c r="O1143" i="2" s="1"/>
  <c r="O1144" i="2" a="1"/>
  <c r="O1144" i="2" s="1"/>
  <c r="O1145" i="2" a="1"/>
  <c r="O1145" i="2" s="1"/>
  <c r="O1146" i="2" a="1"/>
  <c r="O1146" i="2" s="1"/>
  <c r="O1147" i="2" a="1"/>
  <c r="O1147" i="2" s="1"/>
  <c r="O1148" i="2" a="1"/>
  <c r="O1148" i="2" s="1"/>
  <c r="O1149" i="2" a="1"/>
  <c r="O1149" i="2"/>
  <c r="O1150" i="2" a="1"/>
  <c r="O1150" i="2" s="1"/>
  <c r="O1151" i="2" a="1"/>
  <c r="O1151" i="2" s="1"/>
  <c r="O1152" i="2" a="1"/>
  <c r="O1152" i="2" s="1"/>
  <c r="O1153" i="2" a="1"/>
  <c r="O1153" i="2" s="1"/>
  <c r="O1154" i="2" a="1"/>
  <c r="O1154" i="2" s="1"/>
  <c r="O1155" i="2" a="1"/>
  <c r="O1155" i="2"/>
  <c r="O1156" i="2" a="1"/>
  <c r="O1156" i="2" s="1"/>
  <c r="O1157" i="2" a="1"/>
  <c r="O1157" i="2" s="1"/>
  <c r="O1158" i="2" a="1"/>
  <c r="O1158" i="2"/>
  <c r="O1159" i="2" a="1"/>
  <c r="O1159" i="2" s="1"/>
  <c r="O1160" i="2" a="1"/>
  <c r="O1160" i="2" s="1"/>
  <c r="O1161" i="2" a="1"/>
  <c r="O1161" i="2"/>
  <c r="O1162" i="2" a="1"/>
  <c r="O1162" i="2" s="1"/>
  <c r="O1163" i="2" a="1"/>
  <c r="O1163" i="2" s="1"/>
  <c r="O1164" i="2" a="1"/>
  <c r="O1164" i="2" s="1"/>
  <c r="O1165" i="2" a="1"/>
  <c r="O1165" i="2" s="1"/>
  <c r="O1166" i="2" a="1"/>
  <c r="O1166" i="2" s="1"/>
  <c r="O1167" i="2" a="1"/>
  <c r="O1167" i="2" s="1"/>
  <c r="O1168" i="2" a="1"/>
  <c r="O1168" i="2" s="1"/>
  <c r="O1169" i="2" a="1"/>
  <c r="O1169" i="2" s="1"/>
  <c r="O1170" i="2" a="1"/>
  <c r="O1170" i="2" s="1"/>
  <c r="O1171" i="2" a="1"/>
  <c r="O1171" i="2" s="1"/>
  <c r="O1172" i="2" a="1"/>
  <c r="O1172" i="2" s="1"/>
  <c r="O1173" i="2" a="1"/>
  <c r="O1173" i="2"/>
  <c r="O1174" i="2" a="1"/>
  <c r="O1174" i="2" s="1"/>
  <c r="O1175" i="2" a="1"/>
  <c r="O1175" i="2" s="1"/>
  <c r="O1176" i="2" a="1"/>
  <c r="O1176" i="2" s="1"/>
  <c r="O1177" i="2" a="1"/>
  <c r="O1177" i="2" s="1"/>
  <c r="O1178" i="2" a="1"/>
  <c r="O1178" i="2" s="1"/>
  <c r="O1179" i="2" a="1"/>
  <c r="O1179" i="2"/>
  <c r="O1180" i="2" a="1"/>
  <c r="O1180" i="2" s="1"/>
  <c r="O1181" i="2" a="1"/>
  <c r="O1181" i="2" s="1"/>
  <c r="O1182" i="2" a="1"/>
  <c r="O1182" i="2" s="1"/>
  <c r="O1183" i="2" a="1"/>
  <c r="O1183" i="2" s="1"/>
  <c r="O1184" i="2" a="1"/>
  <c r="O1184" i="2" s="1"/>
  <c r="O1185" i="2" a="1"/>
  <c r="O1185" i="2"/>
  <c r="O1186" i="2" a="1"/>
  <c r="O1186" i="2" s="1"/>
  <c r="O1187" i="2" a="1"/>
  <c r="O1187" i="2" s="1"/>
  <c r="O1188" i="2" a="1"/>
  <c r="O1188" i="2" s="1"/>
  <c r="O1189" i="2" a="1"/>
  <c r="O1189" i="2" s="1"/>
  <c r="O1190" i="2" a="1"/>
  <c r="O1190" i="2" s="1"/>
  <c r="O1191" i="2" a="1"/>
  <c r="O1191" i="2" s="1"/>
  <c r="O1192" i="2" a="1"/>
  <c r="O1192" i="2" s="1"/>
  <c r="O1193" i="2" a="1"/>
  <c r="O1193" i="2" s="1"/>
  <c r="O1194" i="2" a="1"/>
  <c r="O1194" i="2" s="1"/>
  <c r="O1195" i="2" a="1"/>
  <c r="O1195" i="2" s="1"/>
  <c r="O1196" i="2" a="1"/>
  <c r="O1196" i="2" s="1"/>
  <c r="O1197" i="2" a="1"/>
  <c r="O1197" i="2"/>
  <c r="O1198" i="2" a="1"/>
  <c r="O1198" i="2" s="1"/>
  <c r="O1199" i="2" a="1"/>
  <c r="O1199" i="2" s="1"/>
  <c r="O1200" i="2" a="1"/>
  <c r="O1200" i="2" s="1"/>
  <c r="O1201" i="2" a="1"/>
  <c r="O1201" i="2" s="1"/>
  <c r="O1202" i="2" a="1"/>
  <c r="O1202" i="2" s="1"/>
  <c r="O1203" i="2" a="1"/>
  <c r="O1203" i="2" s="1"/>
  <c r="O1204" i="2" a="1"/>
  <c r="O1204" i="2"/>
  <c r="O1205" i="2" a="1"/>
  <c r="O1205" i="2"/>
  <c r="O1206" i="2" a="1"/>
  <c r="O1206" i="2"/>
  <c r="O1207" i="2" a="1"/>
  <c r="O1207" i="2"/>
  <c r="O1208" i="2" a="1"/>
  <c r="O1208" i="2" s="1"/>
  <c r="O1209" i="2" a="1"/>
  <c r="O1209" i="2"/>
  <c r="O1210" i="2" a="1"/>
  <c r="O1210" i="2"/>
  <c r="O1211" i="2" a="1"/>
  <c r="O1211" i="2" s="1"/>
  <c r="O1212" i="2" a="1"/>
  <c r="O1212" i="2" s="1"/>
  <c r="O1213" i="2" a="1"/>
  <c r="O1213" i="2"/>
  <c r="O1214" i="2" a="1"/>
  <c r="O1214" i="2" s="1"/>
  <c r="O1215" i="2" a="1"/>
  <c r="O1215" i="2" s="1"/>
  <c r="O1216" i="2" a="1"/>
  <c r="O1216" i="2"/>
  <c r="O1217" i="2" a="1"/>
  <c r="O1217" i="2" s="1"/>
  <c r="O1218" i="2" a="1"/>
  <c r="O1218" i="2"/>
  <c r="O1219" i="2" a="1"/>
  <c r="O1219" i="2"/>
  <c r="O1220" i="2" a="1"/>
  <c r="O1220" i="2" s="1"/>
  <c r="O1221" i="2" a="1"/>
  <c r="O1221" i="2" s="1"/>
  <c r="O1222" i="2" a="1"/>
  <c r="O1222" i="2"/>
  <c r="O1223" i="2" a="1"/>
  <c r="O1223" i="2"/>
  <c r="O1224" i="2" a="1"/>
  <c r="O1224" i="2" s="1"/>
  <c r="O1225" i="2" a="1"/>
  <c r="O1225" i="2"/>
  <c r="O1226" i="2" a="1"/>
  <c r="O1226" i="2" s="1"/>
  <c r="O1227" i="2" a="1"/>
  <c r="O1227" i="2"/>
  <c r="O1228" i="2" a="1"/>
  <c r="O1228" i="2"/>
  <c r="O1229" i="2" a="1"/>
  <c r="O1229" i="2" s="1"/>
  <c r="O1230" i="2" a="1"/>
  <c r="O1230" i="2" s="1"/>
  <c r="O1231" i="2" a="1"/>
  <c r="O1231" i="2"/>
  <c r="O1232" i="2" a="1"/>
  <c r="O1232" i="2" s="1"/>
  <c r="O1233" i="2" a="1"/>
  <c r="O1233" i="2" s="1"/>
  <c r="O1234" i="2" a="1"/>
  <c r="O1234" i="2"/>
  <c r="O1235" i="2" a="1"/>
  <c r="O1235" i="2"/>
  <c r="O1236" i="2" a="1"/>
  <c r="O1236" i="2"/>
  <c r="O1237" i="2" a="1"/>
  <c r="O1237" i="2"/>
  <c r="O1238" i="2" a="1"/>
  <c r="O1238" i="2" s="1"/>
  <c r="O1239" i="2" a="1"/>
  <c r="O1239" i="2" s="1"/>
  <c r="O1240" i="2" a="1"/>
  <c r="O1240" i="2"/>
  <c r="O1241" i="2" a="1"/>
  <c r="O1241" i="2" s="1"/>
  <c r="O1242" i="2" a="1"/>
  <c r="O1242" i="2" s="1"/>
  <c r="O1243" i="2" a="1"/>
  <c r="O1243" i="2"/>
  <c r="O1244" i="2" a="1"/>
  <c r="O1244" i="2" s="1"/>
  <c r="O1245" i="2" a="1"/>
  <c r="O1245" i="2" s="1"/>
  <c r="O1246" i="2" a="1"/>
  <c r="O1246" i="2"/>
  <c r="O1247" i="2" a="1"/>
  <c r="O1247" i="2" s="1"/>
  <c r="O1248" i="2" a="1"/>
  <c r="O1248" i="2"/>
  <c r="O1249" i="2" a="1"/>
  <c r="O1249" i="2"/>
  <c r="O1250" i="2" a="1"/>
  <c r="O1250" i="2" s="1"/>
  <c r="O1251" i="2" a="1"/>
  <c r="O1251" i="2"/>
  <c r="O1252" i="2" a="1"/>
  <c r="O1252" i="2"/>
  <c r="O1253" i="2" a="1"/>
  <c r="O1253" i="2"/>
  <c r="O1254" i="2" a="1"/>
  <c r="O1254" i="2" s="1"/>
  <c r="O1255" i="2" a="1"/>
  <c r="O1255" i="2"/>
  <c r="O1256" i="2" a="1"/>
  <c r="O1256" i="2" s="1"/>
  <c r="O1257" i="2" a="1"/>
  <c r="O1257" i="2" s="1"/>
  <c r="O1258" i="2" a="1"/>
  <c r="O1258" i="2" s="1"/>
  <c r="O1259" i="2" a="1"/>
  <c r="O1259" i="2" s="1"/>
  <c r="O1260" i="2" a="1"/>
  <c r="O1260" i="2" s="1"/>
  <c r="O1261" i="2" a="1"/>
  <c r="O1261" i="2"/>
  <c r="O1262" i="2" a="1"/>
  <c r="O1262" i="2" s="1"/>
  <c r="O1263" i="2" a="1"/>
  <c r="O1263" i="2" s="1"/>
  <c r="O1264" i="2" a="1"/>
  <c r="O1264" i="2"/>
  <c r="O1265" i="2" a="1"/>
  <c r="O1265" i="2"/>
  <c r="O1266" i="2" a="1"/>
  <c r="O1266" i="2"/>
  <c r="O1267" i="2" a="1"/>
  <c r="O1267" i="2"/>
  <c r="O1268" i="2" a="1"/>
  <c r="O1268" i="2" s="1"/>
  <c r="O1269" i="2" a="1"/>
  <c r="O1269" i="2"/>
  <c r="O1270" i="2" a="1"/>
  <c r="O1270" i="2" s="1"/>
  <c r="O1271" i="2" a="1"/>
  <c r="O1271" i="2"/>
  <c r="O1272" i="2" a="1"/>
  <c r="O1272" i="2" s="1"/>
  <c r="O1273" i="2" a="1"/>
  <c r="O1273" i="2" s="1"/>
  <c r="O1274" i="2" a="1"/>
  <c r="O1274" i="2" s="1"/>
  <c r="O1275" i="2" a="1"/>
  <c r="O1275" i="2" s="1"/>
  <c r="O1276" i="2" a="1"/>
  <c r="O1276" i="2" s="1"/>
  <c r="O1277" i="2" a="1"/>
  <c r="O1277" i="2"/>
  <c r="O1278" i="2" a="1"/>
  <c r="O1278" i="2"/>
  <c r="O1279" i="2" a="1"/>
  <c r="O1279" i="2"/>
  <c r="O1280" i="2" a="1"/>
  <c r="O1280" i="2" s="1"/>
  <c r="O1281" i="2" a="1"/>
  <c r="O1281" i="2"/>
  <c r="O1282" i="2" a="1"/>
  <c r="O1282" i="2"/>
  <c r="O1283" i="2" a="1"/>
  <c r="O1283" i="2" s="1"/>
  <c r="O1284" i="2" a="1"/>
  <c r="O1284" i="2" s="1"/>
  <c r="O1285" i="2" a="1"/>
  <c r="O1285" i="2" s="1"/>
  <c r="O1286" i="2" a="1"/>
  <c r="O1286" i="2" s="1"/>
  <c r="O1287" i="2" a="1"/>
  <c r="O1287" i="2" s="1"/>
  <c r="O1288" i="2" a="1"/>
  <c r="O1288" i="2" s="1"/>
  <c r="O1289" i="2" a="1"/>
  <c r="O1289" i="2" s="1"/>
  <c r="O1290" i="2" a="1"/>
  <c r="O1290" i="2"/>
  <c r="O1291" i="2" a="1"/>
  <c r="O1291" i="2" s="1"/>
  <c r="O1292" i="2" a="1"/>
  <c r="O1292" i="2" s="1"/>
  <c r="O1293" i="2" a="1"/>
  <c r="O1293" i="2" s="1"/>
  <c r="O1294" i="2" a="1"/>
  <c r="O1294" i="2"/>
  <c r="O1295" i="2" a="1"/>
  <c r="O1295" i="2"/>
  <c r="O1296" i="2" a="1"/>
  <c r="O1296" i="2" s="1"/>
  <c r="O1297" i="2" a="1"/>
  <c r="O1297" i="2"/>
  <c r="O1298" i="2" a="1"/>
  <c r="O1298" i="2" s="1"/>
  <c r="O1299" i="2" a="1"/>
  <c r="O1299" i="2"/>
  <c r="O1300" i="2" a="1"/>
  <c r="O1300" i="2" s="1"/>
  <c r="O1301" i="2" a="1"/>
  <c r="O1301" i="2" s="1"/>
  <c r="O1302" i="2" a="1"/>
  <c r="O1302" i="2" s="1"/>
  <c r="O1303" i="2" a="1"/>
  <c r="O1303" i="2"/>
  <c r="O1304" i="2" a="1"/>
  <c r="O1304" i="2" s="1"/>
  <c r="O1305" i="2" a="1"/>
  <c r="O1305" i="2" s="1"/>
  <c r="O1306" i="2" a="1"/>
  <c r="O1306" i="2" s="1"/>
  <c r="O1307" i="2" a="1"/>
  <c r="O1307" i="2"/>
  <c r="O1308" i="2" a="1"/>
  <c r="O1308" i="2"/>
  <c r="O1309" i="2" a="1"/>
  <c r="O1309" i="2" s="1"/>
  <c r="O1310" i="2" a="1"/>
  <c r="O1310" i="2" s="1"/>
  <c r="O1311" i="2" a="1"/>
  <c r="O1311" i="2"/>
  <c r="O1312" i="2" a="1"/>
  <c r="O1312" i="2"/>
  <c r="O1313" i="2" a="1"/>
  <c r="O1313" i="2" s="1"/>
  <c r="O1314" i="2" a="1"/>
  <c r="O1314" i="2" s="1"/>
  <c r="O1315" i="2" a="1"/>
  <c r="O1315" i="2" s="1"/>
  <c r="O1316" i="2" a="1"/>
  <c r="O1316" i="2" s="1"/>
  <c r="O1317" i="2" a="1"/>
  <c r="O1317" i="2" s="1"/>
  <c r="O1318" i="2" a="1"/>
  <c r="O1318" i="2" s="1"/>
  <c r="O1319" i="2" a="1"/>
  <c r="O1319" i="2" s="1"/>
  <c r="O1320" i="2" a="1"/>
  <c r="O1320" i="2"/>
  <c r="O1321" i="2" a="1"/>
  <c r="O1321" i="2"/>
  <c r="O1322" i="2" a="1"/>
  <c r="O1322" i="2" s="1"/>
  <c r="O1323" i="2" a="1"/>
  <c r="O1323" i="2"/>
  <c r="O1324" i="2" a="1"/>
  <c r="O1324" i="2"/>
  <c r="O1325" i="2" a="1"/>
  <c r="O1325" i="2"/>
  <c r="O1326" i="2" a="1"/>
  <c r="O1326" i="2" s="1"/>
  <c r="O1327" i="2" a="1"/>
  <c r="O1327" i="2" s="1"/>
  <c r="O1328" i="2" a="1"/>
  <c r="O1328" i="2" s="1"/>
  <c r="O1329" i="2" a="1"/>
  <c r="O1329" i="2" s="1"/>
  <c r="O1330" i="2" a="1"/>
  <c r="O1330" i="2" s="1"/>
  <c r="O1331" i="2" a="1"/>
  <c r="O1331" i="2" s="1"/>
  <c r="O1332" i="2" a="1"/>
  <c r="O1332" i="2" s="1"/>
  <c r="O1333" i="2" a="1"/>
  <c r="O1333" i="2"/>
  <c r="O1334" i="2" a="1"/>
  <c r="O1334" i="2" s="1"/>
  <c r="O1335" i="2" a="1"/>
  <c r="O1335" i="2" s="1"/>
  <c r="O1336" i="2" a="1"/>
  <c r="O1336" i="2"/>
  <c r="O1337" i="2" a="1"/>
  <c r="O1337" i="2"/>
  <c r="O1338" i="2" a="1"/>
  <c r="O1338" i="2"/>
  <c r="O1339" i="2" a="1"/>
  <c r="O1339" i="2" s="1"/>
  <c r="O1340" i="2" a="1"/>
  <c r="O1340" i="2" s="1"/>
  <c r="O1341" i="2" a="1"/>
  <c r="O1341" i="2"/>
  <c r="O1342" i="2" a="1"/>
  <c r="O1342" i="2" s="1"/>
  <c r="O1343" i="2" a="1"/>
  <c r="O1343" i="2"/>
  <c r="O1344" i="2" a="1"/>
  <c r="O1344" i="2" s="1"/>
  <c r="O1345" i="2" a="1"/>
  <c r="O1345" i="2" s="1"/>
  <c r="O1346" i="2" a="1"/>
  <c r="O1346" i="2" s="1"/>
  <c r="O1347" i="2" a="1"/>
  <c r="O1347" i="2" s="1"/>
  <c r="O1348" i="2" a="1"/>
  <c r="O1348" i="2" s="1"/>
  <c r="O1349" i="2" a="1"/>
  <c r="O1349" i="2"/>
  <c r="O1350" i="2" a="1"/>
  <c r="O1350" i="2"/>
  <c r="O1351" i="2" a="1"/>
  <c r="O1351" i="2"/>
  <c r="O1352" i="2" a="1"/>
  <c r="O1352" i="2" s="1"/>
  <c r="O1353" i="2" a="1"/>
  <c r="O1353" i="2"/>
  <c r="O1354" i="2" a="1"/>
  <c r="O1354" i="2"/>
  <c r="O1355" i="2" a="1"/>
  <c r="O1355" i="2" s="1"/>
  <c r="O1356" i="2" a="1"/>
  <c r="O1356" i="2"/>
  <c r="O1357" i="2" a="1"/>
  <c r="O1357" i="2" s="1"/>
  <c r="O1358" i="2" a="1"/>
  <c r="O1358" i="2" s="1"/>
  <c r="O1359" i="2" a="1"/>
  <c r="O1359" i="2" s="1"/>
  <c r="O1360" i="2" a="1"/>
  <c r="O1360" i="2" s="1"/>
  <c r="O1361" i="2" a="1"/>
  <c r="O1361" i="2" s="1"/>
  <c r="O1362" i="2" a="1"/>
  <c r="O1362" i="2"/>
  <c r="O1363" i="2" a="1"/>
  <c r="O1363" i="2"/>
  <c r="O1364" i="2" a="1"/>
  <c r="O1364" i="2" s="1"/>
  <c r="O1365" i="2" a="1"/>
  <c r="O1365" i="2" s="1"/>
  <c r="O1366" i="2" a="1"/>
  <c r="O1366" i="2"/>
  <c r="O1367" i="2" a="1"/>
  <c r="O1367" i="2"/>
  <c r="O1368" i="2" a="1"/>
  <c r="O1368" i="2" s="1"/>
  <c r="O1369" i="2" a="1"/>
  <c r="O1369" i="2" s="1"/>
  <c r="O1370" i="2" a="1"/>
  <c r="O1370" i="2" s="1"/>
  <c r="O1371" i="2" a="1"/>
  <c r="O1371" i="2"/>
  <c r="O1372" i="2" a="1"/>
  <c r="O1372" i="2" s="1"/>
  <c r="O1373" i="2" a="1"/>
  <c r="O1373" i="2" s="1"/>
  <c r="O1374" i="2" a="1"/>
  <c r="O1374" i="2" s="1"/>
  <c r="O1375" i="2" a="1"/>
  <c r="O1375" i="2"/>
  <c r="O1376" i="2" a="1"/>
  <c r="O1376" i="2" s="1"/>
  <c r="O1377" i="2" a="1"/>
  <c r="O1377" i="2" s="1"/>
  <c r="O1378" i="2" a="1"/>
  <c r="O1378" i="2" s="1"/>
  <c r="O1379" i="2" a="1"/>
  <c r="O1379" i="2"/>
  <c r="O1380" i="2" a="1"/>
  <c r="O1380" i="2"/>
  <c r="O1381" i="2" a="1"/>
  <c r="O1381" i="2" s="1"/>
  <c r="O1382" i="2" a="1"/>
  <c r="O1382" i="2" s="1"/>
  <c r="O1383" i="2" a="1"/>
  <c r="O1383" i="2"/>
  <c r="O1384" i="2" a="1"/>
  <c r="O1384" i="2"/>
  <c r="O1385" i="2" a="1"/>
  <c r="O1385" i="2" s="1"/>
  <c r="O1386" i="2" a="1"/>
  <c r="O1386" i="2" s="1"/>
  <c r="O1387" i="2" a="1"/>
  <c r="O1387" i="2" s="1"/>
  <c r="O1388" i="2" a="1"/>
  <c r="O1388" i="2" s="1"/>
  <c r="O1389" i="2" a="1"/>
  <c r="O1389" i="2" s="1"/>
  <c r="O1390" i="2" a="1"/>
  <c r="O1390" i="2" s="1"/>
  <c r="O1391" i="2" a="1"/>
  <c r="O1391" i="2" s="1"/>
  <c r="O1392" i="2" a="1"/>
  <c r="O1392" i="2"/>
  <c r="O1393" i="2" a="1"/>
  <c r="O1393" i="2"/>
  <c r="O1394" i="2" a="1"/>
  <c r="O1394" i="2" s="1"/>
  <c r="O1395" i="2" a="1"/>
  <c r="O1395" i="2"/>
  <c r="O1396" i="2" a="1"/>
  <c r="O1396" i="2"/>
  <c r="O1397" i="2" a="1"/>
  <c r="O1397" i="2"/>
  <c r="O1398" i="2" a="1"/>
  <c r="O1398" i="2" s="1"/>
  <c r="O1399" i="2" a="1"/>
  <c r="O1399" i="2" s="1"/>
  <c r="O1400" i="2" a="1"/>
  <c r="O1400" i="2" s="1"/>
  <c r="O1401" i="2" a="1"/>
  <c r="O1401" i="2" s="1"/>
  <c r="O1402" i="2" a="1"/>
  <c r="O1402" i="2" s="1"/>
  <c r="O1403" i="2" a="1"/>
  <c r="O1403" i="2" s="1"/>
  <c r="O1404" i="2" a="1"/>
  <c r="O1404" i="2" s="1"/>
  <c r="O1405" i="2" a="1"/>
  <c r="O1405" i="2"/>
  <c r="O1406" i="2" a="1"/>
  <c r="O1406" i="2" s="1"/>
  <c r="O1407" i="2" a="1"/>
  <c r="O1407" i="2" s="1"/>
  <c r="O1408" i="2" a="1"/>
  <c r="O1408" i="2"/>
  <c r="O1409" i="2" a="1"/>
  <c r="O1409" i="2"/>
  <c r="O1410" i="2" a="1"/>
  <c r="O1410" i="2"/>
  <c r="O1411" i="2" a="1"/>
  <c r="O1411" i="2" s="1"/>
  <c r="O1412" i="2" a="1"/>
  <c r="O1412" i="2" s="1"/>
  <c r="O1413" i="2" a="1"/>
  <c r="O1413" i="2"/>
  <c r="O1414" i="2" a="1"/>
  <c r="O1414" i="2" s="1"/>
  <c r="O1415" i="2" a="1"/>
  <c r="O1415" i="2"/>
  <c r="O1416" i="2" a="1"/>
  <c r="O1416" i="2" s="1"/>
  <c r="O1417" i="2" a="1"/>
  <c r="O1417" i="2" s="1"/>
  <c r="O1418" i="2" a="1"/>
  <c r="O1418" i="2" s="1"/>
  <c r="O1419" i="2" a="1"/>
  <c r="O1419" i="2" s="1"/>
  <c r="O1420" i="2" a="1"/>
  <c r="O1420" i="2" s="1"/>
  <c r="O1421" i="2" a="1"/>
  <c r="O1421" i="2"/>
  <c r="O1422" i="2" a="1"/>
  <c r="O1422" i="2"/>
  <c r="O1423" i="2" a="1"/>
  <c r="O1423" i="2"/>
  <c r="O1424" i="2" a="1"/>
  <c r="O1424" i="2" s="1"/>
  <c r="O1425" i="2" a="1"/>
  <c r="O1425" i="2"/>
  <c r="O1426" i="2" a="1"/>
  <c r="O1426" i="2"/>
  <c r="O1427" i="2" a="1"/>
  <c r="O1427" i="2" s="1"/>
  <c r="O1428" i="2" a="1"/>
  <c r="O1428" i="2" s="1"/>
  <c r="O1429" i="2" a="1"/>
  <c r="O1429" i="2" s="1"/>
  <c r="O1430" i="2" a="1"/>
  <c r="O1430" i="2" s="1"/>
  <c r="O1431" i="2" a="1"/>
  <c r="O1431" i="2" s="1"/>
  <c r="O1432" i="2" a="1"/>
  <c r="O1432" i="2" s="1"/>
  <c r="O1433" i="2" a="1"/>
  <c r="O1433" i="2" s="1"/>
  <c r="O1434" i="2" a="1"/>
  <c r="O1434" i="2"/>
  <c r="O1435" i="2" a="1"/>
  <c r="O1435" i="2" s="1"/>
  <c r="O1436" i="2" a="1"/>
  <c r="O1436" i="2" s="1"/>
  <c r="O1437" i="2" a="1"/>
  <c r="O1437" i="2" s="1"/>
  <c r="O1438" i="2" a="1"/>
  <c r="O1438" i="2"/>
  <c r="O1439" i="2" a="1"/>
  <c r="O1439" i="2"/>
  <c r="O1440" i="2" a="1"/>
  <c r="O1440" i="2" s="1"/>
  <c r="O1441" i="2" a="1"/>
  <c r="O1441" i="2"/>
  <c r="O1442" i="2" a="1"/>
  <c r="O1442" i="2" s="1"/>
  <c r="O1443" i="2" a="1"/>
  <c r="O1443" i="2"/>
  <c r="O1444" i="2" a="1"/>
  <c r="O1444" i="2" s="1"/>
  <c r="O1445" i="2" a="1"/>
  <c r="O1445" i="2" s="1"/>
  <c r="O1446" i="2" a="1"/>
  <c r="O1446" i="2" s="1"/>
  <c r="O1447" i="2" a="1"/>
  <c r="O1447" i="2"/>
  <c r="O1448" i="2" a="1"/>
  <c r="O1448" i="2" s="1"/>
  <c r="O1449" i="2" a="1"/>
  <c r="O1449" i="2" s="1"/>
  <c r="O1450" i="2" a="1"/>
  <c r="O1450" i="2" s="1"/>
  <c r="O1451" i="2" a="1"/>
  <c r="O1451" i="2"/>
  <c r="O1452" i="2" a="1"/>
  <c r="O1452" i="2"/>
  <c r="O1453" i="2" a="1"/>
  <c r="O1453" i="2" s="1"/>
  <c r="O1454" i="2" a="1"/>
  <c r="O1454" i="2" s="1"/>
  <c r="O1455" i="2" a="1"/>
  <c r="O1455" i="2"/>
  <c r="O1456" i="2" a="1"/>
  <c r="O1456" i="2"/>
  <c r="O1457" i="2" a="1"/>
  <c r="O1457" i="2" s="1"/>
  <c r="O1458" i="2" a="1"/>
  <c r="O1458" i="2" s="1"/>
  <c r="O1459" i="2" a="1"/>
  <c r="O1459" i="2" s="1"/>
  <c r="O1460" i="2" a="1"/>
  <c r="O1460" i="2" s="1"/>
  <c r="O1461" i="2" a="1"/>
  <c r="O1461" i="2" s="1"/>
  <c r="O1462" i="2" a="1"/>
  <c r="O1462" i="2" s="1"/>
  <c r="O1463" i="2" a="1"/>
  <c r="O1463" i="2" s="1"/>
  <c r="O1464" i="2" a="1"/>
  <c r="O1464" i="2"/>
  <c r="O1465" i="2" a="1"/>
  <c r="O1465" i="2"/>
  <c r="O1466" i="2" a="1"/>
  <c r="O1466" i="2" s="1"/>
  <c r="O1467" i="2" a="1"/>
  <c r="O1467" i="2"/>
  <c r="O1468" i="2" a="1"/>
  <c r="O1468" i="2"/>
  <c r="O1469" i="2" a="1"/>
  <c r="O1469" i="2"/>
  <c r="O1470" i="2" a="1"/>
  <c r="O1470" i="2" s="1"/>
  <c r="O1471" i="2" a="1"/>
  <c r="O1471" i="2" s="1"/>
  <c r="O1472" i="2" a="1"/>
  <c r="O1472" i="2" s="1"/>
  <c r="O1473" i="2" a="1"/>
  <c r="O1473" i="2" s="1"/>
  <c r="O1474" i="2" a="1"/>
  <c r="O1474" i="2" s="1"/>
  <c r="O1475" i="2" a="1"/>
  <c r="O1475" i="2" s="1"/>
  <c r="O1476" i="2" a="1"/>
  <c r="O1476" i="2" s="1"/>
  <c r="O1477" i="2" a="1"/>
  <c r="O1477" i="2"/>
  <c r="O1478" i="2" a="1"/>
  <c r="O1478" i="2" s="1"/>
  <c r="O1479" i="2" a="1"/>
  <c r="O1479" i="2" s="1"/>
  <c r="O1480" i="2" a="1"/>
  <c r="O1480" i="2"/>
  <c r="O1481" i="2" a="1"/>
  <c r="O1481" i="2"/>
  <c r="O1482" i="2" a="1"/>
  <c r="O1482" i="2"/>
  <c r="O1483" i="2" a="1"/>
  <c r="O1483" i="2" s="1"/>
  <c r="O1484" i="2" a="1"/>
  <c r="O1484" i="2" s="1"/>
  <c r="O1485" i="2" a="1"/>
  <c r="O1485" i="2"/>
  <c r="O1486" i="2" a="1"/>
  <c r="O1486" i="2" s="1"/>
  <c r="O1487" i="2" a="1"/>
  <c r="O1487" i="2"/>
  <c r="O1488" i="2" a="1"/>
  <c r="O1488" i="2" s="1"/>
  <c r="O1489" i="2" a="1"/>
  <c r="O1489" i="2" s="1"/>
  <c r="O1490" i="2" a="1"/>
  <c r="O1490" i="2" s="1"/>
  <c r="O1491" i="2" a="1"/>
  <c r="O1491" i="2" s="1"/>
  <c r="O1492" i="2" a="1"/>
  <c r="O1492" i="2" s="1"/>
  <c r="O1493" i="2" a="1"/>
  <c r="O1493" i="2"/>
  <c r="O1494" i="2" a="1"/>
  <c r="O1494" i="2"/>
  <c r="O1495" i="2" a="1"/>
  <c r="O1495" i="2"/>
  <c r="O1496" i="2" a="1"/>
  <c r="O1496" i="2" s="1"/>
  <c r="O1497" i="2" a="1"/>
  <c r="O1497" i="2"/>
  <c r="O1498" i="2" a="1"/>
  <c r="O1498" i="2"/>
  <c r="O1499" i="2" a="1"/>
  <c r="O1499" i="2" s="1"/>
  <c r="O1500" i="2" a="1"/>
  <c r="O1500" i="2"/>
  <c r="O1501" i="2" a="1"/>
  <c r="O1501" i="2" s="1"/>
  <c r="O1502" i="2" a="1"/>
  <c r="O1502" i="2" s="1"/>
  <c r="O1503" i="2" a="1"/>
  <c r="O1503" i="2" s="1"/>
  <c r="O1504" i="2" a="1"/>
  <c r="O1504" i="2" s="1"/>
  <c r="O1505" i="2" a="1"/>
  <c r="O1505" i="2" s="1"/>
  <c r="O1506" i="2" a="1"/>
  <c r="O1506" i="2"/>
  <c r="O1507" i="2" a="1"/>
  <c r="O1507" i="2"/>
  <c r="O1508" i="2" a="1"/>
  <c r="O1508" i="2"/>
  <c r="O1509" i="2" a="1"/>
  <c r="O1509" i="2" s="1"/>
  <c r="O1510" i="2" a="1"/>
  <c r="O1510" i="2" s="1"/>
  <c r="O1511" i="2" a="1"/>
  <c r="O1511" i="2" s="1"/>
  <c r="O1512" i="2" a="1"/>
  <c r="O1512" i="2"/>
  <c r="O1513" i="2" a="1"/>
  <c r="O1513" i="2" s="1"/>
  <c r="O1514" i="2" a="1"/>
  <c r="O1514" i="2" s="1"/>
  <c r="O1515" i="2" a="1"/>
  <c r="O1515" i="2" s="1"/>
  <c r="O1516" i="2" a="1"/>
  <c r="O1516" i="2" s="1"/>
  <c r="O1517" i="2" a="1"/>
  <c r="O1517" i="2" s="1"/>
  <c r="O1518" i="2" a="1"/>
  <c r="O1518" i="2"/>
  <c r="O1519" i="2" a="1"/>
  <c r="O1519" i="2"/>
  <c r="O1520" i="2" a="1"/>
  <c r="O1520" i="2" s="1"/>
  <c r="O1521" i="2" a="1"/>
  <c r="O1521" i="2" s="1"/>
  <c r="O1522" i="2" a="1"/>
  <c r="O1522" i="2" s="1"/>
  <c r="O1523" i="2" a="1"/>
  <c r="O1523" i="2" s="1"/>
  <c r="O1524" i="2" a="1"/>
  <c r="O1524" i="2"/>
  <c r="O1525" i="2" a="1"/>
  <c r="O1525" i="2" s="1"/>
  <c r="O1526" i="2" a="1"/>
  <c r="O1526" i="2" s="1"/>
  <c r="O1527" i="2" a="1"/>
  <c r="O1527" i="2" s="1"/>
  <c r="O1528" i="2" a="1"/>
  <c r="O1528" i="2" s="1"/>
  <c r="O1529" i="2" a="1"/>
  <c r="O1529" i="2" s="1"/>
  <c r="O1530" i="2" a="1"/>
  <c r="O1530" i="2"/>
  <c r="O1531" i="2" a="1"/>
  <c r="O1531" i="2" s="1"/>
  <c r="O1532" i="2" a="1"/>
  <c r="O1532" i="2" s="1"/>
  <c r="O1533" i="2" a="1"/>
  <c r="O1533" i="2" s="1"/>
  <c r="O1534" i="2" a="1"/>
  <c r="O1534" i="2" s="1"/>
  <c r="O1535" i="2" a="1"/>
  <c r="O1535" i="2" s="1"/>
  <c r="O1536" i="2" a="1"/>
  <c r="O1536" i="2"/>
  <c r="O1537" i="2" a="1"/>
  <c r="O1537" i="2"/>
  <c r="O1538" i="2" a="1"/>
  <c r="O1538" i="2" s="1"/>
  <c r="O1539" i="2" a="1"/>
  <c r="O1539" i="2" s="1"/>
  <c r="O1540" i="2" a="1"/>
  <c r="O1540" i="2" s="1"/>
  <c r="O1541" i="2" a="1"/>
  <c r="O1541" i="2" s="1"/>
  <c r="O1542" i="2" a="1"/>
  <c r="O1542" i="2"/>
  <c r="O1543" i="2" a="1"/>
  <c r="O1543" i="2" s="1"/>
  <c r="O1544" i="2" a="1"/>
  <c r="O1544" i="2" s="1"/>
  <c r="O1545" i="2" a="1"/>
  <c r="O1545" i="2" s="1"/>
  <c r="O1546" i="2" a="1"/>
  <c r="O1546" i="2" s="1"/>
  <c r="O1547" i="2" a="1"/>
  <c r="O1547" i="2" s="1"/>
  <c r="O1548" i="2" a="1"/>
  <c r="O1548" i="2" s="1"/>
  <c r="O1549" i="2" a="1"/>
  <c r="O1549" i="2" s="1"/>
  <c r="O1550" i="2" a="1"/>
  <c r="O1550" i="2" s="1"/>
  <c r="O1551" i="2" a="1"/>
  <c r="O1551" i="2" s="1"/>
  <c r="O1552" i="2" a="1"/>
  <c r="O1552" i="2" s="1"/>
  <c r="O1553" i="2" a="1"/>
  <c r="O1553" i="2" s="1"/>
  <c r="O1554" i="2" a="1"/>
  <c r="O1554" i="2"/>
  <c r="O1555" i="2" a="1"/>
  <c r="O1555" i="2"/>
  <c r="O1556" i="2" a="1"/>
  <c r="O1556" i="2" s="1"/>
  <c r="O1557" i="2" a="1"/>
  <c r="O1557" i="2" s="1"/>
  <c r="O1558" i="2" a="1"/>
  <c r="O1558" i="2" s="1"/>
  <c r="O1559" i="2" a="1"/>
  <c r="O1559" i="2" s="1"/>
  <c r="O1560" i="2" a="1"/>
  <c r="O1560" i="2"/>
  <c r="O1561" i="2" a="1"/>
  <c r="O1561" i="2" s="1"/>
  <c r="O1562" i="2" a="1"/>
  <c r="O1562" i="2" s="1"/>
  <c r="O1563" i="2" a="1"/>
  <c r="O1563" i="2" s="1"/>
  <c r="O1564" i="2" a="1"/>
  <c r="O1564" i="2" s="1"/>
  <c r="O1565" i="2" a="1"/>
  <c r="O1565" i="2" s="1"/>
  <c r="O1566" i="2" a="1"/>
  <c r="O1566" i="2" s="1"/>
  <c r="O1567" i="2" a="1"/>
  <c r="O1567" i="2" s="1"/>
  <c r="O1568" i="2" a="1"/>
  <c r="O1568" i="2" s="1"/>
  <c r="O1569" i="2" a="1"/>
  <c r="O1569" i="2" s="1"/>
  <c r="O1570" i="2" a="1"/>
  <c r="O1570" i="2" s="1"/>
  <c r="O1571" i="2" a="1"/>
  <c r="O1571" i="2" s="1"/>
  <c r="O1572" i="2" a="1"/>
  <c r="O1572" i="2"/>
  <c r="O1573" i="2" a="1"/>
  <c r="O1573" i="2"/>
  <c r="O1574" i="2" a="1"/>
  <c r="O1574" i="2" s="1"/>
  <c r="O1575" i="2" a="1"/>
  <c r="O1575" i="2" s="1"/>
  <c r="O1576" i="2" a="1"/>
  <c r="O1576" i="2" s="1"/>
  <c r="O1577" i="2" a="1"/>
  <c r="O1577" i="2" s="1"/>
  <c r="O1578" i="2" a="1"/>
  <c r="O1578" i="2" s="1"/>
  <c r="O1579" i="2" a="1"/>
  <c r="O1579" i="2" s="1"/>
  <c r="O1580" i="2" a="1"/>
  <c r="O1580" i="2" s="1"/>
  <c r="O1581" i="2" a="1"/>
  <c r="O1581" i="2" s="1"/>
  <c r="O1582" i="2" a="1"/>
  <c r="O1582" i="2" s="1"/>
  <c r="O1583" i="2" a="1"/>
  <c r="O1583" i="2" s="1"/>
  <c r="O1584" i="2" a="1"/>
  <c r="O1584" i="2" s="1"/>
  <c r="O1585" i="2" a="1"/>
  <c r="O1585" i="2" s="1"/>
  <c r="O1586" i="2" a="1"/>
  <c r="O1586" i="2" s="1"/>
  <c r="O1587" i="2" a="1"/>
  <c r="O1587" i="2" s="1"/>
  <c r="O1588" i="2" a="1"/>
  <c r="O1588" i="2" s="1"/>
  <c r="O1589" i="2" a="1"/>
  <c r="O1589" i="2" s="1"/>
  <c r="O1590" i="2" a="1"/>
  <c r="O1590" i="2"/>
  <c r="O1591" i="2" a="1"/>
  <c r="O1591" i="2"/>
  <c r="O1592" i="2" a="1"/>
  <c r="O1592" i="2" s="1"/>
  <c r="O1593" i="2" a="1"/>
  <c r="O1593" i="2" s="1"/>
  <c r="O1594" i="2" a="1"/>
  <c r="O1594" i="2" s="1"/>
  <c r="O1595" i="2" a="1"/>
  <c r="O1595" i="2" s="1"/>
  <c r="O1596" i="2" a="1"/>
  <c r="O1596" i="2" s="1"/>
  <c r="O1597" i="2" a="1"/>
  <c r="O1597" i="2" s="1"/>
  <c r="O1598" i="2" a="1"/>
  <c r="O1598" i="2" s="1"/>
  <c r="O1599" i="2" a="1"/>
  <c r="O1599" i="2" s="1"/>
  <c r="O1600" i="2" a="1"/>
  <c r="O1600" i="2" s="1"/>
  <c r="O1601" i="2" a="1"/>
  <c r="O1601" i="2" s="1"/>
  <c r="O1602" i="2" a="1"/>
  <c r="O1602" i="2" s="1"/>
  <c r="O1603" i="2" a="1"/>
  <c r="O1603" i="2" s="1"/>
  <c r="O1604" i="2" a="1"/>
  <c r="O1604" i="2" s="1"/>
  <c r="O1605" i="2" a="1"/>
  <c r="O1605" i="2" s="1"/>
  <c r="O1606" i="2" a="1"/>
  <c r="O1606" i="2" s="1"/>
  <c r="O1607" i="2" a="1"/>
  <c r="O1607" i="2" s="1"/>
  <c r="O1608" i="2" a="1"/>
  <c r="O1608" i="2"/>
  <c r="O1609" i="2" a="1"/>
  <c r="O1609" i="2"/>
  <c r="O1610" i="2" a="1"/>
  <c r="O1610" i="2" s="1"/>
  <c r="O1611" i="2" a="1"/>
  <c r="O1611" i="2" s="1"/>
  <c r="O1612" i="2" a="1"/>
  <c r="O1612" i="2" s="1"/>
  <c r="O1613" i="2" a="1"/>
  <c r="O1613" i="2" s="1"/>
  <c r="O1614" i="2" a="1"/>
  <c r="O1614" i="2" s="1"/>
  <c r="O1615" i="2" a="1"/>
  <c r="O1615" i="2" s="1"/>
  <c r="O1616" i="2" a="1"/>
  <c r="O1616" i="2" s="1"/>
  <c r="O1617" i="2" a="1"/>
  <c r="O1617" i="2" s="1"/>
  <c r="O1618" i="2" a="1"/>
  <c r="O1618" i="2" s="1"/>
  <c r="O1619" i="2" a="1"/>
  <c r="O1619" i="2" s="1"/>
  <c r="O1620" i="2" a="1"/>
  <c r="O1620" i="2" s="1"/>
  <c r="O1621" i="2" a="1"/>
  <c r="O1621" i="2" s="1"/>
  <c r="O1622" i="2" a="1"/>
  <c r="O1622" i="2" s="1"/>
  <c r="O1623" i="2" a="1"/>
  <c r="O1623" i="2" s="1"/>
  <c r="O1624" i="2" a="1"/>
  <c r="O1624" i="2" s="1"/>
  <c r="O1625" i="2" a="1"/>
  <c r="O1625" i="2" s="1"/>
  <c r="O1626" i="2" a="1"/>
  <c r="O1626" i="2"/>
  <c r="O1627" i="2" a="1"/>
  <c r="O1627" i="2"/>
  <c r="O1628" i="2" a="1"/>
  <c r="O1628" i="2" s="1"/>
  <c r="O1629" i="2" a="1"/>
  <c r="O1629" i="2" s="1"/>
  <c r="O1630" i="2" a="1"/>
  <c r="O1630" i="2" s="1"/>
  <c r="O1631" i="2" a="1"/>
  <c r="O1631" i="2" s="1"/>
  <c r="O1632" i="2" a="1"/>
  <c r="O1632" i="2" s="1"/>
  <c r="O1633" i="2" a="1"/>
  <c r="O1633" i="2" s="1"/>
  <c r="O1634" i="2" a="1"/>
  <c r="O1634" i="2" s="1"/>
  <c r="O1635" i="2" a="1"/>
  <c r="O1635" i="2" s="1"/>
  <c r="O1636" i="2" a="1"/>
  <c r="O1636" i="2" s="1"/>
  <c r="O1637" i="2" a="1"/>
  <c r="O1637" i="2" s="1"/>
  <c r="O1638" i="2" a="1"/>
  <c r="O1638" i="2" s="1"/>
  <c r="O1639" i="2" a="1"/>
  <c r="O1639" i="2" s="1"/>
  <c r="O1640" i="2" a="1"/>
  <c r="O1640" i="2" s="1"/>
  <c r="O1641" i="2" a="1"/>
  <c r="O1641" i="2" s="1"/>
  <c r="O1642" i="2" a="1"/>
  <c r="O1642" i="2" s="1"/>
  <c r="O1643" i="2" a="1"/>
  <c r="O1643" i="2" s="1"/>
  <c r="O1644" i="2" a="1"/>
  <c r="O1644" i="2"/>
  <c r="O1645" i="2" a="1"/>
  <c r="O1645" i="2"/>
  <c r="O1646" i="2" a="1"/>
  <c r="O1646" i="2" s="1"/>
  <c r="O1647" i="2" a="1"/>
  <c r="O1647" i="2" s="1"/>
  <c r="O1648" i="2" a="1"/>
  <c r="O1648" i="2" s="1"/>
  <c r="O1649" i="2" a="1"/>
  <c r="O1649" i="2" s="1"/>
  <c r="O1650" i="2" a="1"/>
  <c r="O1650" i="2" s="1"/>
  <c r="O1651" i="2" a="1"/>
  <c r="O1651" i="2" s="1"/>
  <c r="O1652" i="2" a="1"/>
  <c r="O1652" i="2" s="1"/>
  <c r="O1653" i="2" a="1"/>
  <c r="O1653" i="2" s="1"/>
  <c r="O1654" i="2" a="1"/>
  <c r="O1654" i="2" s="1"/>
  <c r="O1655" i="2" a="1"/>
  <c r="O1655" i="2" s="1"/>
  <c r="O1656" i="2" a="1"/>
  <c r="O1656" i="2" s="1"/>
  <c r="O1657" i="2" a="1"/>
  <c r="O1657" i="2" s="1"/>
  <c r="O1658" i="2" a="1"/>
  <c r="O1658" i="2" s="1"/>
  <c r="O1659" i="2" a="1"/>
  <c r="O1659" i="2" s="1"/>
  <c r="O1660" i="2" a="1"/>
  <c r="O1660" i="2" s="1"/>
  <c r="O1661" i="2" a="1"/>
  <c r="O1661" i="2" s="1"/>
  <c r="O1662" i="2" a="1"/>
  <c r="O1662" i="2"/>
  <c r="O1663" i="2" a="1"/>
  <c r="O1663" i="2"/>
  <c r="O1664" i="2" a="1"/>
  <c r="O1664" i="2" s="1"/>
  <c r="O1665" i="2" a="1"/>
  <c r="O1665" i="2" s="1"/>
  <c r="O1666" i="2" a="1"/>
  <c r="O1666" i="2" s="1"/>
  <c r="O1667" i="2" a="1"/>
  <c r="O1667" i="2" s="1"/>
  <c r="O1668" i="2" a="1"/>
  <c r="O1668" i="2" s="1"/>
  <c r="O1669" i="2" a="1"/>
  <c r="O1669" i="2" s="1"/>
  <c r="O1670" i="2" a="1"/>
  <c r="O1670" i="2" s="1"/>
  <c r="O1671" i="2" a="1"/>
  <c r="O1671" i="2" s="1"/>
  <c r="O1672" i="2" a="1"/>
  <c r="O1672" i="2" s="1"/>
  <c r="O1673" i="2" a="1"/>
  <c r="O1673" i="2" s="1"/>
  <c r="O1674" i="2" a="1"/>
  <c r="O1674" i="2" s="1"/>
  <c r="O1675" i="2" a="1"/>
  <c r="O1675" i="2" s="1"/>
  <c r="O1676" i="2" a="1"/>
  <c r="O1676" i="2" s="1"/>
  <c r="O1677" i="2" a="1"/>
  <c r="O1677" i="2" s="1"/>
  <c r="O1678" i="2" a="1"/>
  <c r="O1678" i="2" s="1"/>
  <c r="O1679" i="2" a="1"/>
  <c r="O1679" i="2" s="1"/>
  <c r="O1680" i="2" a="1"/>
  <c r="O1680" i="2"/>
  <c r="O1681" i="2" a="1"/>
  <c r="O1681" i="2"/>
  <c r="O1682" i="2" a="1"/>
  <c r="O1682" i="2" s="1"/>
  <c r="O1683" i="2" a="1"/>
  <c r="O1683" i="2" s="1"/>
  <c r="O1684" i="2" a="1"/>
  <c r="O1684" i="2" s="1"/>
  <c r="O1685" i="2" a="1"/>
  <c r="O1685" i="2" s="1"/>
  <c r="O1686" i="2" a="1"/>
  <c r="O1686" i="2" s="1"/>
  <c r="O1687" i="2" a="1"/>
  <c r="O1687" i="2" s="1"/>
  <c r="O1688" i="2" a="1"/>
  <c r="O1688" i="2" s="1"/>
  <c r="O1689" i="2" a="1"/>
  <c r="O1689" i="2" s="1"/>
  <c r="O1690" i="2" a="1"/>
  <c r="O1690" i="2" s="1"/>
  <c r="O1691" i="2" a="1"/>
  <c r="O1691" i="2" s="1"/>
  <c r="O1692" i="2" a="1"/>
  <c r="O1692" i="2" s="1"/>
  <c r="O1693" i="2" a="1"/>
  <c r="O1693" i="2" s="1"/>
  <c r="O1694" i="2" a="1"/>
  <c r="O1694" i="2" s="1"/>
  <c r="O1695" i="2" a="1"/>
  <c r="O1695" i="2" s="1"/>
  <c r="O1696" i="2" a="1"/>
  <c r="O1696" i="2" s="1"/>
  <c r="O1697" i="2" a="1"/>
  <c r="O1697" i="2" s="1"/>
  <c r="O1698" i="2" a="1"/>
  <c r="O1698" i="2"/>
  <c r="O1699" i="2" a="1"/>
  <c r="O1699" i="2"/>
  <c r="O1700" i="2" a="1"/>
  <c r="O1700" i="2" s="1"/>
  <c r="O1701" i="2" a="1"/>
  <c r="O1701" i="2" s="1"/>
  <c r="O1702" i="2" a="1"/>
  <c r="O1702" i="2" s="1"/>
  <c r="O1703" i="2" a="1"/>
  <c r="O1703" i="2" s="1"/>
  <c r="O1704" i="2" a="1"/>
  <c r="O1704" i="2" s="1"/>
  <c r="O1705" i="2" a="1"/>
  <c r="O1705" i="2" s="1"/>
  <c r="O1706" i="2" a="1"/>
  <c r="O1706" i="2" s="1"/>
  <c r="O1707" i="2" a="1"/>
  <c r="O1707" i="2" s="1"/>
  <c r="O1708" i="2" a="1"/>
  <c r="O1708" i="2" s="1"/>
  <c r="O1709" i="2" a="1"/>
  <c r="O1709" i="2" s="1"/>
  <c r="O1710" i="2" a="1"/>
  <c r="O1710" i="2" s="1"/>
  <c r="O1711" i="2" a="1"/>
  <c r="O1711" i="2" s="1"/>
  <c r="O1712" i="2" a="1"/>
  <c r="O1712" i="2" s="1"/>
  <c r="O1713" i="2" a="1"/>
  <c r="O1713" i="2" s="1"/>
  <c r="O1714" i="2" a="1"/>
  <c r="O1714" i="2" s="1"/>
  <c r="O1715" i="2" a="1"/>
  <c r="O1715" i="2" s="1"/>
  <c r="O1716" i="2" a="1"/>
  <c r="O1716" i="2"/>
  <c r="O1717" i="2" a="1"/>
  <c r="O1717" i="2"/>
  <c r="O1718" i="2" a="1"/>
  <c r="O1718" i="2" s="1"/>
  <c r="O1719" i="2" a="1"/>
  <c r="O1719" i="2" s="1"/>
  <c r="O1720" i="2" a="1"/>
  <c r="O1720" i="2" s="1"/>
  <c r="O1721" i="2" a="1"/>
  <c r="O1721" i="2" s="1"/>
  <c r="O1722" i="2" a="1"/>
  <c r="O1722" i="2" s="1"/>
  <c r="O1723" i="2" a="1"/>
  <c r="O1723" i="2" s="1"/>
  <c r="O1724" i="2" a="1"/>
  <c r="O1724" i="2" s="1"/>
  <c r="O1725" i="2" a="1"/>
  <c r="O1725" i="2" s="1"/>
  <c r="O1726" i="2" a="1"/>
  <c r="O1726" i="2" s="1"/>
  <c r="O1727" i="2" a="1"/>
  <c r="O1727" i="2" s="1"/>
  <c r="O1728" i="2" a="1"/>
  <c r="O1728" i="2" s="1"/>
  <c r="O1729" i="2" a="1"/>
  <c r="O1729" i="2" s="1"/>
  <c r="O1730" i="2" a="1"/>
  <c r="O1730" i="2" s="1"/>
  <c r="O1731" i="2" a="1"/>
  <c r="O1731" i="2" s="1"/>
  <c r="O1732" i="2" a="1"/>
  <c r="O1732" i="2" s="1"/>
  <c r="O1733" i="2" a="1"/>
  <c r="O1733" i="2" s="1"/>
  <c r="O1734" i="2" a="1"/>
  <c r="O1734" i="2"/>
  <c r="O1735" i="2" a="1"/>
  <c r="O1735" i="2"/>
  <c r="O1736" i="2" a="1"/>
  <c r="O1736" i="2" s="1"/>
  <c r="O1737" i="2" a="1"/>
  <c r="O1737" i="2" s="1"/>
  <c r="O1738" i="2" a="1"/>
  <c r="O1738" i="2" s="1"/>
  <c r="O1739" i="2" a="1"/>
  <c r="O1739" i="2" s="1"/>
  <c r="O1740" i="2" a="1"/>
  <c r="O1740" i="2" s="1"/>
  <c r="O1741" i="2" a="1"/>
  <c r="O1741" i="2" s="1"/>
  <c r="O1742" i="2" a="1"/>
  <c r="O1742" i="2" s="1"/>
  <c r="O1743" i="2" a="1"/>
  <c r="O1743" i="2" s="1"/>
  <c r="O1744" i="2" a="1"/>
  <c r="O1744" i="2" s="1"/>
  <c r="O1745" i="2" a="1"/>
  <c r="O1745" i="2" s="1"/>
  <c r="O1746" i="2" a="1"/>
  <c r="O1746" i="2" s="1"/>
  <c r="O1747" i="2" a="1"/>
  <c r="O1747" i="2" s="1"/>
  <c r="O1748" i="2" a="1"/>
  <c r="O1748" i="2" s="1"/>
  <c r="O1749" i="2" a="1"/>
  <c r="O1749" i="2" s="1"/>
  <c r="O1750" i="2" a="1"/>
  <c r="O1750" i="2" s="1"/>
  <c r="O1751" i="2" a="1"/>
  <c r="O1751" i="2" s="1"/>
  <c r="O1752" i="2" a="1"/>
  <c r="O1752" i="2"/>
  <c r="O1753" i="2" a="1"/>
  <c r="O1753" i="2"/>
  <c r="O1754" i="2" a="1"/>
  <c r="O1754" i="2" s="1"/>
  <c r="O1755" i="2" a="1"/>
  <c r="O1755" i="2" s="1"/>
  <c r="O1756" i="2" a="1"/>
  <c r="O1756" i="2" s="1"/>
  <c r="O1757" i="2" a="1"/>
  <c r="O1757" i="2" s="1"/>
  <c r="O1758" i="2" a="1"/>
  <c r="O1758" i="2" s="1"/>
  <c r="O1759" i="2" a="1"/>
  <c r="O1759" i="2" s="1"/>
  <c r="O1760" i="2" a="1"/>
  <c r="O1760" i="2" s="1"/>
  <c r="O1761" i="2" a="1"/>
  <c r="O1761" i="2" s="1"/>
  <c r="O1762" i="2" a="1"/>
  <c r="O1762" i="2" s="1"/>
  <c r="O1763" i="2" a="1"/>
  <c r="O1763" i="2" s="1"/>
  <c r="O1764" i="2" a="1"/>
  <c r="O1764" i="2" s="1"/>
  <c r="O1765" i="2" a="1"/>
  <c r="O1765" i="2" s="1"/>
  <c r="O1766" i="2" a="1"/>
  <c r="O1766" i="2" s="1"/>
  <c r="O1767" i="2" a="1"/>
  <c r="O1767" i="2" s="1"/>
  <c r="O1768" i="2" a="1"/>
  <c r="O1768" i="2" s="1"/>
  <c r="O1769" i="2" a="1"/>
  <c r="O1769" i="2" s="1"/>
  <c r="O1770" i="2" a="1"/>
  <c r="O1770" i="2"/>
  <c r="O1771" i="2" a="1"/>
  <c r="O1771" i="2"/>
  <c r="O1772" i="2" a="1"/>
  <c r="O1772" i="2" s="1"/>
  <c r="O1773" i="2" a="1"/>
  <c r="O1773" i="2" s="1"/>
  <c r="O1774" i="2" a="1"/>
  <c r="O1774" i="2" s="1"/>
  <c r="O1775" i="2" a="1"/>
  <c r="O1775" i="2" s="1"/>
  <c r="O1776" i="2" a="1"/>
  <c r="O1776" i="2" s="1"/>
  <c r="O1777" i="2" a="1"/>
  <c r="O1777" i="2" s="1"/>
  <c r="O1778" i="2" a="1"/>
  <c r="O1778" i="2" s="1"/>
  <c r="O1779" i="2" a="1"/>
  <c r="O1779" i="2" s="1"/>
  <c r="O1780" i="2" a="1"/>
  <c r="O1780" i="2" s="1"/>
  <c r="O1781" i="2" a="1"/>
  <c r="O1781" i="2" s="1"/>
  <c r="O1782" i="2" a="1"/>
  <c r="O1782" i="2" s="1"/>
  <c r="O1783" i="2" a="1"/>
  <c r="O1783" i="2" s="1"/>
  <c r="O1784" i="2" a="1"/>
  <c r="O1784" i="2" s="1"/>
  <c r="O1785" i="2" a="1"/>
  <c r="O1785" i="2" s="1"/>
  <c r="O1786" i="2" a="1"/>
  <c r="O1786" i="2" s="1"/>
  <c r="O1787" i="2" a="1"/>
  <c r="O1787" i="2" s="1"/>
  <c r="O1788" i="2" a="1"/>
  <c r="O1788" i="2"/>
  <c r="O1789" i="2" a="1"/>
  <c r="O1789" i="2"/>
  <c r="O1790" i="2" a="1"/>
  <c r="O1790" i="2" s="1"/>
  <c r="O1791" i="2" a="1"/>
  <c r="O1791" i="2" s="1"/>
  <c r="O1792" i="2" a="1"/>
  <c r="O1792" i="2" s="1"/>
  <c r="O1793" i="2" a="1"/>
  <c r="O1793" i="2" s="1"/>
  <c r="O1794" i="2" a="1"/>
  <c r="O1794" i="2" s="1"/>
  <c r="O1795" i="2" a="1"/>
  <c r="O1795" i="2" s="1"/>
  <c r="O1796" i="2" a="1"/>
  <c r="O1796" i="2" s="1"/>
  <c r="O1797" i="2" a="1"/>
  <c r="O1797" i="2" s="1"/>
  <c r="O1798" i="2" a="1"/>
  <c r="O1798" i="2" s="1"/>
  <c r="O1799" i="2" a="1"/>
  <c r="O1799" i="2" s="1"/>
  <c r="O1800" i="2" a="1"/>
  <c r="O1800" i="2" s="1"/>
  <c r="O1801" i="2" a="1"/>
  <c r="O1801" i="2" s="1"/>
  <c r="O1802" i="2" a="1"/>
  <c r="O1802" i="2" s="1"/>
  <c r="O1803" i="2" a="1"/>
  <c r="O1803" i="2" s="1"/>
  <c r="O1804" i="2" a="1"/>
  <c r="O1804" i="2" s="1"/>
  <c r="O1805" i="2" a="1"/>
  <c r="O1805" i="2" s="1"/>
  <c r="O1806" i="2" a="1"/>
  <c r="O1806" i="2"/>
  <c r="O1807" i="2" a="1"/>
  <c r="O1807" i="2"/>
  <c r="O1808" i="2" a="1"/>
  <c r="O1808" i="2" s="1"/>
  <c r="O1809" i="2" a="1"/>
  <c r="O1809" i="2" s="1"/>
  <c r="O1810" i="2" a="1"/>
  <c r="O1810" i="2" s="1"/>
  <c r="O1811" i="2" a="1"/>
  <c r="O1811" i="2" s="1"/>
  <c r="O1812" i="2" a="1"/>
  <c r="O1812" i="2" s="1"/>
  <c r="O1813" i="2" a="1"/>
  <c r="O1813" i="2" s="1"/>
  <c r="O1814" i="2" a="1"/>
  <c r="O1814" i="2" s="1"/>
  <c r="O1815" i="2" a="1"/>
  <c r="O1815" i="2" s="1"/>
  <c r="O1816" i="2" a="1"/>
  <c r="O1816" i="2" s="1"/>
  <c r="O1817" i="2" a="1"/>
  <c r="O1817" i="2" s="1"/>
  <c r="O1818" i="2" a="1"/>
  <c r="O1818" i="2" s="1"/>
  <c r="O1819" i="2" a="1"/>
  <c r="O1819" i="2" s="1"/>
  <c r="O1820" i="2" a="1"/>
  <c r="O1820" i="2" s="1"/>
  <c r="O1821" i="2" a="1"/>
  <c r="O1821" i="2" s="1"/>
  <c r="O1822" i="2" a="1"/>
  <c r="O1822" i="2" s="1"/>
  <c r="O1823" i="2" a="1"/>
  <c r="O1823" i="2" s="1"/>
  <c r="O1824" i="2" a="1"/>
  <c r="O1824" i="2"/>
  <c r="O1825" i="2" a="1"/>
  <c r="O1825" i="2"/>
  <c r="O1826" i="2" a="1"/>
  <c r="O1826" i="2" s="1"/>
  <c r="O1827" i="2" a="1"/>
  <c r="O1827" i="2" s="1"/>
  <c r="O1828" i="2" a="1"/>
  <c r="O1828" i="2" s="1"/>
  <c r="O1829" i="2" a="1"/>
  <c r="O1829" i="2" s="1"/>
  <c r="O1830" i="2" a="1"/>
  <c r="O1830" i="2" s="1"/>
  <c r="O1831" i="2" a="1"/>
  <c r="O1831" i="2" s="1"/>
  <c r="O1832" i="2" a="1"/>
  <c r="O1832" i="2" s="1"/>
  <c r="O1833" i="2" a="1"/>
  <c r="O1833" i="2" s="1"/>
  <c r="O1834" i="2" a="1"/>
  <c r="O1834" i="2" s="1"/>
  <c r="O1835" i="2" a="1"/>
  <c r="O1835" i="2" s="1"/>
  <c r="O1836" i="2" a="1"/>
  <c r="O1836" i="2" s="1"/>
  <c r="O1837" i="2" a="1"/>
  <c r="O1837" i="2" s="1"/>
  <c r="O1838" i="2" a="1"/>
  <c r="O1838" i="2" s="1"/>
  <c r="O1839" i="2" a="1"/>
  <c r="O1839" i="2" s="1"/>
  <c r="O1840" i="2" a="1"/>
  <c r="O1840" i="2" s="1"/>
  <c r="O1841" i="2" a="1"/>
  <c r="O1841" i="2" s="1"/>
  <c r="O1842" i="2" a="1"/>
  <c r="O1842" i="2"/>
  <c r="O1843" i="2" a="1"/>
  <c r="O1843" i="2"/>
  <c r="O1844" i="2" a="1"/>
  <c r="O1844" i="2" s="1"/>
  <c r="O1845" i="2" a="1"/>
  <c r="O1845" i="2" s="1"/>
  <c r="O1846" i="2" a="1"/>
  <c r="O1846" i="2" s="1"/>
  <c r="O1847" i="2" a="1"/>
  <c r="O1847" i="2" s="1"/>
  <c r="O1848" i="2" a="1"/>
  <c r="O1848" i="2" s="1"/>
  <c r="O1849" i="2" a="1"/>
  <c r="O1849" i="2" s="1"/>
  <c r="O1850" i="2" a="1"/>
  <c r="O1850" i="2" s="1"/>
  <c r="O1851" i="2" a="1"/>
  <c r="O1851" i="2" s="1"/>
  <c r="O1852" i="2" a="1"/>
  <c r="O1852" i="2" s="1"/>
  <c r="O1853" i="2" a="1"/>
  <c r="O1853" i="2" s="1"/>
  <c r="O1854" i="2" a="1"/>
  <c r="O1854" i="2" s="1"/>
  <c r="O1855" i="2" a="1"/>
  <c r="O1855" i="2" s="1"/>
  <c r="O1856" i="2" a="1"/>
  <c r="O1856" i="2" s="1"/>
  <c r="O1857" i="2" a="1"/>
  <c r="O1857" i="2" s="1"/>
  <c r="O1858" i="2" a="1"/>
  <c r="O1858" i="2" s="1"/>
  <c r="O1859" i="2" a="1"/>
  <c r="O1859" i="2" s="1"/>
  <c r="O1860" i="2" a="1"/>
  <c r="O1860" i="2"/>
  <c r="O1861" i="2" a="1"/>
  <c r="O1861" i="2"/>
  <c r="O1862" i="2" a="1"/>
  <c r="O1862" i="2" s="1"/>
  <c r="O1863" i="2" a="1"/>
  <c r="O1863" i="2" s="1"/>
  <c r="O1864" i="2" a="1"/>
  <c r="O1864" i="2" s="1"/>
  <c r="O1865" i="2" a="1"/>
  <c r="O1865" i="2" s="1"/>
  <c r="O1866" i="2" a="1"/>
  <c r="O1866" i="2" s="1"/>
  <c r="O1867" i="2" a="1"/>
  <c r="O1867" i="2" s="1"/>
  <c r="O1868" i="2" a="1"/>
  <c r="O1868" i="2" s="1"/>
  <c r="O1869" i="2" a="1"/>
  <c r="O1869" i="2" s="1"/>
  <c r="O1870" i="2" a="1"/>
  <c r="O1870" i="2" s="1"/>
  <c r="O1871" i="2" a="1"/>
  <c r="O1871" i="2" s="1"/>
  <c r="O1872" i="2" a="1"/>
  <c r="O1872" i="2" s="1"/>
  <c r="O1873" i="2" a="1"/>
  <c r="O1873" i="2" s="1"/>
  <c r="O1874" i="2" a="1"/>
  <c r="O1874" i="2" s="1"/>
  <c r="O1875" i="2" a="1"/>
  <c r="O1875" i="2" s="1"/>
  <c r="O1876" i="2" a="1"/>
  <c r="O1876" i="2" s="1"/>
  <c r="O1877" i="2" a="1"/>
  <c r="O1877" i="2" s="1"/>
  <c r="O1878" i="2" a="1"/>
  <c r="O1878" i="2"/>
  <c r="O1879" i="2" a="1"/>
  <c r="O1879" i="2"/>
  <c r="O1880" i="2" a="1"/>
  <c r="O1880" i="2" s="1"/>
  <c r="O1881" i="2" a="1"/>
  <c r="O1881" i="2" s="1"/>
  <c r="O1882" i="2" a="1"/>
  <c r="O1882" i="2" s="1"/>
  <c r="O1883" i="2" a="1"/>
  <c r="O1883" i="2" s="1"/>
  <c r="O1884" i="2" a="1"/>
  <c r="O1884" i="2" s="1"/>
  <c r="O1885" i="2" a="1"/>
  <c r="O1885" i="2" s="1"/>
  <c r="O1886" i="2" a="1"/>
  <c r="O1886" i="2" s="1"/>
  <c r="O1887" i="2" a="1"/>
  <c r="O1887" i="2" s="1"/>
  <c r="O1888" i="2" a="1"/>
  <c r="O1888" i="2" s="1"/>
  <c r="O1889" i="2" a="1"/>
  <c r="O1889" i="2" s="1"/>
  <c r="O1890" i="2" a="1"/>
  <c r="O1890" i="2" s="1"/>
  <c r="O1891" i="2" a="1"/>
  <c r="O1891" i="2" s="1"/>
  <c r="O1892" i="2" a="1"/>
  <c r="O1892" i="2" s="1"/>
  <c r="O1893" i="2" a="1"/>
  <c r="O1893" i="2" s="1"/>
  <c r="O1894" i="2" a="1"/>
  <c r="O1894" i="2" s="1"/>
  <c r="O1895" i="2" a="1"/>
  <c r="O1895" i="2"/>
  <c r="O1896" i="2" a="1"/>
  <c r="O1896" i="2"/>
  <c r="O1897" i="2" a="1"/>
  <c r="O1897" i="2"/>
  <c r="O1898" i="2" a="1"/>
  <c r="O1898" i="2"/>
  <c r="O1899" i="2" a="1"/>
  <c r="O1899" i="2"/>
  <c r="O1900" i="2" a="1"/>
  <c r="O1900" i="2"/>
  <c r="O1901" i="2" a="1"/>
  <c r="O1901" i="2"/>
  <c r="O1902" i="2" a="1"/>
  <c r="O1902" i="2"/>
  <c r="O1903" i="2" a="1"/>
  <c r="O1903" i="2"/>
  <c r="O1904" i="2" a="1"/>
  <c r="O1904" i="2"/>
  <c r="O1905" i="2" a="1"/>
  <c r="O1905" i="2"/>
  <c r="O1906" i="2" a="1"/>
  <c r="O1906" i="2"/>
  <c r="O1907" i="2" a="1"/>
  <c r="O1907" i="2"/>
  <c r="O1908" i="2" a="1"/>
  <c r="O1908" i="2"/>
  <c r="O1909" i="2" a="1"/>
  <c r="O1909" i="2"/>
  <c r="O1910" i="2" a="1"/>
  <c r="O1910" i="2"/>
  <c r="O1911" i="2" a="1"/>
  <c r="O1911" i="2"/>
  <c r="O1912" i="2" a="1"/>
  <c r="O1912" i="2"/>
  <c r="O1913" i="2" a="1"/>
  <c r="O1913" i="2"/>
  <c r="O1914" i="2" a="1"/>
  <c r="O1914" i="2"/>
  <c r="O1915" i="2" a="1"/>
  <c r="O1915" i="2"/>
  <c r="O1916" i="2" a="1"/>
  <c r="O1916" i="2"/>
  <c r="O1917" i="2" a="1"/>
  <c r="O1917" i="2"/>
  <c r="O1918" i="2" a="1"/>
  <c r="O1918" i="2"/>
  <c r="O1919" i="2" a="1"/>
  <c r="O1919" i="2"/>
  <c r="O1920" i="2" a="1"/>
  <c r="O1920" i="2"/>
  <c r="O1921" i="2" a="1"/>
  <c r="O1921" i="2"/>
  <c r="O1922" i="2" a="1"/>
  <c r="O1922" i="2"/>
  <c r="O1923" i="2" a="1"/>
  <c r="O1923" i="2"/>
  <c r="O1924" i="2" a="1"/>
  <c r="O1924" i="2"/>
  <c r="O1925" i="2" a="1"/>
  <c r="O1925" i="2"/>
  <c r="O1926" i="2" a="1"/>
  <c r="O1926" i="2"/>
  <c r="O1927" i="2" a="1"/>
  <c r="O1927" i="2"/>
  <c r="O1928" i="2" a="1"/>
  <c r="O1928" i="2"/>
  <c r="O1929" i="2" a="1"/>
  <c r="O1929" i="2"/>
  <c r="O1930" i="2" a="1"/>
  <c r="O1930" i="2"/>
  <c r="O1931" i="2" a="1"/>
  <c r="O1931" i="2"/>
  <c r="O1932" i="2" a="1"/>
  <c r="O1932" i="2"/>
  <c r="O1933" i="2" a="1"/>
  <c r="O1933" i="2"/>
  <c r="O1934" i="2" a="1"/>
  <c r="O1934" i="2"/>
  <c r="O1935" i="2" a="1"/>
  <c r="O1935" i="2"/>
  <c r="O1936" i="2" a="1"/>
  <c r="O1936" i="2"/>
  <c r="O1937" i="2" a="1"/>
  <c r="O1937" i="2"/>
  <c r="O1938" i="2" a="1"/>
  <c r="O1938" i="2"/>
  <c r="O1939" i="2" a="1"/>
  <c r="O1939" i="2"/>
  <c r="O1940" i="2" a="1"/>
  <c r="O1940" i="2"/>
  <c r="O1941" i="2" a="1"/>
  <c r="O1941" i="2"/>
  <c r="O1942" i="2" a="1"/>
  <c r="O1942" i="2"/>
  <c r="O1943" i="2" a="1"/>
  <c r="O1943" i="2"/>
  <c r="O1944" i="2" a="1"/>
  <c r="O1944" i="2"/>
  <c r="O1945" i="2" a="1"/>
  <c r="O1945" i="2"/>
  <c r="O1946" i="2" a="1"/>
  <c r="O1946" i="2"/>
  <c r="O1947" i="2" a="1"/>
  <c r="O1947" i="2"/>
  <c r="O1948" i="2" a="1"/>
  <c r="O1948" i="2"/>
  <c r="O1949" i="2" a="1"/>
  <c r="O1949" i="2"/>
  <c r="O1950" i="2" a="1"/>
  <c r="O1950" i="2"/>
  <c r="O1951" i="2" a="1"/>
  <c r="O1951" i="2"/>
  <c r="O1952" i="2" a="1"/>
  <c r="O1952" i="2"/>
  <c r="O1953" i="2" a="1"/>
  <c r="O1953" i="2"/>
  <c r="O1954" i="2" a="1"/>
  <c r="O1954" i="2"/>
  <c r="O1955" i="2" a="1"/>
  <c r="O1955" i="2"/>
  <c r="O1956" i="2" a="1"/>
  <c r="O1956" i="2"/>
  <c r="O1957" i="2" a="1"/>
  <c r="O1957" i="2"/>
  <c r="O1958" i="2" a="1"/>
  <c r="O1958" i="2"/>
  <c r="O1959" i="2" a="1"/>
  <c r="O1959" i="2"/>
  <c r="O1960" i="2" a="1"/>
  <c r="O1960" i="2"/>
  <c r="O1961" i="2" a="1"/>
  <c r="O1961" i="2"/>
  <c r="O1962" i="2" a="1"/>
  <c r="O1962" i="2"/>
  <c r="O1963" i="2" a="1"/>
  <c r="O1963" i="2"/>
  <c r="O1964" i="2" a="1"/>
  <c r="O1964" i="2"/>
  <c r="O1965" i="2" a="1"/>
  <c r="O1965" i="2"/>
  <c r="O1966" i="2" a="1"/>
  <c r="O1966" i="2"/>
  <c r="O1967" i="2" a="1"/>
  <c r="O1967" i="2"/>
  <c r="O1968" i="2" a="1"/>
  <c r="O1968" i="2"/>
  <c r="O1969" i="2" a="1"/>
  <c r="O1969" i="2"/>
  <c r="O1970" i="2" a="1"/>
  <c r="O1970" i="2"/>
  <c r="O1971" i="2" a="1"/>
  <c r="O1971" i="2"/>
  <c r="O1972" i="2" a="1"/>
  <c r="O1972" i="2"/>
  <c r="O1973" i="2" a="1"/>
  <c r="O1973" i="2"/>
  <c r="O1974" i="2" a="1"/>
  <c r="O1974" i="2"/>
  <c r="O1975" i="2" a="1"/>
  <c r="O1975" i="2"/>
  <c r="O1976" i="2" a="1"/>
  <c r="O1976" i="2"/>
  <c r="O1977" i="2" a="1"/>
  <c r="O1977" i="2"/>
  <c r="O1978" i="2" a="1"/>
  <c r="O1978" i="2"/>
  <c r="O1979" i="2" a="1"/>
  <c r="O1979" i="2"/>
  <c r="O1980" i="2" a="1"/>
  <c r="O1980" i="2"/>
  <c r="O1981" i="2" a="1"/>
  <c r="O1981" i="2"/>
  <c r="O1982" i="2" a="1"/>
  <c r="O1982" i="2"/>
  <c r="O1983" i="2" a="1"/>
  <c r="O1983" i="2"/>
  <c r="O1984" i="2" a="1"/>
  <c r="O1984" i="2"/>
  <c r="O1985" i="2" a="1"/>
  <c r="O1985" i="2"/>
  <c r="O1986" i="2" a="1"/>
  <c r="O1986" i="2"/>
  <c r="O1987" i="2" a="1"/>
  <c r="O1987" i="2"/>
  <c r="O1988" i="2" a="1"/>
  <c r="O1988" i="2"/>
  <c r="O1989" i="2" a="1"/>
  <c r="O1989" i="2"/>
  <c r="O1990" i="2" a="1"/>
  <c r="O1990" i="2"/>
  <c r="O1991" i="2" a="1"/>
  <c r="O1991" i="2"/>
  <c r="O1992" i="2" a="1"/>
  <c r="O1992" i="2"/>
  <c r="O1993" i="2" a="1"/>
  <c r="O1993" i="2"/>
  <c r="O1994" i="2" a="1"/>
  <c r="O1994" i="2"/>
  <c r="O1995" i="2" a="1"/>
  <c r="O1995" i="2"/>
  <c r="O1996" i="2" a="1"/>
  <c r="O1996" i="2"/>
  <c r="O1997" i="2" a="1"/>
  <c r="O1997" i="2"/>
  <c r="O1998" i="2" a="1"/>
  <c r="O1998" i="2"/>
  <c r="O1999" i="2" a="1"/>
  <c r="O1999" i="2"/>
  <c r="O2000" i="2" a="1"/>
  <c r="O2000" i="2"/>
  <c r="O2001" i="2" a="1"/>
  <c r="O2001" i="2"/>
  <c r="O2002" i="2" a="1"/>
  <c r="O2002" i="2"/>
  <c r="O2003" i="2" a="1"/>
  <c r="O2003" i="2"/>
  <c r="O2004" i="2" a="1"/>
  <c r="O2004" i="2"/>
  <c r="O2005" i="2" a="1"/>
  <c r="O2005" i="2"/>
  <c r="O2006" i="2" a="1"/>
  <c r="O2006" i="2"/>
  <c r="O2007" i="2" a="1"/>
  <c r="O2007" i="2"/>
  <c r="O2008" i="2" a="1"/>
  <c r="O2008" i="2"/>
  <c r="O2009" i="2" a="1"/>
  <c r="O2009" i="2"/>
  <c r="O2010" i="2" a="1"/>
  <c r="O2010" i="2"/>
  <c r="O2011" i="2" a="1"/>
  <c r="O2011" i="2"/>
  <c r="O2012" i="2" a="1"/>
  <c r="O2012" i="2"/>
  <c r="O2013" i="2" a="1"/>
  <c r="O2013" i="2"/>
  <c r="O2014" i="2" a="1"/>
  <c r="O2014" i="2" s="1"/>
  <c r="O2015" i="2" a="1"/>
  <c r="O2015" i="2" s="1"/>
  <c r="O2016" i="2" a="1"/>
  <c r="O2016" i="2"/>
  <c r="O2017" i="2" a="1"/>
  <c r="O2017" i="2"/>
  <c r="O2018" i="2" a="1"/>
  <c r="O2018" i="2"/>
  <c r="O2019" i="2" a="1"/>
  <c r="O2019" i="2"/>
  <c r="O2020" i="2" a="1"/>
  <c r="O2020" i="2" s="1"/>
  <c r="O2021" i="2" a="1"/>
  <c r="O2021" i="2" s="1"/>
  <c r="O2022" i="2" a="1"/>
  <c r="O2022" i="2"/>
  <c r="O2023" i="2" a="1"/>
  <c r="O2023" i="2"/>
  <c r="O2024" i="2" a="1"/>
  <c r="O2024" i="2"/>
  <c r="O2025" i="2" a="1"/>
  <c r="O2025" i="2"/>
  <c r="O2026" i="2" a="1"/>
  <c r="O2026" i="2" s="1"/>
  <c r="O2027" i="2" a="1"/>
  <c r="O2027" i="2" s="1"/>
  <c r="O2028" i="2" a="1"/>
  <c r="O2028" i="2"/>
  <c r="O2029" i="2" a="1"/>
  <c r="O2029" i="2"/>
  <c r="O2030" i="2" a="1"/>
  <c r="O2030" i="2"/>
  <c r="O2031" i="2" a="1"/>
  <c r="O2031" i="2"/>
  <c r="O2032" i="2" a="1"/>
  <c r="O2032" i="2" s="1"/>
  <c r="O2033" i="2" a="1"/>
  <c r="O2033" i="2" s="1"/>
  <c r="O2034" i="2" a="1"/>
  <c r="O2034" i="2"/>
  <c r="O2035" i="2" a="1"/>
  <c r="O2035" i="2"/>
  <c r="O2036" i="2" a="1"/>
  <c r="O2036" i="2"/>
  <c r="O2037" i="2" a="1"/>
  <c r="O2037" i="2"/>
  <c r="O2038" i="2" a="1"/>
  <c r="O2038" i="2" s="1"/>
  <c r="O2039" i="2" a="1"/>
  <c r="O2039" i="2" s="1"/>
  <c r="O2041" i="2" a="1"/>
  <c r="O2041" i="2"/>
  <c r="O2042" i="2" a="1"/>
  <c r="O2042" i="2"/>
  <c r="O2044" i="2" a="1"/>
  <c r="O2044" i="2" s="1"/>
  <c r="O2045" i="2" a="1"/>
  <c r="O2045" i="2" s="1"/>
  <c r="O2046" i="2" a="1"/>
  <c r="O2046" i="2"/>
  <c r="O2047" i="2" a="1"/>
  <c r="O2047" i="2"/>
  <c r="O2" i="2" a="1"/>
  <c r="O2" i="2" s="1"/>
  <c r="O3" i="2" a="1"/>
  <c r="O3" i="2" s="1"/>
  <c r="O4" i="2" a="1"/>
  <c r="O4" i="2"/>
  <c r="O5" i="2" a="1"/>
  <c r="O5" i="2"/>
  <c r="A1" i="7"/>
  <c r="T793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S1001" i="2"/>
  <c r="S1002" i="2"/>
  <c r="C1002" i="2" s="1" a="1"/>
  <c r="C1002" i="2" s="1"/>
  <c r="S1003" i="2"/>
  <c r="S1004" i="2"/>
  <c r="S1005" i="2"/>
  <c r="S1006" i="2"/>
  <c r="S1007" i="2"/>
  <c r="S1008" i="2"/>
  <c r="C1008" i="2" s="1" a="1"/>
  <c r="C1008" i="2" s="1"/>
  <c r="S1009" i="2"/>
  <c r="C1009" i="2" s="1" a="1"/>
  <c r="C1009" i="2" s="1"/>
  <c r="S1010" i="2"/>
  <c r="C1010" i="2" s="1" a="1"/>
  <c r="C1010" i="2" s="1"/>
  <c r="S1011" i="2"/>
  <c r="C1011" i="2" s="1" a="1"/>
  <c r="C1011" i="2" s="1"/>
  <c r="S1012" i="2"/>
  <c r="C1012" i="2" s="1" a="1"/>
  <c r="C1012" i="2" s="1"/>
  <c r="S1013" i="2"/>
  <c r="C1013" i="2" s="1" a="1"/>
  <c r="C1013" i="2" s="1"/>
  <c r="S1014" i="2"/>
  <c r="C1014" i="2" s="1" a="1"/>
  <c r="C1014" i="2" s="1"/>
  <c r="S1015" i="2"/>
  <c r="S1016" i="2"/>
  <c r="S1017" i="2"/>
  <c r="S1018" i="2"/>
  <c r="S1019" i="2"/>
  <c r="S1020" i="2"/>
  <c r="C1020" i="2" s="1" a="1"/>
  <c r="C1020" i="2" s="1"/>
  <c r="S1021" i="2"/>
  <c r="C1021" i="2" s="1" a="1"/>
  <c r="C1021" i="2" s="1"/>
  <c r="S1022" i="2"/>
  <c r="C1022" i="2" s="1" a="1"/>
  <c r="C1022" i="2" s="1"/>
  <c r="S1023" i="2"/>
  <c r="C1023" i="2" s="1" a="1"/>
  <c r="C1023" i="2" s="1"/>
  <c r="S1024" i="2"/>
  <c r="C1024" i="2" s="1" a="1"/>
  <c r="C1024" i="2" s="1"/>
  <c r="S1025" i="2"/>
  <c r="C1025" i="2" s="1" a="1"/>
  <c r="C1025" i="2" s="1"/>
  <c r="S1026" i="2"/>
  <c r="C1026" i="2" s="1" a="1"/>
  <c r="C1026" i="2" s="1"/>
  <c r="S1027" i="2"/>
  <c r="S1028" i="2"/>
  <c r="S1029" i="2"/>
  <c r="S1030" i="2"/>
  <c r="S1031" i="2"/>
  <c r="S1032" i="2"/>
  <c r="S1033" i="2"/>
  <c r="C1033" i="2" s="1" a="1"/>
  <c r="C1033" i="2" s="1"/>
  <c r="S1034" i="2"/>
  <c r="C1034" i="2" s="1" a="1"/>
  <c r="C1034" i="2" s="1"/>
  <c r="S1035" i="2"/>
  <c r="C1035" i="2" s="1" a="1"/>
  <c r="C1035" i="2" s="1"/>
  <c r="S1036" i="2"/>
  <c r="C1036" i="2" s="1" a="1"/>
  <c r="C1036" i="2" s="1"/>
  <c r="S1037" i="2"/>
  <c r="C1037" i="2" s="1" a="1"/>
  <c r="C1037" i="2" s="1"/>
  <c r="S1038" i="2"/>
  <c r="C1038" i="2" s="1" a="1"/>
  <c r="C1038" i="2" s="1"/>
  <c r="S1039" i="2"/>
  <c r="S1040" i="2"/>
  <c r="S1041" i="2"/>
  <c r="S1042" i="2"/>
  <c r="S1043" i="2"/>
  <c r="S1044" i="2"/>
  <c r="S1045" i="2"/>
  <c r="C1045" i="2" s="1" a="1"/>
  <c r="C1045" i="2" s="1"/>
  <c r="S1046" i="2"/>
  <c r="C1046" i="2" s="1" a="1"/>
  <c r="C1046" i="2" s="1"/>
  <c r="S1047" i="2"/>
  <c r="C1047" i="2" s="1" a="1"/>
  <c r="C1047" i="2" s="1"/>
  <c r="S1048" i="2"/>
  <c r="C1048" i="2" s="1" a="1"/>
  <c r="C1048" i="2" s="1"/>
  <c r="S1049" i="2"/>
  <c r="C1049" i="2" s="1" a="1"/>
  <c r="C1049" i="2" s="1"/>
  <c r="S1050" i="2"/>
  <c r="C1050" i="2" s="1" a="1"/>
  <c r="C1050" i="2" s="1"/>
  <c r="S1051" i="2"/>
  <c r="S1052" i="2"/>
  <c r="S1053" i="2"/>
  <c r="S1054" i="2"/>
  <c r="S1055" i="2"/>
  <c r="S1056" i="2"/>
  <c r="S1057" i="2"/>
  <c r="C1057" i="2" s="1" a="1"/>
  <c r="C1057" i="2" s="1"/>
  <c r="S1058" i="2"/>
  <c r="C1058" i="2" s="1" a="1"/>
  <c r="C1058" i="2" s="1"/>
  <c r="S1059" i="2"/>
  <c r="C1059" i="2" s="1" a="1"/>
  <c r="C1059" i="2" s="1"/>
  <c r="S1060" i="2"/>
  <c r="C1060" i="2" s="1" a="1"/>
  <c r="C1060" i="2" s="1"/>
  <c r="S1061" i="2"/>
  <c r="C1061" i="2" s="1" a="1"/>
  <c r="C1061" i="2" s="1"/>
  <c r="S1062" i="2"/>
  <c r="C1062" i="2" s="1" a="1"/>
  <c r="C1062" i="2" s="1"/>
  <c r="S1063" i="2"/>
  <c r="S1064" i="2"/>
  <c r="S1065" i="2"/>
  <c r="S1066" i="2"/>
  <c r="S1067" i="2"/>
  <c r="S1068" i="2"/>
  <c r="S1069" i="2"/>
  <c r="C1069" i="2" s="1" a="1"/>
  <c r="C1069" i="2" s="1"/>
  <c r="S1070" i="2"/>
  <c r="C1070" i="2" s="1" a="1"/>
  <c r="C1070" i="2" s="1"/>
  <c r="S1071" i="2"/>
  <c r="C1071" i="2" s="1" a="1"/>
  <c r="C1071" i="2" s="1"/>
  <c r="S1072" i="2"/>
  <c r="C1072" i="2" s="1" a="1"/>
  <c r="C1072" i="2" s="1"/>
  <c r="S1073" i="2"/>
  <c r="C1073" i="2" s="1" a="1"/>
  <c r="C1073" i="2" s="1"/>
  <c r="S1074" i="2"/>
  <c r="C1074" i="2" s="1" a="1"/>
  <c r="C1074" i="2" s="1"/>
  <c r="S1075" i="2"/>
  <c r="S1076" i="2"/>
  <c r="S1077" i="2"/>
  <c r="S1078" i="2"/>
  <c r="S1079" i="2"/>
  <c r="S1080" i="2"/>
  <c r="S1081" i="2"/>
  <c r="S1082" i="2"/>
  <c r="S1083" i="2"/>
  <c r="S1084" i="2"/>
  <c r="C1084" i="2" s="1" a="1"/>
  <c r="C1084" i="2" s="1"/>
  <c r="S1085" i="2"/>
  <c r="C1085" i="2" s="1" a="1"/>
  <c r="C1085" i="2" s="1"/>
  <c r="S1086" i="2"/>
  <c r="C1086" i="2" s="1" a="1"/>
  <c r="C1086" i="2" s="1"/>
  <c r="S1087" i="2"/>
  <c r="S1088" i="2"/>
  <c r="S1089" i="2"/>
  <c r="S1090" i="2"/>
  <c r="S1091" i="2"/>
  <c r="S1092" i="2"/>
  <c r="S1093" i="2"/>
  <c r="C1093" i="2" s="1" a="1"/>
  <c r="C1093" i="2" s="1"/>
  <c r="S1094" i="2"/>
  <c r="C1094" i="2" s="1" a="1"/>
  <c r="C1094" i="2" s="1"/>
  <c r="S1095" i="2"/>
  <c r="C1095" i="2" s="1" a="1"/>
  <c r="C1095" i="2" s="1"/>
  <c r="S1096" i="2"/>
  <c r="C1096" i="2" s="1" a="1"/>
  <c r="C1096" i="2" s="1"/>
  <c r="S1097" i="2"/>
  <c r="C1097" i="2" s="1" a="1"/>
  <c r="C1097" i="2" s="1"/>
  <c r="S1098" i="2"/>
  <c r="C1098" i="2" s="1" a="1"/>
  <c r="C1098" i="2" s="1"/>
  <c r="S1099" i="2"/>
  <c r="S1100" i="2"/>
  <c r="S1101" i="2"/>
  <c r="S1102" i="2"/>
  <c r="S1103" i="2"/>
  <c r="S1104" i="2"/>
  <c r="S1105" i="2"/>
  <c r="C1105" i="2" s="1" a="1"/>
  <c r="C1105" i="2" s="1"/>
  <c r="S1106" i="2"/>
  <c r="C1106" i="2" s="1" a="1"/>
  <c r="C1106" i="2" s="1"/>
  <c r="S1107" i="2"/>
  <c r="C1107" i="2" s="1" a="1"/>
  <c r="C1107" i="2" s="1"/>
  <c r="S1108" i="2"/>
  <c r="C1108" i="2" s="1" a="1"/>
  <c r="C1108" i="2" s="1"/>
  <c r="S1109" i="2"/>
  <c r="C1109" i="2" s="1" a="1"/>
  <c r="C1109" i="2" s="1"/>
  <c r="S1110" i="2"/>
  <c r="C1110" i="2" s="1" a="1"/>
  <c r="C1110" i="2" s="1"/>
  <c r="S1111" i="2"/>
  <c r="S1112" i="2"/>
  <c r="S1113" i="2"/>
  <c r="S1114" i="2"/>
  <c r="S1115" i="2"/>
  <c r="S1116" i="2"/>
  <c r="C1116" i="2" s="1" a="1"/>
  <c r="C1116" i="2" s="1"/>
  <c r="S1117" i="2"/>
  <c r="C1117" i="2" s="1" a="1"/>
  <c r="C1117" i="2" s="1"/>
  <c r="S1118" i="2"/>
  <c r="C1118" i="2" s="1" a="1"/>
  <c r="C1118" i="2" s="1"/>
  <c r="S1119" i="2"/>
  <c r="C1119" i="2" s="1" a="1"/>
  <c r="C1119" i="2" s="1"/>
  <c r="S1120" i="2"/>
  <c r="C1120" i="2" s="1" a="1"/>
  <c r="C1120" i="2" s="1"/>
  <c r="S1121" i="2"/>
  <c r="C1121" i="2" s="1" a="1"/>
  <c r="C1121" i="2" s="1"/>
  <c r="S1122" i="2"/>
  <c r="C1122" i="2" s="1" a="1"/>
  <c r="C1122" i="2" s="1"/>
  <c r="S1123" i="2"/>
  <c r="S1124" i="2"/>
  <c r="S1125" i="2"/>
  <c r="S1126" i="2"/>
  <c r="S1127" i="2"/>
  <c r="S1128" i="2"/>
  <c r="C1128" i="2" s="1" a="1"/>
  <c r="C1128" i="2" s="1"/>
  <c r="S1129" i="2"/>
  <c r="S1130" i="2"/>
  <c r="C1130" i="2" s="1" a="1"/>
  <c r="C1130" i="2" s="1"/>
  <c r="S1131" i="2"/>
  <c r="C1131" i="2" s="1" a="1"/>
  <c r="C1131" i="2" s="1"/>
  <c r="S1132" i="2"/>
  <c r="C1132" i="2" s="1" a="1"/>
  <c r="C1132" i="2" s="1"/>
  <c r="S1133" i="2"/>
  <c r="C1133" i="2" s="1" a="1"/>
  <c r="C1133" i="2" s="1"/>
  <c r="S1134" i="2"/>
  <c r="C1134" i="2" s="1" a="1"/>
  <c r="C1134" i="2" s="1"/>
  <c r="S1135" i="2"/>
  <c r="S1136" i="2"/>
  <c r="S1137" i="2"/>
  <c r="S1138" i="2"/>
  <c r="S1139" i="2"/>
  <c r="S1140" i="2"/>
  <c r="C1140" i="2" s="1" a="1"/>
  <c r="C1140" i="2" s="1"/>
  <c r="S1141" i="2"/>
  <c r="C1141" i="2" s="1" a="1"/>
  <c r="C1141" i="2" s="1"/>
  <c r="S1142" i="2"/>
  <c r="C1142" i="2" s="1" a="1"/>
  <c r="C1142" i="2" s="1"/>
  <c r="S1143" i="2"/>
  <c r="S1144" i="2"/>
  <c r="S1145" i="2"/>
  <c r="S1146" i="2"/>
  <c r="S1147" i="2"/>
  <c r="S1148" i="2"/>
  <c r="S1149" i="2"/>
  <c r="S1150" i="2"/>
  <c r="S1151" i="2"/>
  <c r="S1152" i="2"/>
  <c r="S1153" i="2"/>
  <c r="C1153" i="2" s="1" a="1"/>
  <c r="C1153" i="2" s="1"/>
  <c r="S1154" i="2"/>
  <c r="C1154" i="2" s="1" a="1"/>
  <c r="C1154" i="2" s="1"/>
  <c r="S1155" i="2"/>
  <c r="S1156" i="2"/>
  <c r="C1156" i="2" s="1" a="1"/>
  <c r="C1156" i="2" s="1"/>
  <c r="S1157" i="2"/>
  <c r="C1157" i="2" s="1" a="1"/>
  <c r="C1157" i="2" s="1"/>
  <c r="S1158" i="2"/>
  <c r="C1158" i="2" s="1" a="1"/>
  <c r="C1158" i="2" s="1"/>
  <c r="S1159" i="2"/>
  <c r="S1160" i="2"/>
  <c r="S1161" i="2"/>
  <c r="S1162" i="2"/>
  <c r="S1163" i="2"/>
  <c r="S1164" i="2"/>
  <c r="C1164" i="2" s="1" a="1"/>
  <c r="S1165" i="2"/>
  <c r="C1165" i="2" s="1" a="1"/>
  <c r="S1166" i="2"/>
  <c r="C1166" i="2" s="1" a="1"/>
  <c r="C1166" i="2" s="1"/>
  <c r="S1167" i="2"/>
  <c r="C1167" i="2" s="1" a="1"/>
  <c r="C1167" i="2" s="1"/>
  <c r="S1168" i="2"/>
  <c r="C1168" i="2" s="1" a="1"/>
  <c r="C1168" i="2" s="1"/>
  <c r="S1169" i="2"/>
  <c r="C1169" i="2" s="1" a="1"/>
  <c r="C1169" i="2" s="1"/>
  <c r="S1170" i="2"/>
  <c r="C1170" i="2" s="1" a="1"/>
  <c r="C1170" i="2" s="1"/>
  <c r="S1171" i="2"/>
  <c r="S1172" i="2"/>
  <c r="S1173" i="2"/>
  <c r="S1174" i="2"/>
  <c r="S1175" i="2"/>
  <c r="S1176" i="2"/>
  <c r="C1176" i="2" s="1" a="1"/>
  <c r="C1176" i="2" s="1"/>
  <c r="S1177" i="2"/>
  <c r="C1177" i="2" s="1" a="1"/>
  <c r="C1177" i="2" s="1"/>
  <c r="S1178" i="2"/>
  <c r="C1178" i="2" s="1" a="1"/>
  <c r="C1178" i="2" s="1"/>
  <c r="S1179" i="2"/>
  <c r="C1179" i="2" s="1" a="1"/>
  <c r="C1179" i="2" s="1"/>
  <c r="S1180" i="2"/>
  <c r="C1180" i="2" s="1" a="1"/>
  <c r="C1180" i="2" s="1"/>
  <c r="S1181" i="2"/>
  <c r="C1181" i="2" s="1" a="1"/>
  <c r="C1181" i="2" s="1"/>
  <c r="S1182" i="2"/>
  <c r="C1182" i="2" s="1" a="1"/>
  <c r="C1182" i="2" s="1"/>
  <c r="S1183" i="2"/>
  <c r="S1184" i="2"/>
  <c r="S1185" i="2"/>
  <c r="S1186" i="2"/>
  <c r="S1187" i="2"/>
  <c r="S1188" i="2"/>
  <c r="C1188" i="2" s="1" a="1"/>
  <c r="C1188" i="2" s="1"/>
  <c r="S1189" i="2"/>
  <c r="C1189" i="2" s="1" a="1"/>
  <c r="C1189" i="2" s="1"/>
  <c r="S1190" i="2"/>
  <c r="C1190" i="2" s="1" a="1"/>
  <c r="C1190" i="2" s="1"/>
  <c r="S1191" i="2"/>
  <c r="C1191" i="2" s="1" a="1"/>
  <c r="C1191" i="2" s="1"/>
  <c r="S1192" i="2"/>
  <c r="C1192" i="2" s="1" a="1"/>
  <c r="C1192" i="2" s="1"/>
  <c r="S1193" i="2"/>
  <c r="C1193" i="2" s="1" a="1"/>
  <c r="C1193" i="2" s="1"/>
  <c r="S1194" i="2"/>
  <c r="C1194" i="2" s="1" a="1"/>
  <c r="C1194" i="2" s="1"/>
  <c r="S1195" i="2"/>
  <c r="S1196" i="2"/>
  <c r="S1197" i="2"/>
  <c r="S1198" i="2"/>
  <c r="S1199" i="2"/>
  <c r="S1200" i="2"/>
  <c r="S1201" i="2"/>
  <c r="S1202" i="2"/>
  <c r="C1202" i="2" s="1" a="1"/>
  <c r="C1202" i="2" s="1"/>
  <c r="S1203" i="2"/>
  <c r="C1203" i="2" s="1" a="1"/>
  <c r="C1203" i="2" s="1"/>
  <c r="S1204" i="2"/>
  <c r="C1204" i="2" s="1" a="1"/>
  <c r="C1204" i="2" s="1"/>
  <c r="S1205" i="2"/>
  <c r="C1205" i="2" s="1" a="1"/>
  <c r="C1205" i="2" s="1"/>
  <c r="S1206" i="2"/>
  <c r="C1206" i="2" s="1" a="1"/>
  <c r="C1206" i="2" s="1"/>
  <c r="S1207" i="2"/>
  <c r="S1208" i="2"/>
  <c r="S1209" i="2"/>
  <c r="S1210" i="2"/>
  <c r="S1211" i="2"/>
  <c r="S1212" i="2"/>
  <c r="S1213" i="2"/>
  <c r="C1213" i="2" s="1" a="1"/>
  <c r="C1213" i="2" s="1"/>
  <c r="S1214" i="2"/>
  <c r="C1214" i="2" s="1" a="1"/>
  <c r="C1214" i="2" s="1"/>
  <c r="S1215" i="2"/>
  <c r="C1215" i="2" s="1" a="1"/>
  <c r="C1215" i="2" s="1"/>
  <c r="S1216" i="2"/>
  <c r="C1216" i="2" s="1" a="1"/>
  <c r="C1216" i="2" s="1"/>
  <c r="S1217" i="2"/>
  <c r="C1217" i="2" s="1" a="1"/>
  <c r="C1217" i="2" s="1"/>
  <c r="S1218" i="2"/>
  <c r="C1218" i="2" s="1" a="1"/>
  <c r="C1218" i="2" s="1"/>
  <c r="S1219" i="2"/>
  <c r="S1220" i="2"/>
  <c r="S1221" i="2"/>
  <c r="S1222" i="2"/>
  <c r="S1223" i="2"/>
  <c r="S1224" i="2"/>
  <c r="S1225" i="2"/>
  <c r="S1226" i="2"/>
  <c r="S1227" i="2"/>
  <c r="S1228" i="2"/>
  <c r="S1229" i="2"/>
  <c r="C1229" i="2" s="1" a="1"/>
  <c r="C1229" i="2" s="1"/>
  <c r="S1230" i="2"/>
  <c r="C1230" i="2" s="1" a="1"/>
  <c r="C1230" i="2" s="1"/>
  <c r="S1231" i="2"/>
  <c r="S1232" i="2"/>
  <c r="S1233" i="2"/>
  <c r="S1234" i="2"/>
  <c r="S1235" i="2"/>
  <c r="S1236" i="2"/>
  <c r="S1237" i="2"/>
  <c r="C1237" i="2" s="1" a="1"/>
  <c r="C1237" i="2" s="1"/>
  <c r="S1238" i="2"/>
  <c r="C1238" i="2" s="1" a="1"/>
  <c r="C1238" i="2" s="1"/>
  <c r="S1239" i="2"/>
  <c r="C1239" i="2" s="1" a="1"/>
  <c r="C1239" i="2" s="1"/>
  <c r="S1240" i="2"/>
  <c r="C1240" i="2" s="1" a="1"/>
  <c r="C1240" i="2" s="1"/>
  <c r="S1241" i="2"/>
  <c r="C1241" i="2" s="1" a="1"/>
  <c r="C1241" i="2" s="1"/>
  <c r="S1242" i="2"/>
  <c r="C1242" i="2" s="1" a="1"/>
  <c r="C1242" i="2" s="1"/>
  <c r="S1243" i="2"/>
  <c r="S1244" i="2"/>
  <c r="S1245" i="2"/>
  <c r="S1246" i="2"/>
  <c r="S1247" i="2"/>
  <c r="S1248" i="2"/>
  <c r="S1249" i="2"/>
  <c r="C1249" i="2" s="1" a="1"/>
  <c r="C1249" i="2" s="1"/>
  <c r="S1250" i="2"/>
  <c r="S1251" i="2"/>
  <c r="C1251" i="2" s="1" a="1"/>
  <c r="C1251" i="2" s="1"/>
  <c r="S1252" i="2"/>
  <c r="C1252" i="2" s="1" a="1"/>
  <c r="C1252" i="2" s="1"/>
  <c r="S1253" i="2"/>
  <c r="C1253" i="2" s="1" a="1"/>
  <c r="C1253" i="2" s="1"/>
  <c r="S1254" i="2"/>
  <c r="C1254" i="2" s="1" a="1"/>
  <c r="C1254" i="2" s="1"/>
  <c r="S1255" i="2"/>
  <c r="S1256" i="2"/>
  <c r="S1257" i="2"/>
  <c r="S1258" i="2"/>
  <c r="S1259" i="2"/>
  <c r="S1260" i="2"/>
  <c r="C1260" i="2" s="1" a="1"/>
  <c r="C1260" i="2" s="1"/>
  <c r="S1261" i="2"/>
  <c r="C1261" i="2" s="1" a="1"/>
  <c r="C1261" i="2" s="1"/>
  <c r="S1262" i="2"/>
  <c r="C1262" i="2" s="1" a="1"/>
  <c r="C1262" i="2" s="1"/>
  <c r="S1263" i="2"/>
  <c r="C1263" i="2" s="1" a="1"/>
  <c r="C1263" i="2" s="1"/>
  <c r="S1264" i="2"/>
  <c r="S1265" i="2"/>
  <c r="C1265" i="2" s="1" a="1"/>
  <c r="C1265" i="2" s="1"/>
  <c r="S1266" i="2"/>
  <c r="C1266" i="2" s="1" a="1"/>
  <c r="C1266" i="2" s="1"/>
  <c r="S1267" i="2"/>
  <c r="S1268" i="2"/>
  <c r="S1269" i="2"/>
  <c r="S1270" i="2"/>
  <c r="S1271" i="2"/>
  <c r="S1272" i="2"/>
  <c r="C1272" i="2" s="1" a="1"/>
  <c r="C1272" i="2" s="1"/>
  <c r="S1273" i="2"/>
  <c r="C1273" i="2" s="1" a="1"/>
  <c r="C1273" i="2" s="1"/>
  <c r="S1274" i="2"/>
  <c r="C1274" i="2" s="1" a="1"/>
  <c r="C1274" i="2" s="1"/>
  <c r="S1275" i="2"/>
  <c r="C1275" i="2" s="1" a="1"/>
  <c r="C1275" i="2" s="1"/>
  <c r="S1276" i="2"/>
  <c r="C1276" i="2" s="1" a="1"/>
  <c r="C1276" i="2" s="1"/>
  <c r="S1277" i="2"/>
  <c r="C1277" i="2" s="1" a="1"/>
  <c r="C1277" i="2" s="1"/>
  <c r="S1278" i="2"/>
  <c r="C1278" i="2" s="1" a="1"/>
  <c r="C1278" i="2" s="1"/>
  <c r="S1279" i="2"/>
  <c r="S1280" i="2"/>
  <c r="S1281" i="2"/>
  <c r="S1282" i="2"/>
  <c r="S1283" i="2"/>
  <c r="S1284" i="2"/>
  <c r="C1284" i="2" s="1" a="1"/>
  <c r="C1284" i="2" s="1"/>
  <c r="S1285" i="2"/>
  <c r="C1285" i="2" s="1" a="1"/>
  <c r="C1285" i="2" s="1"/>
  <c r="S1286" i="2"/>
  <c r="C1286" i="2" s="1" a="1"/>
  <c r="C1286" i="2" s="1"/>
  <c r="S1287" i="2"/>
  <c r="C1287" i="2" s="1" a="1"/>
  <c r="C1287" i="2" s="1"/>
  <c r="S1288" i="2"/>
  <c r="C1288" i="2" s="1" a="1"/>
  <c r="C1288" i="2" s="1"/>
  <c r="S1289" i="2"/>
  <c r="C1289" i="2" s="1" a="1"/>
  <c r="C1289" i="2" s="1"/>
  <c r="S1290" i="2"/>
  <c r="C1290" i="2" s="1" a="1"/>
  <c r="C1290" i="2" s="1"/>
  <c r="S1291" i="2"/>
  <c r="S1292" i="2"/>
  <c r="S1293" i="2"/>
  <c r="S1294" i="2"/>
  <c r="S1295" i="2"/>
  <c r="S1296" i="2"/>
  <c r="C1296" i="2" s="1" a="1"/>
  <c r="C1296" i="2" s="1"/>
  <c r="S1297" i="2"/>
  <c r="C1297" i="2" s="1" a="1"/>
  <c r="C1297" i="2" s="1"/>
  <c r="S1298" i="2"/>
  <c r="C1298" i="2" s="1" a="1"/>
  <c r="C1298" i="2" s="1"/>
  <c r="S1299" i="2"/>
  <c r="C1299" i="2" s="1" a="1"/>
  <c r="C1299" i="2" s="1"/>
  <c r="S1300" i="2"/>
  <c r="C1300" i="2" s="1" a="1"/>
  <c r="C1300" i="2" s="1"/>
  <c r="S1301" i="2"/>
  <c r="C1301" i="2" s="1" a="1"/>
  <c r="C1301" i="2" s="1"/>
  <c r="S1302" i="2"/>
  <c r="C1302" i="2" s="1" a="1"/>
  <c r="C1302" i="2" s="1"/>
  <c r="S1303" i="2"/>
  <c r="S1304" i="2"/>
  <c r="S1305" i="2"/>
  <c r="S1306" i="2"/>
  <c r="S1307" i="2"/>
  <c r="S1308" i="2"/>
  <c r="S1309" i="2"/>
  <c r="C1309" i="2" s="1" a="1"/>
  <c r="C1309" i="2" s="1"/>
  <c r="S1310" i="2"/>
  <c r="C1310" i="2" s="1" a="1"/>
  <c r="C1310" i="2" s="1"/>
  <c r="S1311" i="2"/>
  <c r="C1311" i="2" s="1" a="1"/>
  <c r="C1311" i="2" s="1"/>
  <c r="S1312" i="2"/>
  <c r="C1312" i="2" s="1" a="1"/>
  <c r="S1313" i="2"/>
  <c r="C1313" i="2" s="1" a="1"/>
  <c r="S1314" i="2"/>
  <c r="C1314" i="2" s="1" a="1"/>
  <c r="C1314" i="2" s="1"/>
  <c r="S1315" i="2"/>
  <c r="S1316" i="2"/>
  <c r="S1317" i="2"/>
  <c r="S1318" i="2"/>
  <c r="S1319" i="2"/>
  <c r="S1320" i="2"/>
  <c r="S1321" i="2"/>
  <c r="S1322" i="2"/>
  <c r="S1323" i="2"/>
  <c r="C1323" i="2" s="1" a="1"/>
  <c r="C1323" i="2" s="1"/>
  <c r="S1324" i="2"/>
  <c r="C1324" i="2" s="1" a="1"/>
  <c r="C1324" i="2" s="1"/>
  <c r="S1325" i="2"/>
  <c r="C1325" i="2" s="1" a="1"/>
  <c r="C1325" i="2" s="1"/>
  <c r="S1326" i="2"/>
  <c r="C1326" i="2" s="1" a="1"/>
  <c r="C1326" i="2" s="1"/>
  <c r="S1327" i="2"/>
  <c r="S1328" i="2"/>
  <c r="S1329" i="2"/>
  <c r="S1330" i="2"/>
  <c r="S1331" i="2"/>
  <c r="S1332" i="2"/>
  <c r="S1333" i="2"/>
  <c r="C1333" i="2" s="1" a="1"/>
  <c r="C1333" i="2" s="1"/>
  <c r="S1334" i="2"/>
  <c r="C1334" i="2" s="1" a="1"/>
  <c r="C1334" i="2" s="1"/>
  <c r="S1335" i="2"/>
  <c r="C1335" i="2" s="1" a="1"/>
  <c r="C1335" i="2" s="1"/>
  <c r="S1336" i="2"/>
  <c r="C1336" i="2" s="1" a="1"/>
  <c r="C1336" i="2" s="1"/>
  <c r="S1337" i="2"/>
  <c r="C1337" i="2" s="1" a="1"/>
  <c r="C1337" i="2" s="1"/>
  <c r="S1338" i="2"/>
  <c r="C1338" i="2" s="1" a="1"/>
  <c r="C1338" i="2" s="1"/>
  <c r="S1339" i="2"/>
  <c r="S1340" i="2"/>
  <c r="S1341" i="2"/>
  <c r="S1342" i="2"/>
  <c r="S1343" i="2"/>
  <c r="S1344" i="2"/>
  <c r="S1345" i="2"/>
  <c r="C1345" i="2" s="1" a="1"/>
  <c r="C1345" i="2" s="1"/>
  <c r="S1346" i="2"/>
  <c r="C1346" i="2" s="1" a="1"/>
  <c r="C1346" i="2" s="1"/>
  <c r="S1347" i="2"/>
  <c r="C1347" i="2" s="1" a="1"/>
  <c r="C1347" i="2" s="1"/>
  <c r="S1348" i="2"/>
  <c r="C1348" i="2" s="1" a="1"/>
  <c r="C1348" i="2" s="1"/>
  <c r="S1349" i="2"/>
  <c r="C1349" i="2" s="1" a="1"/>
  <c r="C1349" i="2" s="1"/>
  <c r="S1350" i="2"/>
  <c r="C1350" i="2" s="1" a="1"/>
  <c r="C1350" i="2" s="1"/>
  <c r="S1351" i="2"/>
  <c r="S1352" i="2"/>
  <c r="S1353" i="2"/>
  <c r="S1354" i="2"/>
  <c r="S1355" i="2"/>
  <c r="S1356" i="2"/>
  <c r="S1357" i="2"/>
  <c r="C1357" i="2" s="1" a="1"/>
  <c r="C1357" i="2" s="1"/>
  <c r="S1358" i="2"/>
  <c r="C1358" i="2" s="1" a="1"/>
  <c r="C1358" i="2" s="1"/>
  <c r="S1359" i="2"/>
  <c r="C1359" i="2" s="1" a="1"/>
  <c r="C1359" i="2" s="1"/>
  <c r="S1360" i="2"/>
  <c r="C1360" i="2" s="1" a="1"/>
  <c r="C1360" i="2" s="1"/>
  <c r="S1361" i="2"/>
  <c r="C1361" i="2" s="1" a="1"/>
  <c r="C1361" i="2" s="1"/>
  <c r="S1362" i="2"/>
  <c r="C1362" i="2" s="1" a="1"/>
  <c r="C1362" i="2" s="1"/>
  <c r="S1363" i="2"/>
  <c r="S1364" i="2"/>
  <c r="S1365" i="2"/>
  <c r="S1366" i="2"/>
  <c r="S1367" i="2"/>
  <c r="S1368" i="2"/>
  <c r="S1369" i="2"/>
  <c r="C1369" i="2" s="1" a="1"/>
  <c r="C1369" i="2" s="1"/>
  <c r="S1370" i="2"/>
  <c r="C1370" i="2" s="1" a="1"/>
  <c r="C1370" i="2" s="1"/>
  <c r="S1371" i="2"/>
  <c r="C1371" i="2" s="1" a="1"/>
  <c r="C1371" i="2" s="1"/>
  <c r="S1372" i="2"/>
  <c r="C1372" i="2" s="1" a="1"/>
  <c r="C1372" i="2" s="1"/>
  <c r="S1373" i="2"/>
  <c r="C1373" i="2" s="1" a="1"/>
  <c r="C1373" i="2" s="1"/>
  <c r="S1374" i="2"/>
  <c r="C1374" i="2" s="1" a="1"/>
  <c r="C1374" i="2" s="1"/>
  <c r="S1375" i="2"/>
  <c r="S1376" i="2"/>
  <c r="S1377" i="2"/>
  <c r="S1378" i="2"/>
  <c r="S1379" i="2"/>
  <c r="S1380" i="2"/>
  <c r="C1380" i="2" s="1" a="1"/>
  <c r="C1380" i="2" s="1"/>
  <c r="S1381" i="2"/>
  <c r="C1381" i="2" s="1" a="1"/>
  <c r="C1381" i="2" s="1"/>
  <c r="S1382" i="2"/>
  <c r="S1383" i="2"/>
  <c r="C1383" i="2" s="1" a="1"/>
  <c r="C1383" i="2" s="1"/>
  <c r="S1384" i="2"/>
  <c r="C1384" i="2" s="1" a="1"/>
  <c r="C1384" i="2" s="1"/>
  <c r="S1385" i="2"/>
  <c r="C1385" i="2" s="1" a="1"/>
  <c r="C1385" i="2" s="1"/>
  <c r="S1386" i="2"/>
  <c r="C1386" i="2" s="1" a="1"/>
  <c r="C1386" i="2" s="1"/>
  <c r="S1387" i="2"/>
  <c r="S1388" i="2"/>
  <c r="S1389" i="2"/>
  <c r="S1390" i="2"/>
  <c r="S1391" i="2"/>
  <c r="S1392" i="2"/>
  <c r="S1393" i="2"/>
  <c r="S1394" i="2"/>
  <c r="S1395" i="2"/>
  <c r="C1395" i="2" s="1" a="1"/>
  <c r="C1395" i="2" s="1"/>
  <c r="S1396" i="2"/>
  <c r="C1396" i="2" s="1" a="1"/>
  <c r="C1396" i="2" s="1"/>
  <c r="S1397" i="2"/>
  <c r="C1397" i="2" s="1" a="1"/>
  <c r="C1397" i="2" s="1"/>
  <c r="S1398" i="2"/>
  <c r="C1398" i="2" s="1" a="1"/>
  <c r="C1398" i="2" s="1"/>
  <c r="S1399" i="2"/>
  <c r="S1400" i="2"/>
  <c r="S1401" i="2"/>
  <c r="S1402" i="2"/>
  <c r="S1403" i="2"/>
  <c r="S1404" i="2"/>
  <c r="C1404" i="2" s="1" a="1"/>
  <c r="C1404" i="2" s="1"/>
  <c r="S1405" i="2"/>
  <c r="C1405" i="2" s="1" a="1"/>
  <c r="C1405" i="2" s="1"/>
  <c r="S1406" i="2"/>
  <c r="C1406" i="2" s="1" a="1"/>
  <c r="C1406" i="2" s="1"/>
  <c r="S1407" i="2"/>
  <c r="C1407" i="2" s="1" a="1"/>
  <c r="C1407" i="2" s="1"/>
  <c r="S1408" i="2"/>
  <c r="C1408" i="2" s="1" a="1"/>
  <c r="C1408" i="2" s="1"/>
  <c r="S1409" i="2"/>
  <c r="C1409" i="2" s="1" a="1"/>
  <c r="C1409" i="2" s="1"/>
  <c r="S1410" i="2"/>
  <c r="C1410" i="2" s="1" a="1"/>
  <c r="C1410" i="2" s="1"/>
  <c r="S1411" i="2"/>
  <c r="S1412" i="2"/>
  <c r="S1413" i="2"/>
  <c r="S1414" i="2"/>
  <c r="S1415" i="2"/>
  <c r="S1416" i="2"/>
  <c r="C1416" i="2" s="1" a="1"/>
  <c r="C1416" i="2" s="1"/>
  <c r="S1417" i="2"/>
  <c r="C1417" i="2" s="1" a="1"/>
  <c r="C1417" i="2" s="1"/>
  <c r="S1418" i="2"/>
  <c r="C1418" i="2" s="1" a="1"/>
  <c r="C1418" i="2" s="1"/>
  <c r="S1419" i="2"/>
  <c r="C1419" i="2" s="1" a="1"/>
  <c r="C1419" i="2" s="1"/>
  <c r="S1420" i="2"/>
  <c r="C1420" i="2" s="1" a="1"/>
  <c r="C1420" i="2" s="1"/>
  <c r="S1421" i="2"/>
  <c r="S1422" i="2"/>
  <c r="C1422" i="2" s="1" a="1"/>
  <c r="C1422" i="2" s="1"/>
  <c r="S1423" i="2"/>
  <c r="S1424" i="2"/>
  <c r="S1425" i="2"/>
  <c r="S1426" i="2"/>
  <c r="S1427" i="2"/>
  <c r="S1428" i="2"/>
  <c r="C1428" i="2" s="1" a="1"/>
  <c r="C1428" i="2" s="1"/>
  <c r="S1429" i="2"/>
  <c r="C1429" i="2" s="1" a="1"/>
  <c r="C1429" i="2" s="1"/>
  <c r="S1430" i="2"/>
  <c r="C1430" i="2" s="1" a="1"/>
  <c r="C1430" i="2" s="1"/>
  <c r="S1431" i="2"/>
  <c r="C1431" i="2" s="1" a="1"/>
  <c r="C1431" i="2" s="1"/>
  <c r="S1432" i="2"/>
  <c r="C1432" i="2" s="1" a="1"/>
  <c r="C1432" i="2" s="1"/>
  <c r="S1433" i="2"/>
  <c r="C1433" i="2" s="1" a="1"/>
  <c r="C1433" i="2" s="1"/>
  <c r="S1434" i="2"/>
  <c r="C1434" i="2" s="1" a="1"/>
  <c r="C1434" i="2" s="1"/>
  <c r="S1435" i="2"/>
  <c r="S1436" i="2"/>
  <c r="S1437" i="2"/>
  <c r="S1438" i="2"/>
  <c r="S1439" i="2"/>
  <c r="S1440" i="2"/>
  <c r="C1440" i="2" s="1" a="1"/>
  <c r="C1440" i="2" s="1"/>
  <c r="S1441" i="2"/>
  <c r="C1441" i="2" s="1" a="1"/>
  <c r="C1441" i="2" s="1"/>
  <c r="S1442" i="2"/>
  <c r="C1442" i="2" s="1" a="1"/>
  <c r="C1442" i="2" s="1"/>
  <c r="S1443" i="2"/>
  <c r="C1443" i="2" s="1" a="1"/>
  <c r="C1443" i="2" s="1"/>
  <c r="S1444" i="2"/>
  <c r="C1444" i="2" s="1" a="1"/>
  <c r="C1444" i="2" s="1"/>
  <c r="S1445" i="2"/>
  <c r="C1445" i="2" s="1" a="1"/>
  <c r="C1445" i="2" s="1"/>
  <c r="S1446" i="2"/>
  <c r="C1446" i="2" s="1" a="1"/>
  <c r="C1446" i="2" s="1"/>
  <c r="S1447" i="2"/>
  <c r="S1448" i="2"/>
  <c r="S1449" i="2"/>
  <c r="S1450" i="2"/>
  <c r="S1451" i="2"/>
  <c r="S1452" i="2"/>
  <c r="S1453" i="2"/>
  <c r="S1454" i="2"/>
  <c r="C1454" i="2" s="1" a="1"/>
  <c r="C1454" i="2" s="1"/>
  <c r="S1455" i="2"/>
  <c r="C1455" i="2" s="1" a="1"/>
  <c r="C1455" i="2" s="1"/>
  <c r="S1456" i="2"/>
  <c r="C1456" i="2" s="1" a="1"/>
  <c r="C1456" i="2" s="1"/>
  <c r="S1457" i="2"/>
  <c r="C1457" i="2" s="1" a="1"/>
  <c r="C1457" i="2" s="1"/>
  <c r="S1458" i="2"/>
  <c r="C1458" i="2" s="1" a="1"/>
  <c r="C1458" i="2" s="1"/>
  <c r="S1459" i="2"/>
  <c r="S1460" i="2"/>
  <c r="S1461" i="2"/>
  <c r="S1462" i="2"/>
  <c r="S1463" i="2"/>
  <c r="S1464" i="2"/>
  <c r="S1465" i="2"/>
  <c r="C1465" i="2" s="1" a="1"/>
  <c r="C1465" i="2" s="1"/>
  <c r="S1466" i="2"/>
  <c r="C1466" i="2" s="1" a="1"/>
  <c r="C1466" i="2" s="1"/>
  <c r="S1467" i="2"/>
  <c r="C1467" i="2" s="1" a="1"/>
  <c r="C1467" i="2" s="1"/>
  <c r="S1468" i="2"/>
  <c r="C1468" i="2" s="1" a="1"/>
  <c r="C1468" i="2" s="1"/>
  <c r="S1469" i="2"/>
  <c r="C1469" i="2" s="1" a="1"/>
  <c r="C1469" i="2" s="1"/>
  <c r="S1470" i="2"/>
  <c r="C1470" i="2" s="1" a="1"/>
  <c r="C1470" i="2" s="1"/>
  <c r="S1471" i="2"/>
  <c r="S1472" i="2"/>
  <c r="S1473" i="2"/>
  <c r="S1474" i="2"/>
  <c r="S1475" i="2"/>
  <c r="S1476" i="2"/>
  <c r="C1476" i="2" s="1" a="1"/>
  <c r="C1476" i="2" s="1"/>
  <c r="S1477" i="2"/>
  <c r="S1478" i="2"/>
  <c r="S1479" i="2"/>
  <c r="C1479" i="2" s="1" a="1"/>
  <c r="C1479" i="2" s="1"/>
  <c r="S1480" i="2"/>
  <c r="C1480" i="2" s="1" a="1"/>
  <c r="C1480" i="2" s="1"/>
  <c r="S1481" i="2"/>
  <c r="C1481" i="2" s="1" a="1"/>
  <c r="C1481" i="2" s="1"/>
  <c r="S1482" i="2"/>
  <c r="C1482" i="2" s="1" a="1"/>
  <c r="C1482" i="2" s="1"/>
  <c r="S1483" i="2"/>
  <c r="S1484" i="2"/>
  <c r="S1485" i="2"/>
  <c r="S1486" i="2"/>
  <c r="S1487" i="2"/>
  <c r="S1488" i="2"/>
  <c r="S1489" i="2"/>
  <c r="S1490" i="2"/>
  <c r="C1490" i="2" s="1" a="1"/>
  <c r="C1490" i="2" s="1"/>
  <c r="S1491" i="2"/>
  <c r="S1492" i="2"/>
  <c r="S1493" i="2"/>
  <c r="C1493" i="2" s="1" a="1"/>
  <c r="C1493" i="2" s="1"/>
  <c r="S1494" i="2"/>
  <c r="C1494" i="2" s="1" a="1"/>
  <c r="C1494" i="2" s="1"/>
  <c r="S1495" i="2"/>
  <c r="S1496" i="2"/>
  <c r="S1497" i="2"/>
  <c r="S1498" i="2"/>
  <c r="S1499" i="2"/>
  <c r="S1500" i="2"/>
  <c r="S1501" i="2"/>
  <c r="S1502" i="2"/>
  <c r="S1503" i="2"/>
  <c r="S1504" i="2"/>
  <c r="S1505" i="2"/>
  <c r="C1505" i="2" s="1" a="1"/>
  <c r="C1505" i="2" s="1"/>
  <c r="S1506" i="2"/>
  <c r="C1506" i="2" s="1" a="1"/>
  <c r="C1506" i="2" s="1"/>
  <c r="S1507" i="2"/>
  <c r="S1508" i="2"/>
  <c r="S1509" i="2"/>
  <c r="S1510" i="2"/>
  <c r="S1511" i="2"/>
  <c r="S1512" i="2"/>
  <c r="C1512" i="2" s="1" a="1"/>
  <c r="C1512" i="2" s="1"/>
  <c r="S1513" i="2"/>
  <c r="C1513" i="2" s="1" a="1"/>
  <c r="C1513" i="2" s="1"/>
  <c r="S1514" i="2"/>
  <c r="C1514" i="2" s="1" a="1"/>
  <c r="C1514" i="2" s="1"/>
  <c r="S1515" i="2"/>
  <c r="C1515" i="2" s="1" a="1"/>
  <c r="C1515" i="2" s="1"/>
  <c r="S1516" i="2"/>
  <c r="C1516" i="2" s="1" a="1"/>
  <c r="C1516" i="2" s="1"/>
  <c r="S1517" i="2"/>
  <c r="C1517" i="2" s="1" a="1"/>
  <c r="C1517" i="2" s="1"/>
  <c r="S1518" i="2"/>
  <c r="C1518" i="2" s="1" a="1"/>
  <c r="C1518" i="2" s="1"/>
  <c r="S1519" i="2"/>
  <c r="S1520" i="2"/>
  <c r="S1521" i="2"/>
  <c r="S1522" i="2"/>
  <c r="S1523" i="2"/>
  <c r="S1524" i="2"/>
  <c r="S1525" i="2"/>
  <c r="C1525" i="2" s="1" a="1"/>
  <c r="C1525" i="2" s="1"/>
  <c r="S1526" i="2"/>
  <c r="C1526" i="2" s="1" a="1"/>
  <c r="C1526" i="2" s="1"/>
  <c r="S1527" i="2"/>
  <c r="C1527" i="2" s="1" a="1"/>
  <c r="C1527" i="2" s="1"/>
  <c r="S1528" i="2"/>
  <c r="C1528" i="2" s="1" a="1"/>
  <c r="C1528" i="2" s="1"/>
  <c r="S1529" i="2"/>
  <c r="C1529" i="2" s="1" a="1"/>
  <c r="C1529" i="2" s="1"/>
  <c r="S1530" i="2"/>
  <c r="C1530" i="2" s="1" a="1"/>
  <c r="C1530" i="2" s="1"/>
  <c r="S1531" i="2"/>
  <c r="S1532" i="2"/>
  <c r="S1533" i="2"/>
  <c r="S1534" i="2"/>
  <c r="S1535" i="2"/>
  <c r="S1536" i="2"/>
  <c r="C1536" i="2" s="1" a="1"/>
  <c r="C1536" i="2" s="1"/>
  <c r="S1537" i="2"/>
  <c r="C1537" i="2" s="1" a="1"/>
  <c r="C1537" i="2" s="1"/>
  <c r="S1538" i="2"/>
  <c r="C1538" i="2" s="1" a="1"/>
  <c r="S1539" i="2"/>
  <c r="C1539" i="2" s="1" a="1"/>
  <c r="C1539" i="2" s="1"/>
  <c r="S1540" i="2"/>
  <c r="C1540" i="2" s="1" a="1"/>
  <c r="C1540" i="2" s="1"/>
  <c r="S1541" i="2"/>
  <c r="S1542" i="2"/>
  <c r="S1543" i="2"/>
  <c r="S1544" i="2"/>
  <c r="S1545" i="2"/>
  <c r="S1546" i="2"/>
  <c r="S1547" i="2"/>
  <c r="S1548" i="2"/>
  <c r="C1548" i="2" s="1" a="1"/>
  <c r="S1549" i="2"/>
  <c r="C1549" i="2" s="1" a="1"/>
  <c r="C1549" i="2" s="1"/>
  <c r="S1550" i="2"/>
  <c r="C1550" i="2" s="1" a="1"/>
  <c r="C1550" i="2" s="1"/>
  <c r="S1551" i="2"/>
  <c r="C1551" i="2" s="1" a="1"/>
  <c r="C1551" i="2" s="1"/>
  <c r="S1552" i="2"/>
  <c r="C1552" i="2" s="1" a="1"/>
  <c r="C1552" i="2" s="1"/>
  <c r="S1553" i="2"/>
  <c r="C1553" i="2" s="1" a="1"/>
  <c r="C1553" i="2" s="1"/>
  <c r="S1554" i="2"/>
  <c r="C1554" i="2" s="1" a="1"/>
  <c r="C1554" i="2" s="1"/>
  <c r="S1555" i="2"/>
  <c r="S1556" i="2"/>
  <c r="S1557" i="2"/>
  <c r="S1558" i="2"/>
  <c r="S1559" i="2"/>
  <c r="S1560" i="2"/>
  <c r="S1561" i="2"/>
  <c r="S1562" i="2"/>
  <c r="C1562" i="2" s="1" a="1"/>
  <c r="C1562" i="2" s="1"/>
  <c r="S1563" i="2"/>
  <c r="C1563" i="2" s="1" a="1"/>
  <c r="C1563" i="2" s="1"/>
  <c r="S1564" i="2"/>
  <c r="C1564" i="2" s="1" a="1"/>
  <c r="C1564" i="2" s="1"/>
  <c r="S1565" i="2"/>
  <c r="C1565" i="2" s="1" a="1"/>
  <c r="C1565" i="2" s="1"/>
  <c r="S1566" i="2"/>
  <c r="C1566" i="2" s="1" a="1"/>
  <c r="C1566" i="2" s="1"/>
  <c r="S1567" i="2"/>
  <c r="S1568" i="2"/>
  <c r="S1569" i="2"/>
  <c r="S1570" i="2"/>
  <c r="S1571" i="2"/>
  <c r="S1572" i="2"/>
  <c r="S1573" i="2"/>
  <c r="S1574" i="2"/>
  <c r="S1575" i="2"/>
  <c r="C1575" i="2" s="1" a="1"/>
  <c r="C1575" i="2" s="1"/>
  <c r="S1576" i="2"/>
  <c r="S1577" i="2"/>
  <c r="C1577" i="2" s="1" a="1"/>
  <c r="C1577" i="2" s="1"/>
  <c r="S1578" i="2"/>
  <c r="C1578" i="2" s="1" a="1"/>
  <c r="C1578" i="2" s="1"/>
  <c r="S1579" i="2"/>
  <c r="S1580" i="2"/>
  <c r="S1581" i="2"/>
  <c r="S1582" i="2"/>
  <c r="S1583" i="2"/>
  <c r="S1584" i="2"/>
  <c r="S1585" i="2"/>
  <c r="C1585" i="2" s="1" a="1"/>
  <c r="C1585" i="2" s="1"/>
  <c r="S1586" i="2"/>
  <c r="C1586" i="2" s="1" a="1"/>
  <c r="C1586" i="2" s="1"/>
  <c r="S1587" i="2"/>
  <c r="C1587" i="2" s="1" a="1"/>
  <c r="C1587" i="2" s="1"/>
  <c r="S1588" i="2"/>
  <c r="C1588" i="2" s="1" a="1"/>
  <c r="C1588" i="2" s="1"/>
  <c r="S1589" i="2"/>
  <c r="C1589" i="2" s="1" a="1"/>
  <c r="C1589" i="2" s="1"/>
  <c r="S1590" i="2"/>
  <c r="C1590" i="2" s="1" a="1"/>
  <c r="C1590" i="2" s="1"/>
  <c r="S1591" i="2"/>
  <c r="S1592" i="2"/>
  <c r="S1593" i="2"/>
  <c r="S1594" i="2"/>
  <c r="S1595" i="2"/>
  <c r="S1596" i="2"/>
  <c r="S1597" i="2"/>
  <c r="C1597" i="2" s="1" a="1"/>
  <c r="C1597" i="2" s="1"/>
  <c r="S1598" i="2"/>
  <c r="C1598" i="2" s="1" a="1"/>
  <c r="C1598" i="2" s="1"/>
  <c r="S1599" i="2"/>
  <c r="C1599" i="2" s="1" a="1"/>
  <c r="C1599" i="2" s="1"/>
  <c r="S1600" i="2"/>
  <c r="C1600" i="2" s="1" a="1"/>
  <c r="C1600" i="2" s="1"/>
  <c r="S1601" i="2"/>
  <c r="C1601" i="2" s="1" a="1"/>
  <c r="C1601" i="2" s="1"/>
  <c r="S1602" i="2"/>
  <c r="C1602" i="2" s="1" a="1"/>
  <c r="C1602" i="2" s="1"/>
  <c r="S1603" i="2"/>
  <c r="S1604" i="2"/>
  <c r="S1605" i="2"/>
  <c r="S1606" i="2"/>
  <c r="S1607" i="2"/>
  <c r="S1608" i="2"/>
  <c r="S1609" i="2"/>
  <c r="C1609" i="2" s="1" a="1"/>
  <c r="C1609" i="2" s="1"/>
  <c r="S1610" i="2"/>
  <c r="C1610" i="2" s="1" a="1"/>
  <c r="C1610" i="2" s="1"/>
  <c r="S1611" i="2"/>
  <c r="C1611" i="2" s="1" a="1"/>
  <c r="C1611" i="2" s="1"/>
  <c r="S1612" i="2"/>
  <c r="C1612" i="2" s="1" a="1"/>
  <c r="C1612" i="2" s="1"/>
  <c r="S1613" i="2"/>
  <c r="C1613" i="2" s="1" a="1"/>
  <c r="C1613" i="2" s="1"/>
  <c r="S1614" i="2"/>
  <c r="C1614" i="2" s="1" a="1"/>
  <c r="C1614" i="2" s="1"/>
  <c r="S1615" i="2"/>
  <c r="S1616" i="2"/>
  <c r="S1617" i="2"/>
  <c r="S1618" i="2"/>
  <c r="S1619" i="2"/>
  <c r="S1620" i="2"/>
  <c r="C1620" i="2" s="1" a="1"/>
  <c r="C1620" i="2" s="1"/>
  <c r="S1621" i="2"/>
  <c r="C1621" i="2" s="1" a="1"/>
  <c r="C1621" i="2" s="1"/>
  <c r="S1622" i="2"/>
  <c r="C1622" i="2" s="1" a="1"/>
  <c r="C1622" i="2" s="1"/>
  <c r="S1623" i="2"/>
  <c r="C1623" i="2" s="1" a="1"/>
  <c r="C1623" i="2" s="1"/>
  <c r="S1624" i="2"/>
  <c r="C1624" i="2" s="1" a="1"/>
  <c r="C1624" i="2" s="1"/>
  <c r="S1625" i="2"/>
  <c r="C1625" i="2" s="1" a="1"/>
  <c r="C1625" i="2" s="1"/>
  <c r="S1626" i="2"/>
  <c r="C1626" i="2" s="1" a="1"/>
  <c r="C1626" i="2" s="1"/>
  <c r="S1627" i="2"/>
  <c r="S1628" i="2"/>
  <c r="S1629" i="2"/>
  <c r="S1630" i="2"/>
  <c r="S1631" i="2"/>
  <c r="S1632" i="2"/>
  <c r="C1632" i="2" s="1" a="1"/>
  <c r="C1632" i="2" s="1"/>
  <c r="S1633" i="2"/>
  <c r="C1633" i="2" s="1" a="1"/>
  <c r="C1633" i="2" s="1"/>
  <c r="S1634" i="2"/>
  <c r="C1634" i="2" s="1" a="1"/>
  <c r="C1634" i="2" s="1"/>
  <c r="S1635" i="2"/>
  <c r="C1635" i="2" s="1" a="1"/>
  <c r="C1635" i="2" s="1"/>
  <c r="S1636" i="2"/>
  <c r="C1636" i="2" s="1" a="1"/>
  <c r="C1636" i="2" s="1"/>
  <c r="S1637" i="2"/>
  <c r="C1637" i="2" s="1" a="1"/>
  <c r="C1637" i="2" s="1"/>
  <c r="S1638" i="2"/>
  <c r="C1638" i="2" s="1" a="1"/>
  <c r="C1638" i="2" s="1"/>
  <c r="S1639" i="2"/>
  <c r="S1640" i="2"/>
  <c r="S1641" i="2"/>
  <c r="S1642" i="2"/>
  <c r="S1643" i="2"/>
  <c r="S1644" i="2"/>
  <c r="C1644" i="2" s="1" a="1"/>
  <c r="C1644" i="2" s="1"/>
  <c r="S1645" i="2"/>
  <c r="S1646" i="2"/>
  <c r="C1646" i="2" s="1" a="1"/>
  <c r="C1646" i="2" s="1"/>
  <c r="S1647" i="2"/>
  <c r="C1647" i="2" s="1" a="1"/>
  <c r="C1647" i="2" s="1"/>
  <c r="S1648" i="2"/>
  <c r="C1648" i="2" s="1" a="1"/>
  <c r="C1648" i="2" s="1"/>
  <c r="S1649" i="2"/>
  <c r="C1649" i="2" s="1" a="1"/>
  <c r="C1649" i="2" s="1"/>
  <c r="S1650" i="2"/>
  <c r="C1650" i="2" s="1" a="1"/>
  <c r="C1650" i="2" s="1"/>
  <c r="S1651" i="2"/>
  <c r="S1652" i="2"/>
  <c r="S1653" i="2"/>
  <c r="S1654" i="2"/>
  <c r="S1655" i="2"/>
  <c r="S1656" i="2"/>
  <c r="S1657" i="2"/>
  <c r="C1657" i="2" s="1" a="1"/>
  <c r="C1657" i="2" s="1"/>
  <c r="S1658" i="2"/>
  <c r="C1658" i="2" s="1" a="1"/>
  <c r="C1658" i="2" s="1"/>
  <c r="S1659" i="2"/>
  <c r="C1659" i="2" s="1" a="1"/>
  <c r="C1659" i="2" s="1"/>
  <c r="S1660" i="2"/>
  <c r="C1660" i="2" s="1" a="1"/>
  <c r="C1660" i="2" s="1"/>
  <c r="S1661" i="2"/>
  <c r="C1661" i="2" s="1" a="1"/>
  <c r="C1661" i="2" s="1"/>
  <c r="S1662" i="2"/>
  <c r="C1662" i="2" s="1" a="1"/>
  <c r="C1662" i="2" s="1"/>
  <c r="S1663" i="2"/>
  <c r="S1664" i="2"/>
  <c r="S1665" i="2"/>
  <c r="S1666" i="2"/>
  <c r="S1667" i="2"/>
  <c r="S1668" i="2"/>
  <c r="S1669" i="2"/>
  <c r="C1669" i="2" s="1" a="1"/>
  <c r="C1669" i="2" s="1"/>
  <c r="S1670" i="2"/>
  <c r="S1671" i="2"/>
  <c r="C1671" i="2" s="1" a="1"/>
  <c r="C1671" i="2" s="1"/>
  <c r="S1672" i="2"/>
  <c r="C1672" i="2" s="1" a="1"/>
  <c r="C1672" i="2" s="1"/>
  <c r="S1673" i="2"/>
  <c r="C1673" i="2" s="1" a="1"/>
  <c r="C1673" i="2" s="1"/>
  <c r="S1674" i="2"/>
  <c r="C1674" i="2" s="1" a="1"/>
  <c r="C1674" i="2" s="1"/>
  <c r="S1675" i="2"/>
  <c r="S1676" i="2"/>
  <c r="S1677" i="2"/>
  <c r="S1678" i="2"/>
  <c r="S1679" i="2"/>
  <c r="S1680" i="2"/>
  <c r="C1680" i="2" s="1" a="1"/>
  <c r="C1680" i="2" s="1"/>
  <c r="S1681" i="2"/>
  <c r="C1681" i="2" s="1" a="1"/>
  <c r="C1681" i="2" s="1"/>
  <c r="S1682" i="2"/>
  <c r="C1682" i="2" s="1" a="1"/>
  <c r="C1682" i="2" s="1"/>
  <c r="S1683" i="2"/>
  <c r="C1683" i="2" s="1" a="1"/>
  <c r="C1683" i="2" s="1"/>
  <c r="S1684" i="2"/>
  <c r="C1684" i="2" s="1" a="1"/>
  <c r="C1684" i="2" s="1"/>
  <c r="S1685" i="2"/>
  <c r="S1686" i="2"/>
  <c r="C1686" i="2" s="1" a="1"/>
  <c r="C1686" i="2" s="1"/>
  <c r="S1687" i="2"/>
  <c r="S1688" i="2"/>
  <c r="S1689" i="2"/>
  <c r="S1690" i="2"/>
  <c r="S1691" i="2"/>
  <c r="S1692" i="2"/>
  <c r="S1693" i="2"/>
  <c r="C1693" i="2" s="1" a="1"/>
  <c r="C1693" i="2" s="1"/>
  <c r="S1694" i="2"/>
  <c r="C1694" i="2" s="1" a="1"/>
  <c r="C1694" i="2" s="1"/>
  <c r="S1695" i="2"/>
  <c r="C1695" i="2" s="1" a="1"/>
  <c r="C1695" i="2" s="1"/>
  <c r="S1696" i="2"/>
  <c r="C1696" i="2" s="1" a="1"/>
  <c r="C1696" i="2" s="1"/>
  <c r="S1697" i="2"/>
  <c r="C1697" i="2" s="1" a="1"/>
  <c r="C1697" i="2" s="1"/>
  <c r="S1698" i="2"/>
  <c r="C1698" i="2" s="1" a="1"/>
  <c r="C1698" i="2" s="1"/>
  <c r="S1699" i="2"/>
  <c r="S1700" i="2"/>
  <c r="S1701" i="2"/>
  <c r="S1702" i="2"/>
  <c r="S1703" i="2"/>
  <c r="S1704" i="2"/>
  <c r="S1705" i="2"/>
  <c r="C1705" i="2" s="1" a="1"/>
  <c r="C1705" i="2" s="1"/>
  <c r="S1706" i="2"/>
  <c r="S1707" i="2"/>
  <c r="S1708" i="2"/>
  <c r="C1708" i="2" s="1" a="1"/>
  <c r="C1708" i="2" s="1"/>
  <c r="S1709" i="2"/>
  <c r="C1709" i="2" s="1" a="1"/>
  <c r="C1709" i="2" s="1"/>
  <c r="S1710" i="2"/>
  <c r="C1710" i="2" s="1" a="1"/>
  <c r="C1710" i="2" s="1"/>
  <c r="S1711" i="2"/>
  <c r="S1712" i="2"/>
  <c r="S1713" i="2"/>
  <c r="S1714" i="2"/>
  <c r="S1715" i="2"/>
  <c r="S1716" i="2"/>
  <c r="S1717" i="2"/>
  <c r="S1718" i="2"/>
  <c r="C1718" i="2" s="1" a="1"/>
  <c r="C1718" i="2" s="1"/>
  <c r="S1719" i="2"/>
  <c r="C1719" i="2" s="1" a="1"/>
  <c r="C1719" i="2" s="1"/>
  <c r="S1720" i="2"/>
  <c r="C1720" i="2" s="1" a="1"/>
  <c r="C1720" i="2" s="1"/>
  <c r="S1721" i="2"/>
  <c r="C1721" i="2" s="1" a="1"/>
  <c r="C1721" i="2" s="1"/>
  <c r="S1722" i="2"/>
  <c r="C1722" i="2" s="1" a="1"/>
  <c r="C1722" i="2" s="1"/>
  <c r="S1723" i="2"/>
  <c r="S1724" i="2"/>
  <c r="S1725" i="2"/>
  <c r="S1726" i="2"/>
  <c r="S1727" i="2"/>
  <c r="S1728" i="2"/>
  <c r="S1729" i="2"/>
  <c r="C1729" i="2" s="1" a="1"/>
  <c r="C1729" i="2" s="1"/>
  <c r="S1730" i="2"/>
  <c r="C1730" i="2" s="1" a="1"/>
  <c r="C1730" i="2" s="1"/>
  <c r="S1731" i="2"/>
  <c r="C1731" i="2" s="1" a="1"/>
  <c r="C1731" i="2" s="1"/>
  <c r="S1732" i="2"/>
  <c r="C1732" i="2" s="1" a="1"/>
  <c r="C1732" i="2" s="1"/>
  <c r="S1733" i="2"/>
  <c r="C1733" i="2" s="1" a="1"/>
  <c r="C1733" i="2" s="1"/>
  <c r="S1734" i="2"/>
  <c r="C1734" i="2" s="1" a="1"/>
  <c r="C1734" i="2" s="1"/>
  <c r="S1735" i="2"/>
  <c r="S1736" i="2"/>
  <c r="S1737" i="2"/>
  <c r="S1738" i="2"/>
  <c r="S1739" i="2"/>
  <c r="S1740" i="2"/>
  <c r="S1741" i="2"/>
  <c r="C1741" i="2" s="1" a="1"/>
  <c r="C1741" i="2" s="1"/>
  <c r="S1742" i="2"/>
  <c r="C1742" i="2" s="1" a="1"/>
  <c r="C1742" i="2" s="1"/>
  <c r="S1743" i="2"/>
  <c r="C1743" i="2" s="1" a="1"/>
  <c r="C1743" i="2" s="1"/>
  <c r="S1744" i="2"/>
  <c r="C1744" i="2" s="1" a="1"/>
  <c r="C1744" i="2" s="1"/>
  <c r="S1745" i="2"/>
  <c r="C1745" i="2" s="1" a="1"/>
  <c r="C1745" i="2" s="1"/>
  <c r="S1746" i="2"/>
  <c r="C1746" i="2" s="1" a="1"/>
  <c r="C1746" i="2" s="1"/>
  <c r="S1747" i="2"/>
  <c r="S1748" i="2"/>
  <c r="S1749" i="2"/>
  <c r="S1750" i="2"/>
  <c r="S1751" i="2"/>
  <c r="S1752" i="2"/>
  <c r="C1752" i="2" s="1" a="1"/>
  <c r="S1753" i="2"/>
  <c r="S1754" i="2"/>
  <c r="C1754" i="2" s="1" a="1"/>
  <c r="C1754" i="2" s="1"/>
  <c r="S1755" i="2"/>
  <c r="C1755" i="2" s="1" a="1"/>
  <c r="C1755" i="2" s="1"/>
  <c r="S1756" i="2"/>
  <c r="C1756" i="2" s="1" a="1"/>
  <c r="C1756" i="2" s="1"/>
  <c r="S1757" i="2"/>
  <c r="C1757" i="2" s="1" a="1"/>
  <c r="C1757" i="2" s="1"/>
  <c r="S1758" i="2"/>
  <c r="C1758" i="2" s="1" a="1"/>
  <c r="C1758" i="2" s="1"/>
  <c r="S1759" i="2"/>
  <c r="S1760" i="2"/>
  <c r="S1761" i="2"/>
  <c r="S1762" i="2"/>
  <c r="S1763" i="2"/>
  <c r="S1764" i="2"/>
  <c r="C1764" i="2" s="1" a="1"/>
  <c r="C1764" i="2" s="1"/>
  <c r="S1765" i="2"/>
  <c r="C1765" i="2" s="1" a="1"/>
  <c r="C1765" i="2" s="1"/>
  <c r="S1766" i="2"/>
  <c r="C1766" i="2" s="1" a="1"/>
  <c r="C1766" i="2" s="1"/>
  <c r="S1767" i="2"/>
  <c r="C1767" i="2" s="1" a="1"/>
  <c r="C1767" i="2" s="1"/>
  <c r="S1768" i="2"/>
  <c r="C1768" i="2" s="1" a="1"/>
  <c r="C1768" i="2" s="1"/>
  <c r="S1769" i="2"/>
  <c r="C1769" i="2" s="1" a="1"/>
  <c r="C1769" i="2" s="1"/>
  <c r="S1770" i="2"/>
  <c r="C1770" i="2" s="1" a="1"/>
  <c r="C1770" i="2" s="1"/>
  <c r="S1771" i="2"/>
  <c r="S1772" i="2"/>
  <c r="S1773" i="2"/>
  <c r="S1774" i="2"/>
  <c r="S1775" i="2"/>
  <c r="S1776" i="2"/>
  <c r="S1777" i="2"/>
  <c r="C1777" i="2" s="1" a="1"/>
  <c r="C1777" i="2" s="1"/>
  <c r="S1778" i="2"/>
  <c r="C1778" i="2" s="1" a="1"/>
  <c r="C1778" i="2" s="1"/>
  <c r="S1779" i="2"/>
  <c r="C1779" i="2" s="1" a="1"/>
  <c r="C1779" i="2" s="1"/>
  <c r="S1780" i="2"/>
  <c r="C1780" i="2" s="1" a="1"/>
  <c r="C1780" i="2" s="1"/>
  <c r="S1781" i="2"/>
  <c r="C1781" i="2" s="1" a="1"/>
  <c r="C1781" i="2" s="1"/>
  <c r="S1782" i="2"/>
  <c r="C1782" i="2" s="1" a="1"/>
  <c r="C1782" i="2" s="1"/>
  <c r="S1783" i="2"/>
  <c r="S1784" i="2"/>
  <c r="S1785" i="2"/>
  <c r="S1786" i="2"/>
  <c r="S1787" i="2"/>
  <c r="S1788" i="2"/>
  <c r="S1789" i="2"/>
  <c r="S1790" i="2"/>
  <c r="S1791" i="2"/>
  <c r="S1792" i="2"/>
  <c r="S1793" i="2"/>
  <c r="C1793" i="2" s="1" a="1"/>
  <c r="C1793" i="2" s="1"/>
  <c r="S1794" i="2"/>
  <c r="C1794" i="2" s="1" a="1"/>
  <c r="C1794" i="2" s="1"/>
  <c r="S1795" i="2"/>
  <c r="S1796" i="2"/>
  <c r="S1797" i="2"/>
  <c r="S1798" i="2"/>
  <c r="S1799" i="2"/>
  <c r="S1800" i="2"/>
  <c r="S1801" i="2"/>
  <c r="C1801" i="2" s="1" a="1"/>
  <c r="C1801" i="2" s="1"/>
  <c r="S1802" i="2"/>
  <c r="C1802" i="2" s="1" a="1"/>
  <c r="C1802" i="2" s="1"/>
  <c r="S1803" i="2"/>
  <c r="C1803" i="2" s="1" a="1"/>
  <c r="C1803" i="2" s="1"/>
  <c r="S1804" i="2"/>
  <c r="C1804" i="2" s="1" a="1"/>
  <c r="C1804" i="2" s="1"/>
  <c r="S1805" i="2"/>
  <c r="C1805" i="2" s="1" a="1"/>
  <c r="C1805" i="2" s="1"/>
  <c r="S1806" i="2"/>
  <c r="C1806" i="2" s="1" a="1"/>
  <c r="C1806" i="2" s="1"/>
  <c r="S1807" i="2"/>
  <c r="S1808" i="2"/>
  <c r="S1809" i="2"/>
  <c r="S1810" i="2"/>
  <c r="S1811" i="2"/>
  <c r="S1812" i="2"/>
  <c r="C1812" i="2" s="1" a="1"/>
  <c r="C1812" i="2" s="1"/>
  <c r="S1813" i="2"/>
  <c r="C1813" i="2" s="1" a="1"/>
  <c r="C1813" i="2" s="1"/>
  <c r="S1814" i="2"/>
  <c r="C1814" i="2" s="1" a="1"/>
  <c r="C1814" i="2" s="1"/>
  <c r="S1815" i="2"/>
  <c r="C1815" i="2" s="1" a="1"/>
  <c r="C1815" i="2" s="1"/>
  <c r="S1816" i="2"/>
  <c r="C1816" i="2" s="1" a="1"/>
  <c r="C1816" i="2" s="1"/>
  <c r="S1817" i="2"/>
  <c r="C1817" i="2" s="1" a="1"/>
  <c r="C1817" i="2" s="1"/>
  <c r="S1818" i="2"/>
  <c r="C1818" i="2" s="1" a="1"/>
  <c r="C1818" i="2" s="1"/>
  <c r="S1819" i="2"/>
  <c r="S1820" i="2"/>
  <c r="S1821" i="2"/>
  <c r="S1822" i="2"/>
  <c r="S1823" i="2"/>
  <c r="S1824" i="2"/>
  <c r="S1825" i="2"/>
  <c r="C1825" i="2" s="1" a="1"/>
  <c r="C1825" i="2" s="1"/>
  <c r="S1826" i="2"/>
  <c r="C1826" i="2" s="1" a="1"/>
  <c r="C1826" i="2" s="1"/>
  <c r="S1827" i="2"/>
  <c r="C1827" i="2" s="1" a="1"/>
  <c r="C1827" i="2" s="1"/>
  <c r="S1828" i="2"/>
  <c r="S1829" i="2"/>
  <c r="C1829" i="2" s="1" a="1"/>
  <c r="C1829" i="2" s="1"/>
  <c r="S1830" i="2"/>
  <c r="C1830" i="2" s="1" a="1"/>
  <c r="C1830" i="2" s="1"/>
  <c r="S1831" i="2"/>
  <c r="S1832" i="2"/>
  <c r="S1833" i="2"/>
  <c r="S1834" i="2"/>
  <c r="S1835" i="2"/>
  <c r="S1836" i="2"/>
  <c r="S1837" i="2"/>
  <c r="C1837" i="2" s="1" a="1"/>
  <c r="C1837" i="2" s="1"/>
  <c r="S1838" i="2"/>
  <c r="C1838" i="2" s="1" a="1"/>
  <c r="C1838" i="2" s="1"/>
  <c r="S1839" i="2"/>
  <c r="C1839" i="2" s="1" a="1"/>
  <c r="C1839" i="2" s="1"/>
  <c r="S1840" i="2"/>
  <c r="C1840" i="2" s="1" a="1"/>
  <c r="C1840" i="2" s="1"/>
  <c r="S1841" i="2"/>
  <c r="C1841" i="2" s="1" a="1"/>
  <c r="C1841" i="2" s="1"/>
  <c r="S1842" i="2"/>
  <c r="C1842" i="2" s="1" a="1"/>
  <c r="C1842" i="2" s="1"/>
  <c r="S1843" i="2"/>
  <c r="S1844" i="2"/>
  <c r="S1845" i="2"/>
  <c r="S1846" i="2"/>
  <c r="S1847" i="2"/>
  <c r="S1848" i="2"/>
  <c r="S1849" i="2"/>
  <c r="S1850" i="2"/>
  <c r="S1851" i="2"/>
  <c r="S1852" i="2"/>
  <c r="S1853" i="2"/>
  <c r="C1853" i="2" s="1" a="1"/>
  <c r="C1853" i="2" s="1"/>
  <c r="S1854" i="2"/>
  <c r="C1854" i="2" s="1" a="1"/>
  <c r="C1854" i="2" s="1"/>
  <c r="S1855" i="2"/>
  <c r="S1856" i="2"/>
  <c r="S1857" i="2"/>
  <c r="S1858" i="2"/>
  <c r="S1859" i="2"/>
  <c r="S1860" i="2"/>
  <c r="S1861" i="2"/>
  <c r="S1862" i="2"/>
  <c r="S1863" i="2"/>
  <c r="C1863" i="2" s="1" a="1"/>
  <c r="C1863" i="2" s="1"/>
  <c r="S1864" i="2"/>
  <c r="C1864" i="2" s="1" a="1"/>
  <c r="C1864" i="2" s="1"/>
  <c r="S1865" i="2"/>
  <c r="C1865" i="2" s="1" a="1"/>
  <c r="C1865" i="2" s="1"/>
  <c r="S1866" i="2"/>
  <c r="C1866" i="2" s="1" a="1"/>
  <c r="C1866" i="2" s="1"/>
  <c r="S1867" i="2"/>
  <c r="S1868" i="2"/>
  <c r="S1869" i="2"/>
  <c r="S1870" i="2"/>
  <c r="S1871" i="2"/>
  <c r="S1872" i="2"/>
  <c r="C1872" i="2" s="1" a="1"/>
  <c r="C1872" i="2" s="1"/>
  <c r="S1873" i="2"/>
  <c r="C1873" i="2" s="1" a="1"/>
  <c r="C1873" i="2" s="1"/>
  <c r="S1874" i="2"/>
  <c r="C1874" i="2" s="1" a="1"/>
  <c r="C1874" i="2" s="1"/>
  <c r="S1875" i="2"/>
  <c r="C1875" i="2" s="1" a="1"/>
  <c r="C1875" i="2" s="1"/>
  <c r="S1876" i="2"/>
  <c r="C1876" i="2" s="1" a="1"/>
  <c r="C1876" i="2" s="1"/>
  <c r="S1877" i="2"/>
  <c r="C1877" i="2" s="1" a="1"/>
  <c r="C1877" i="2" s="1"/>
  <c r="S1878" i="2"/>
  <c r="C1878" i="2" s="1" a="1"/>
  <c r="C1878" i="2" s="1"/>
  <c r="S1879" i="2"/>
  <c r="S1880" i="2"/>
  <c r="S1881" i="2"/>
  <c r="S1882" i="2"/>
  <c r="S1883" i="2"/>
  <c r="S1884" i="2"/>
  <c r="C1884" i="2" s="1" a="1"/>
  <c r="C1884" i="2" s="1"/>
  <c r="S1885" i="2"/>
  <c r="C1885" i="2" s="1" a="1"/>
  <c r="C1885" i="2" s="1"/>
  <c r="S1886" i="2"/>
  <c r="C1886" i="2" s="1" a="1"/>
  <c r="C1886" i="2" s="1"/>
  <c r="S1887" i="2"/>
  <c r="C1887" i="2" s="1" a="1"/>
  <c r="C1887" i="2" s="1"/>
  <c r="S1888" i="2"/>
  <c r="C1888" i="2" s="1" a="1"/>
  <c r="C1888" i="2" s="1"/>
  <c r="S1889" i="2"/>
  <c r="C1889" i="2" s="1" a="1"/>
  <c r="C1889" i="2" s="1"/>
  <c r="S1890" i="2"/>
  <c r="C1890" i="2" s="1" a="1"/>
  <c r="C1890" i="2" s="1"/>
  <c r="S1891" i="2"/>
  <c r="S1892" i="2"/>
  <c r="S1893" i="2"/>
  <c r="S1894" i="2"/>
  <c r="S1895" i="2"/>
  <c r="S1896" i="2"/>
  <c r="S1897" i="2"/>
  <c r="C1897" i="2" s="1" a="1"/>
  <c r="S1898" i="2"/>
  <c r="C1898" i="2" s="1" a="1"/>
  <c r="S1899" i="2"/>
  <c r="C1899" i="2" s="1" a="1"/>
  <c r="C1899" i="2" s="1"/>
  <c r="S1900" i="2"/>
  <c r="C1900" i="2" s="1" a="1"/>
  <c r="C1900" i="2" s="1"/>
  <c r="S1901" i="2"/>
  <c r="C1901" i="2" s="1" a="1"/>
  <c r="C1901" i="2" s="1"/>
  <c r="S1902" i="2"/>
  <c r="C1902" i="2" s="1" a="1"/>
  <c r="C1902" i="2" s="1"/>
  <c r="S1903" i="2"/>
  <c r="S1904" i="2"/>
  <c r="S1905" i="2"/>
  <c r="S1906" i="2"/>
  <c r="S1907" i="2"/>
  <c r="S1908" i="2"/>
  <c r="C1908" i="2" s="1" a="1"/>
  <c r="C1908" i="2" s="1"/>
  <c r="S1909" i="2"/>
  <c r="S1910" i="2"/>
  <c r="S1911" i="2"/>
  <c r="C1911" i="2" s="1" a="1"/>
  <c r="C1911" i="2" s="1"/>
  <c r="S1912" i="2"/>
  <c r="C1912" i="2" s="1" a="1"/>
  <c r="C1912" i="2" s="1"/>
  <c r="S1913" i="2"/>
  <c r="C1913" i="2" s="1" a="1"/>
  <c r="C1913" i="2" s="1"/>
  <c r="S1914" i="2"/>
  <c r="C1914" i="2" s="1" a="1"/>
  <c r="C1914" i="2" s="1"/>
  <c r="S1915" i="2"/>
  <c r="S1916" i="2"/>
  <c r="S1917" i="2"/>
  <c r="S1918" i="2"/>
  <c r="S1919" i="2"/>
  <c r="S1920" i="2"/>
  <c r="S1921" i="2"/>
  <c r="C1921" i="2" s="1" a="1"/>
  <c r="C1921" i="2" s="1"/>
  <c r="S1922" i="2"/>
  <c r="C1922" i="2" s="1" a="1"/>
  <c r="C1922" i="2" s="1"/>
  <c r="S1923" i="2"/>
  <c r="C1923" i="2" s="1" a="1"/>
  <c r="C1923" i="2" s="1"/>
  <c r="S1924" i="2"/>
  <c r="C1924" i="2" s="1" a="1"/>
  <c r="C1924" i="2" s="1"/>
  <c r="S1925" i="2"/>
  <c r="C1925" i="2" s="1" a="1"/>
  <c r="C1925" i="2" s="1"/>
  <c r="S1926" i="2"/>
  <c r="C1926" i="2" s="1" a="1"/>
  <c r="C1926" i="2" s="1"/>
  <c r="S1927" i="2"/>
  <c r="S1928" i="2"/>
  <c r="S1929" i="2"/>
  <c r="S1930" i="2"/>
  <c r="S1931" i="2"/>
  <c r="S1932" i="2"/>
  <c r="C1932" i="2" s="1" a="1"/>
  <c r="C1932" i="2" s="1"/>
  <c r="S1933" i="2"/>
  <c r="C1933" i="2" s="1" a="1"/>
  <c r="C1933" i="2" s="1"/>
  <c r="S1934" i="2"/>
  <c r="C1934" i="2" s="1" a="1"/>
  <c r="C1934" i="2" s="1"/>
  <c r="S1935" i="2"/>
  <c r="C1935" i="2" s="1" a="1"/>
  <c r="C1935" i="2" s="1"/>
  <c r="S1936" i="2"/>
  <c r="C1936" i="2" s="1" a="1"/>
  <c r="C1936" i="2" s="1"/>
  <c r="S1937" i="2"/>
  <c r="C1937" i="2" s="1" a="1"/>
  <c r="C1937" i="2" s="1"/>
  <c r="S1938" i="2"/>
  <c r="C1938" i="2" s="1" a="1"/>
  <c r="C1938" i="2" s="1"/>
  <c r="S1939" i="2"/>
  <c r="S1940" i="2"/>
  <c r="S1941" i="2"/>
  <c r="S1942" i="2"/>
  <c r="S1943" i="2"/>
  <c r="S1944" i="2"/>
  <c r="S1945" i="2"/>
  <c r="S1946" i="2"/>
  <c r="C1946" i="2" s="1" a="1"/>
  <c r="C1946" i="2" s="1"/>
  <c r="S1947" i="2"/>
  <c r="C1947" i="2" s="1" a="1"/>
  <c r="C1947" i="2" s="1"/>
  <c r="S1948" i="2"/>
  <c r="C1948" i="2" s="1" a="1"/>
  <c r="C1948" i="2" s="1"/>
  <c r="S1949" i="2"/>
  <c r="C1949" i="2" s="1" a="1"/>
  <c r="C1949" i="2" s="1"/>
  <c r="S1950" i="2"/>
  <c r="C1950" i="2" s="1" a="1"/>
  <c r="C1950" i="2" s="1"/>
  <c r="S1951" i="2"/>
  <c r="S1952" i="2"/>
  <c r="S1953" i="2"/>
  <c r="S1954" i="2"/>
  <c r="S1955" i="2"/>
  <c r="S1956" i="2"/>
  <c r="C1956" i="2" s="1" a="1"/>
  <c r="C1956" i="2" s="1"/>
  <c r="S1957" i="2"/>
  <c r="S1958" i="2"/>
  <c r="S1959" i="2"/>
  <c r="C1959" i="2" s="1" a="1"/>
  <c r="C1959" i="2" s="1"/>
  <c r="S1960" i="2"/>
  <c r="C1960" i="2" s="1" a="1"/>
  <c r="C1960" i="2" s="1"/>
  <c r="S1961" i="2"/>
  <c r="S1962" i="2"/>
  <c r="C1962" i="2" s="1" a="1"/>
  <c r="C1962" i="2" s="1"/>
  <c r="S1963" i="2"/>
  <c r="S1964" i="2"/>
  <c r="S1965" i="2"/>
  <c r="S1966" i="2"/>
  <c r="S1967" i="2"/>
  <c r="S1968" i="2"/>
  <c r="C1968" i="2" s="1" a="1"/>
  <c r="C1968" i="2" s="1"/>
  <c r="S1969" i="2"/>
  <c r="C1969" i="2" s="1" a="1"/>
  <c r="C1969" i="2" s="1"/>
  <c r="S1970" i="2"/>
  <c r="C1970" i="2" s="1" a="1"/>
  <c r="C1970" i="2" s="1"/>
  <c r="S1971" i="2"/>
  <c r="C1971" i="2" s="1" a="1"/>
  <c r="C1971" i="2" s="1"/>
  <c r="S1972" i="2"/>
  <c r="C1972" i="2" s="1" a="1"/>
  <c r="C1972" i="2" s="1"/>
  <c r="S1973" i="2"/>
  <c r="C1973" i="2" s="1" a="1"/>
  <c r="C1973" i="2" s="1"/>
  <c r="S1974" i="2"/>
  <c r="C1974" i="2" s="1" a="1"/>
  <c r="C1974" i="2" s="1"/>
  <c r="S1975" i="2"/>
  <c r="S1976" i="2"/>
  <c r="S1977" i="2"/>
  <c r="S1978" i="2"/>
  <c r="S1979" i="2"/>
  <c r="S1980" i="2"/>
  <c r="S1981" i="2"/>
  <c r="S1982" i="2"/>
  <c r="C1982" i="2" s="1" a="1"/>
  <c r="C1982" i="2" s="1"/>
  <c r="S1983" i="2"/>
  <c r="C1983" i="2" s="1" a="1"/>
  <c r="C1983" i="2" s="1"/>
  <c r="S1984" i="2"/>
  <c r="C1984" i="2" s="1" a="1"/>
  <c r="C1984" i="2" s="1"/>
  <c r="S1985" i="2"/>
  <c r="C1985" i="2" s="1" a="1"/>
  <c r="C1985" i="2" s="1"/>
  <c r="S1986" i="2"/>
  <c r="C1986" i="2" s="1" a="1"/>
  <c r="C1986" i="2" s="1"/>
  <c r="S1987" i="2"/>
  <c r="S1988" i="2"/>
  <c r="S1989" i="2"/>
  <c r="S1990" i="2"/>
  <c r="S1991" i="2"/>
  <c r="S1992" i="2"/>
  <c r="S1993" i="2"/>
  <c r="C1993" i="2" s="1" a="1"/>
  <c r="C1993" i="2" s="1"/>
  <c r="S1994" i="2"/>
  <c r="C1994" i="2" s="1" a="1"/>
  <c r="C1994" i="2" s="1"/>
  <c r="S1995" i="2"/>
  <c r="C1995" i="2" s="1" a="1"/>
  <c r="C1995" i="2" s="1"/>
  <c r="S1996" i="2"/>
  <c r="C1996" i="2" s="1" a="1"/>
  <c r="C1996" i="2" s="1"/>
  <c r="S1997" i="2"/>
  <c r="C1997" i="2" s="1" a="1"/>
  <c r="C1997" i="2" s="1"/>
  <c r="S1998" i="2"/>
  <c r="C1998" i="2" s="1" a="1"/>
  <c r="C1998" i="2" s="1"/>
  <c r="S1999" i="2"/>
  <c r="S2000" i="2"/>
  <c r="S2001" i="2"/>
  <c r="S2002" i="2"/>
  <c r="S2003" i="2"/>
  <c r="S2004" i="2"/>
  <c r="C2004" i="2" s="1" a="1"/>
  <c r="C2004" i="2" s="1"/>
  <c r="S2005" i="2"/>
  <c r="C2005" i="2" s="1" a="1"/>
  <c r="C2005" i="2" s="1"/>
  <c r="S2006" i="2"/>
  <c r="C2006" i="2" s="1" a="1"/>
  <c r="C2006" i="2" s="1"/>
  <c r="S2007" i="2"/>
  <c r="C2007" i="2" s="1" a="1"/>
  <c r="C2007" i="2" s="1"/>
  <c r="S2008" i="2"/>
  <c r="C2008" i="2" s="1" a="1"/>
  <c r="C2008" i="2" s="1"/>
  <c r="S2009" i="2"/>
  <c r="C2009" i="2" s="1" a="1"/>
  <c r="C2009" i="2" s="1"/>
  <c r="S2010" i="2"/>
  <c r="C2010" i="2" s="1" a="1"/>
  <c r="C2010" i="2" s="1"/>
  <c r="S2011" i="2"/>
  <c r="S2012" i="2"/>
  <c r="S2013" i="2"/>
  <c r="S2014" i="2"/>
  <c r="S2015" i="2"/>
  <c r="S2016" i="2"/>
  <c r="C2016" i="2" s="1" a="1"/>
  <c r="C2016" i="2" s="1"/>
  <c r="S2017" i="2"/>
  <c r="C2017" i="2" s="1" a="1"/>
  <c r="C2017" i="2" s="1"/>
  <c r="S2018" i="2"/>
  <c r="C2018" i="2" s="1" a="1"/>
  <c r="C2018" i="2" s="1"/>
  <c r="S2019" i="2"/>
  <c r="C2019" i="2" s="1" a="1"/>
  <c r="C2019" i="2" s="1"/>
  <c r="S2020" i="2"/>
  <c r="C2020" i="2" s="1" a="1"/>
  <c r="C2020" i="2" s="1"/>
  <c r="S2021" i="2"/>
  <c r="C2021" i="2" s="1" a="1"/>
  <c r="C2021" i="2" s="1"/>
  <c r="S2022" i="2"/>
  <c r="C2022" i="2" s="1" a="1"/>
  <c r="C2022" i="2" s="1"/>
  <c r="S2023" i="2"/>
  <c r="S2024" i="2"/>
  <c r="S2025" i="2"/>
  <c r="S2026" i="2"/>
  <c r="S2027" i="2"/>
  <c r="S2028" i="2"/>
  <c r="S2029" i="2"/>
  <c r="C2029" i="2" s="1" a="1"/>
  <c r="C2029" i="2" s="1"/>
  <c r="S2030" i="2"/>
  <c r="C2030" i="2" s="1" a="1"/>
  <c r="C2030" i="2" s="1"/>
  <c r="S2031" i="2"/>
  <c r="C2031" i="2" s="1" a="1"/>
  <c r="C2031" i="2" s="1"/>
  <c r="S2032" i="2"/>
  <c r="C2032" i="2" s="1" a="1"/>
  <c r="C2032" i="2" s="1"/>
  <c r="S2033" i="2"/>
  <c r="C2033" i="2" s="1" a="1"/>
  <c r="C2033" i="2" s="1"/>
  <c r="S2034" i="2"/>
  <c r="C2034" i="2" s="1" a="1"/>
  <c r="C2034" i="2" s="1"/>
  <c r="S2035" i="2"/>
  <c r="S2036" i="2"/>
  <c r="S2037" i="2"/>
  <c r="S2038" i="2"/>
  <c r="S2039" i="2"/>
  <c r="S2040" i="2"/>
  <c r="C2040" i="2" s="1" a="1"/>
  <c r="C2040" i="2" s="1"/>
  <c r="S2041" i="2"/>
  <c r="S2042" i="2"/>
  <c r="S2043" i="2"/>
  <c r="C2043" i="2" s="1" a="1"/>
  <c r="C2043" i="2" s="1"/>
  <c r="S2044" i="2"/>
  <c r="C2044" i="2" s="1" a="1"/>
  <c r="C2044" i="2" s="1"/>
  <c r="S2045" i="2"/>
  <c r="C2045" i="2" s="1" a="1"/>
  <c r="C2045" i="2" s="1"/>
  <c r="S2046" i="2"/>
  <c r="C2046" i="2" s="1" a="1"/>
  <c r="C2046" i="2" s="1"/>
  <c r="S2047" i="2"/>
  <c r="S2048" i="2"/>
  <c r="S2049" i="2"/>
  <c r="G237" i="2" a="1"/>
  <c r="G237" i="2" s="1"/>
  <c r="G238" i="2" a="1"/>
  <c r="G238" i="2" s="1"/>
  <c r="G239" i="2" a="1"/>
  <c r="G239" i="2" s="1"/>
  <c r="G245" i="2" a="1"/>
  <c r="G245" i="2" s="1"/>
  <c r="G271" i="2" a="1"/>
  <c r="G271" i="2" s="1"/>
  <c r="G272" i="2" a="1"/>
  <c r="G272" i="2" s="1"/>
  <c r="G275" i="2" a="1"/>
  <c r="G275" i="2" s="1"/>
  <c r="G276" i="2" a="1"/>
  <c r="G276" i="2" s="1"/>
  <c r="G280" i="2" a="1"/>
  <c r="G280" i="2" s="1"/>
  <c r="G303" i="2" a="1"/>
  <c r="G303" i="2" s="1"/>
  <c r="G310" i="2" a="1"/>
  <c r="G310" i="2" s="1"/>
  <c r="G311" i="2" a="1"/>
  <c r="G311" i="2" s="1"/>
  <c r="G317" i="2" a="1"/>
  <c r="G317" i="2" s="1"/>
  <c r="G318" i="2" a="1"/>
  <c r="G318" i="2" s="1"/>
  <c r="G325" i="2" a="1"/>
  <c r="G325" i="2" s="1"/>
  <c r="G334" i="2" a="1"/>
  <c r="G334" i="2" s="1"/>
  <c r="G335" i="2" a="1"/>
  <c r="G335" i="2" s="1"/>
  <c r="G341" i="2" a="1"/>
  <c r="G341" i="2" s="1"/>
  <c r="G342" i="2" a="1"/>
  <c r="G342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/>
  <c r="G381" i="2" a="1"/>
  <c r="G381" i="2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/>
  <c r="G400" i="2" a="1"/>
  <c r="G400" i="2"/>
  <c r="G401" i="2" a="1"/>
  <c r="G401" i="2" s="1"/>
  <c r="G402" i="2" a="1"/>
  <c r="G402" i="2" s="1"/>
  <c r="G403" i="2" a="1"/>
  <c r="G403" i="2" s="1"/>
  <c r="G404" i="2" a="1"/>
  <c r="G404" i="2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/>
  <c r="G419" i="2" a="1"/>
  <c r="G419" i="2" s="1"/>
  <c r="G420" i="2" a="1"/>
  <c r="G420" i="2" s="1"/>
  <c r="G421" i="2" a="1"/>
  <c r="G421" i="2" s="1"/>
  <c r="G422" i="2" a="1"/>
  <c r="G422" i="2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/>
  <c r="G448" i="2" a="1"/>
  <c r="G448" i="2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/>
  <c r="G477" i="2" a="1"/>
  <c r="G477" i="2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/>
  <c r="G520" i="2" a="1"/>
  <c r="G520" i="2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 s="1"/>
  <c r="G527" i="2" a="1"/>
  <c r="G527" i="2" s="1"/>
  <c r="G528" i="2" a="1"/>
  <c r="G528" i="2" s="1"/>
  <c r="G529" i="2" a="1"/>
  <c r="G529" i="2" s="1"/>
  <c r="G530" i="2" a="1"/>
  <c r="G530" i="2" s="1"/>
  <c r="G531" i="2" a="1"/>
  <c r="G531" i="2"/>
  <c r="G532" i="2" a="1"/>
  <c r="G532" i="2"/>
  <c r="G533" i="2" a="1"/>
  <c r="G533" i="2" s="1"/>
  <c r="G534" i="2" a="1"/>
  <c r="G534" i="2" s="1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 s="1"/>
  <c r="G542" i="2" a="1"/>
  <c r="G542" i="2"/>
  <c r="G543" i="2" a="1"/>
  <c r="G543" i="2" s="1"/>
  <c r="G544" i="2" a="1"/>
  <c r="G544" i="2" s="1"/>
  <c r="G545" i="2" a="1"/>
  <c r="G545" i="2" s="1"/>
  <c r="G546" i="2" a="1"/>
  <c r="G546" i="2" s="1"/>
  <c r="G547" i="2" a="1"/>
  <c r="G547" i="2" s="1"/>
  <c r="G548" i="2" a="1"/>
  <c r="G548" i="2" s="1"/>
  <c r="G549" i="2" a="1"/>
  <c r="G549" i="2" s="1"/>
  <c r="G550" i="2" a="1"/>
  <c r="G550" i="2" s="1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0" i="2" a="1"/>
  <c r="G560" i="2"/>
  <c r="G561" i="2" a="1"/>
  <c r="G561" i="2" s="1"/>
  <c r="G562" i="2" a="1"/>
  <c r="G562" i="2" s="1"/>
  <c r="G563" i="2" a="1"/>
  <c r="G563" i="2" s="1"/>
  <c r="G564" i="2" a="1"/>
  <c r="G564" i="2" s="1"/>
  <c r="G565" i="2" a="1"/>
  <c r="G565" i="2" s="1"/>
  <c r="G566" i="2" a="1"/>
  <c r="G566" i="2" s="1"/>
  <c r="G567" i="2" a="1"/>
  <c r="G567" i="2" s="1"/>
  <c r="G568" i="2" a="1"/>
  <c r="G568" i="2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 s="1"/>
  <c r="G578" i="2" a="1"/>
  <c r="G578" i="2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/>
  <c r="G587" i="2" a="1"/>
  <c r="G587" i="2" s="1"/>
  <c r="G588" i="2" a="1"/>
  <c r="G588" i="2" s="1"/>
  <c r="G589" i="2" a="1"/>
  <c r="G589" i="2" s="1"/>
  <c r="G590" i="2" a="1"/>
  <c r="G590" i="2" s="1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/>
  <c r="G598" i="2" a="1"/>
  <c r="G598" i="2" s="1"/>
  <c r="G599" i="2" a="1"/>
  <c r="G599" i="2" s="1"/>
  <c r="G600" i="2" a="1"/>
  <c r="G600" i="2" s="1"/>
  <c r="G601" i="2" a="1"/>
  <c r="G601" i="2" s="1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 s="1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/>
  <c r="G635" i="2" a="1"/>
  <c r="G635" i="2" s="1"/>
  <c r="G636" i="2" a="1"/>
  <c r="G636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/>
  <c r="G660" i="2" a="1"/>
  <c r="G660" i="2" s="1"/>
  <c r="G661" i="2" a="1"/>
  <c r="G661" i="2" s="1"/>
  <c r="G662" i="2" a="1"/>
  <c r="G662" i="2" s="1"/>
  <c r="G663" i="2" a="1"/>
  <c r="G663" i="2" s="1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/>
  <c r="G683" i="2" a="1"/>
  <c r="G683" i="2" s="1"/>
  <c r="G684" i="2" a="1"/>
  <c r="G684" i="2" s="1"/>
  <c r="G685" i="2" a="1"/>
  <c r="G685" i="2" s="1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 s="1"/>
  <c r="G692" i="2" a="1"/>
  <c r="G692" i="2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/>
  <c r="G702" i="2" a="1"/>
  <c r="G702" i="2" s="1"/>
  <c r="G703" i="2" a="1"/>
  <c r="G703" i="2" s="1"/>
  <c r="G704" i="2" a="1"/>
  <c r="G704" i="2" s="1"/>
  <c r="G705" i="2" a="1"/>
  <c r="G705" i="2" s="1"/>
  <c r="G706" i="2" a="1"/>
  <c r="G706" i="2" s="1"/>
  <c r="G707" i="2" a="1"/>
  <c r="G707" i="2"/>
  <c r="G708" i="2" a="1"/>
  <c r="G708" i="2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 s="1"/>
  <c r="G718" i="2" a="1"/>
  <c r="G718" i="2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/>
  <c r="G726" i="2" a="1"/>
  <c r="G726" i="2" s="1"/>
  <c r="G727" i="2" a="1"/>
  <c r="G727" i="2" s="1"/>
  <c r="G728" i="2" a="1"/>
  <c r="G728" i="2" s="1"/>
  <c r="G729" i="2" a="1"/>
  <c r="G729" i="2"/>
  <c r="G730" i="2" a="1"/>
  <c r="G730" i="2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7" i="2" a="1"/>
  <c r="G737" i="2"/>
  <c r="G738" i="2" a="1"/>
  <c r="G738" i="2" s="1"/>
  <c r="G739" i="2" a="1"/>
  <c r="G739" i="2" s="1"/>
  <c r="G740" i="2" a="1"/>
  <c r="G740" i="2" s="1"/>
  <c r="G741" i="2" a="1"/>
  <c r="G741" i="2"/>
  <c r="G742" i="2" a="1"/>
  <c r="G742" i="2" s="1"/>
  <c r="G743" i="2" a="1"/>
  <c r="G743" i="2"/>
  <c r="G744" i="2" a="1"/>
  <c r="G744" i="2"/>
  <c r="G745" i="2" a="1"/>
  <c r="G745" i="2" s="1"/>
  <c r="G746" i="2" a="1"/>
  <c r="G746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 s="1"/>
  <c r="G752" i="2" a="1"/>
  <c r="G752" i="2"/>
  <c r="G753" i="2" a="1"/>
  <c r="G753" i="2"/>
  <c r="G754" i="2" a="1"/>
  <c r="G754" i="2" s="1"/>
  <c r="G755" i="2" a="1"/>
  <c r="G755" i="2" s="1"/>
  <c r="G756" i="2" a="1"/>
  <c r="G756" i="2" s="1"/>
  <c r="G757" i="2" a="1"/>
  <c r="G757" i="2" s="1"/>
  <c r="G758" i="2" a="1"/>
  <c r="G758" i="2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/>
  <c r="G771" i="2" a="1"/>
  <c r="G771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/>
  <c r="G778" i="2" a="1"/>
  <c r="G778" i="2"/>
  <c r="G779" i="2" a="1"/>
  <c r="G779" i="2" s="1"/>
  <c r="G780" i="2" a="1"/>
  <c r="G780" i="2"/>
  <c r="G781" i="2" a="1"/>
  <c r="G781" i="2" s="1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 s="1"/>
  <c r="G796" i="2" a="1"/>
  <c r="G796" i="2" s="1"/>
  <c r="G797" i="2" a="1"/>
  <c r="G797" i="2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 s="1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 s="1"/>
  <c r="G815" i="2" a="1"/>
  <c r="G815" i="2"/>
  <c r="G816" i="2" a="1"/>
  <c r="G816" i="2"/>
  <c r="G817" i="2" a="1"/>
  <c r="G817" i="2" s="1"/>
  <c r="G818" i="2" a="1"/>
  <c r="G818" i="2" s="1"/>
  <c r="G819" i="2" a="1"/>
  <c r="G819" i="2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 s="1"/>
  <c r="G832" i="2" a="1"/>
  <c r="G832" i="2" s="1"/>
  <c r="G833" i="2" a="1"/>
  <c r="G833" i="2" s="1"/>
  <c r="G834" i="2" a="1"/>
  <c r="G834" i="2" s="1"/>
  <c r="G835" i="2" a="1"/>
  <c r="G835" i="2" s="1"/>
  <c r="G836" i="2" a="1"/>
  <c r="G836" i="2" s="1"/>
  <c r="G837" i="2" a="1"/>
  <c r="G837" i="2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/>
  <c r="G844" i="2" a="1"/>
  <c r="G844" i="2" s="1"/>
  <c r="G845" i="2" a="1"/>
  <c r="G845" i="2" s="1"/>
  <c r="G846" i="2" a="1"/>
  <c r="G846" i="2" s="1"/>
  <c r="G847" i="2" a="1"/>
  <c r="G847" i="2" s="1"/>
  <c r="G848" i="2" a="1"/>
  <c r="G848" i="2" s="1"/>
  <c r="G849" i="2" a="1"/>
  <c r="G849" i="2"/>
  <c r="G850" i="2" a="1"/>
  <c r="G850" i="2" s="1"/>
  <c r="G851" i="2" a="1"/>
  <c r="G851" i="2"/>
  <c r="G852" i="2" a="1"/>
  <c r="G852" i="2" s="1"/>
  <c r="G853" i="2" a="1"/>
  <c r="G853" i="2" s="1"/>
  <c r="G854" i="2" a="1"/>
  <c r="G854" i="2" s="1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/>
  <c r="G862" i="2" a="1"/>
  <c r="G862" i="2" s="1"/>
  <c r="G863" i="2" a="1"/>
  <c r="G863" i="2" s="1"/>
  <c r="G864" i="2" a="1"/>
  <c r="G864" i="2" s="1"/>
  <c r="G865" i="2" a="1"/>
  <c r="G865" i="2" s="1"/>
  <c r="G866" i="2" a="1"/>
  <c r="G866" i="2" s="1"/>
  <c r="G867" i="2" a="1"/>
  <c r="G867" i="2" s="1"/>
  <c r="G868" i="2" a="1"/>
  <c r="G868" i="2" s="1"/>
  <c r="G869" i="2" a="1"/>
  <c r="G869" i="2"/>
  <c r="G870" i="2" a="1"/>
  <c r="G870" i="2" s="1"/>
  <c r="G871" i="2" a="1"/>
  <c r="G871" i="2" s="1"/>
  <c r="G872" i="2" a="1"/>
  <c r="G872" i="2" s="1"/>
  <c r="G873" i="2" a="1"/>
  <c r="G873" i="2" s="1"/>
  <c r="G874" i="2" a="1"/>
  <c r="G874" i="2"/>
  <c r="G875" i="2" a="1"/>
  <c r="G875" i="2" s="1"/>
  <c r="G876" i="2" a="1"/>
  <c r="G876" i="2" s="1"/>
  <c r="G877" i="2" a="1"/>
  <c r="G877" i="2" s="1"/>
  <c r="G878" i="2" a="1"/>
  <c r="G878" i="2"/>
  <c r="G879" i="2" a="1"/>
  <c r="G879" i="2" s="1"/>
  <c r="G880" i="2" a="1"/>
  <c r="G880" i="2" s="1"/>
  <c r="G881" i="2" a="1"/>
  <c r="G881" i="2" s="1"/>
  <c r="G882" i="2" a="1"/>
  <c r="G882" i="2" s="1"/>
  <c r="G883" i="2" a="1"/>
  <c r="G883" i="2" s="1"/>
  <c r="G884" i="2" a="1"/>
  <c r="G884" i="2" s="1"/>
  <c r="G885" i="2" a="1"/>
  <c r="G885" i="2" s="1"/>
  <c r="G886" i="2" a="1"/>
  <c r="G886" i="2" s="1"/>
  <c r="G887" i="2" a="1"/>
  <c r="G887" i="2" s="1"/>
  <c r="G888" i="2" a="1"/>
  <c r="G888" i="2"/>
  <c r="G889" i="2" a="1"/>
  <c r="G889" i="2" s="1"/>
  <c r="G890" i="2" a="1"/>
  <c r="G890" i="2" s="1"/>
  <c r="G891" i="2" a="1"/>
  <c r="G891" i="2"/>
  <c r="G892" i="2" a="1"/>
  <c r="G892" i="2" s="1"/>
  <c r="G893" i="2" a="1"/>
  <c r="G893" i="2" s="1"/>
  <c r="G894" i="2" a="1"/>
  <c r="G894" i="2" s="1"/>
  <c r="G895" i="2" a="1"/>
  <c r="G895" i="2" s="1"/>
  <c r="G896" i="2" a="1"/>
  <c r="G896" i="2"/>
  <c r="G897" i="2" a="1"/>
  <c r="G897" i="2"/>
  <c r="G898" i="2" a="1"/>
  <c r="G898" i="2" s="1"/>
  <c r="G899" i="2" a="1"/>
  <c r="G899" i="2"/>
  <c r="G900" i="2" a="1"/>
  <c r="G900" i="2" s="1"/>
  <c r="G901" i="2" a="1"/>
  <c r="G901" i="2" s="1"/>
  <c r="G902" i="2" a="1"/>
  <c r="G902" i="2" s="1"/>
  <c r="G903" i="2" a="1"/>
  <c r="G903" i="2" s="1"/>
  <c r="G904" i="2" a="1"/>
  <c r="G904" i="2"/>
  <c r="G905" i="2" a="1"/>
  <c r="G905" i="2" s="1"/>
  <c r="G906" i="2" a="1"/>
  <c r="G906" i="2" s="1"/>
  <c r="G907" i="2" a="1"/>
  <c r="G907" i="2" s="1"/>
  <c r="G908" i="2" a="1"/>
  <c r="G908" i="2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/>
  <c r="G915" i="2" a="1"/>
  <c r="G915" i="2" s="1"/>
  <c r="G916" i="2" a="1"/>
  <c r="G916" i="2" s="1"/>
  <c r="G917" i="2" a="1"/>
  <c r="G917" i="2" s="1"/>
  <c r="G918" i="2" a="1"/>
  <c r="G918" i="2" s="1"/>
  <c r="G919" i="2" a="1"/>
  <c r="G919" i="2" s="1"/>
  <c r="G920" i="2" a="1"/>
  <c r="G920" i="2" s="1"/>
  <c r="G921" i="2" a="1"/>
  <c r="G921" i="2"/>
  <c r="G922" i="2" a="1"/>
  <c r="G922" i="2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/>
  <c r="G931" i="2" a="1"/>
  <c r="G931" i="2" s="1"/>
  <c r="G932" i="2" a="1"/>
  <c r="G932" i="2" s="1"/>
  <c r="G933" i="2" a="1"/>
  <c r="G933" i="2" s="1"/>
  <c r="G934" i="2" a="1"/>
  <c r="G934" i="2" s="1"/>
  <c r="G935" i="2" a="1"/>
  <c r="G935" i="2"/>
  <c r="G936" i="2" a="1"/>
  <c r="G936" i="2" s="1"/>
  <c r="G937" i="2" a="1"/>
  <c r="G937" i="2" s="1"/>
  <c r="G938" i="2" a="1"/>
  <c r="G938" i="2" s="1"/>
  <c r="G939" i="2" a="1"/>
  <c r="G939" i="2" s="1"/>
  <c r="G940" i="2" a="1"/>
  <c r="G940" i="2"/>
  <c r="G941" i="2" a="1"/>
  <c r="G941" i="2" s="1"/>
  <c r="G942" i="2" a="1"/>
  <c r="G942" i="2" s="1"/>
  <c r="G943" i="2" a="1"/>
  <c r="G943" i="2" s="1"/>
  <c r="G944" i="2" a="1"/>
  <c r="G944" i="2"/>
  <c r="G945" i="2" a="1"/>
  <c r="G945" i="2" s="1"/>
  <c r="G946" i="2" a="1"/>
  <c r="G946" i="2" s="1"/>
  <c r="G947" i="2" a="1"/>
  <c r="G947" i="2"/>
  <c r="G948" i="2" a="1"/>
  <c r="G948" i="2"/>
  <c r="G949" i="2" a="1"/>
  <c r="G949" i="2" s="1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/>
  <c r="G958" i="2" a="1"/>
  <c r="G958" i="2"/>
  <c r="G959" i="2" a="1"/>
  <c r="G959" i="2" s="1"/>
  <c r="G960" i="2" a="1"/>
  <c r="G960" i="2" s="1"/>
  <c r="G961" i="2" a="1"/>
  <c r="G961" i="2" s="1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 s="1"/>
  <c r="G984" i="2" a="1"/>
  <c r="G984" i="2" s="1"/>
  <c r="G985" i="2" a="1"/>
  <c r="G985" i="2" s="1"/>
  <c r="G986" i="2" a="1"/>
  <c r="G986" i="2" s="1"/>
  <c r="G987" i="2" a="1"/>
  <c r="G987" i="2"/>
  <c r="G988" i="2" a="1"/>
  <c r="G988" i="2" s="1"/>
  <c r="G989" i="2" a="1"/>
  <c r="G989" i="2" s="1"/>
  <c r="G990" i="2" a="1"/>
  <c r="G990" i="2" s="1"/>
  <c r="G991" i="2" a="1"/>
  <c r="G991" i="2" s="1"/>
  <c r="G992" i="2" a="1"/>
  <c r="G992" i="2" s="1"/>
  <c r="G993" i="2" a="1"/>
  <c r="G993" i="2" s="1"/>
  <c r="G994" i="2" a="1"/>
  <c r="G994" i="2"/>
  <c r="G995" i="2" a="1"/>
  <c r="G995" i="2" s="1"/>
  <c r="G996" i="2" a="1"/>
  <c r="G996" i="2" s="1"/>
  <c r="G997" i="2" a="1"/>
  <c r="G997" i="2" s="1"/>
  <c r="G998" i="2" a="1"/>
  <c r="G998" i="2" s="1"/>
  <c r="G999" i="2" a="1"/>
  <c r="G999" i="2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/>
  <c r="G1005" i="2" a="1"/>
  <c r="G1005" i="2" s="1"/>
  <c r="G1006" i="2" a="1"/>
  <c r="G1006" i="2" s="1"/>
  <c r="G1007" i="2" a="1"/>
  <c r="G1007" i="2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 s="1"/>
  <c r="G1013" i="2" a="1"/>
  <c r="G1013" i="2" s="1"/>
  <c r="G1014" i="2" a="1"/>
  <c r="G1014" i="2" s="1"/>
  <c r="G1015" i="2" a="1"/>
  <c r="G1015" i="2" s="1"/>
  <c r="G1016" i="2" a="1"/>
  <c r="G1016" i="2" s="1"/>
  <c r="G1017" i="2" a="1"/>
  <c r="G1017" i="2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2" i="2" a="1"/>
  <c r="G1042" i="2" s="1"/>
  <c r="G1043" i="2" a="1"/>
  <c r="G1043" i="2"/>
  <c r="G1044" i="2" a="1"/>
  <c r="G1044" i="2"/>
  <c r="G1045" i="2" a="1"/>
  <c r="G1045" i="2" s="1"/>
  <c r="G1046" i="2" a="1"/>
  <c r="G1046" i="2" s="1"/>
  <c r="G1047" i="2" a="1"/>
  <c r="G1047" i="2" s="1"/>
  <c r="G1048" i="2" a="1"/>
  <c r="G1048" i="2" s="1"/>
  <c r="G1049" i="2" a="1"/>
  <c r="G1049" i="2" s="1"/>
  <c r="G1050" i="2" a="1"/>
  <c r="G1050" i="2" s="1"/>
  <c r="G1051" i="2" a="1"/>
  <c r="G1051" i="2"/>
  <c r="G1052" i="2" a="1"/>
  <c r="G1052" i="2" s="1"/>
  <c r="G1053" i="2" a="1"/>
  <c r="G1053" i="2" s="1"/>
  <c r="G1054" i="2" a="1"/>
  <c r="G1054" i="2" s="1"/>
  <c r="G1055" i="2" a="1"/>
  <c r="G1055" i="2" s="1"/>
  <c r="G1056" i="2" a="1"/>
  <c r="G1056" i="2" s="1"/>
  <c r="G1057" i="2" a="1"/>
  <c r="G1057" i="2"/>
  <c r="G1058" i="2" a="1"/>
  <c r="G1058" i="2"/>
  <c r="G1059" i="2" a="1"/>
  <c r="G1059" i="2" s="1"/>
  <c r="G1060" i="2" a="1"/>
  <c r="G1060" i="2" s="1"/>
  <c r="G1061" i="2" a="1"/>
  <c r="G1061" i="2"/>
  <c r="G1062" i="2" a="1"/>
  <c r="G1062" i="2" s="1"/>
  <c r="G1063" i="2" a="1"/>
  <c r="G1063" i="2" s="1"/>
  <c r="G1064" i="2" a="1"/>
  <c r="G1064" i="2"/>
  <c r="G1065" i="2" a="1"/>
  <c r="G1065" i="2" s="1"/>
  <c r="G1066" i="2" a="1"/>
  <c r="G1066" i="2" s="1"/>
  <c r="G1067" i="2" a="1"/>
  <c r="G1067" i="2" s="1"/>
  <c r="G1068" i="2" a="1"/>
  <c r="G1068" i="2" s="1"/>
  <c r="G1069" i="2" a="1"/>
  <c r="G1069" i="2" s="1"/>
  <c r="G1070" i="2" a="1"/>
  <c r="G1070" i="2" s="1"/>
  <c r="G1071" i="2" a="1"/>
  <c r="G1071" i="2"/>
  <c r="G1072" i="2" a="1"/>
  <c r="G1072" i="2" s="1"/>
  <c r="G1073" i="2" a="1"/>
  <c r="G1073" i="2"/>
  <c r="G1074" i="2" a="1"/>
  <c r="G1074" i="2" s="1"/>
  <c r="G1075" i="2" a="1"/>
  <c r="G1075" i="2"/>
  <c r="G1076" i="2" a="1"/>
  <c r="G1076" i="2" s="1"/>
  <c r="G1077" i="2" a="1"/>
  <c r="G1077" i="2" s="1"/>
  <c r="G1078" i="2" a="1"/>
  <c r="G1078" i="2" s="1"/>
  <c r="G1079" i="2" a="1"/>
  <c r="G1079" i="2"/>
  <c r="G1080" i="2" a="1"/>
  <c r="G1080" i="2" s="1"/>
  <c r="G1081" i="2" a="1"/>
  <c r="G1081" i="2" s="1"/>
  <c r="G1082" i="2" a="1"/>
  <c r="G1082" i="2" s="1"/>
  <c r="G1083" i="2" a="1"/>
  <c r="G1083" i="2" s="1"/>
  <c r="G1084" i="2" a="1"/>
  <c r="G1084" i="2" s="1"/>
  <c r="G1085" i="2" a="1"/>
  <c r="G1085" i="2"/>
  <c r="G1086" i="2" a="1"/>
  <c r="G1086" i="2"/>
  <c r="G1087" i="2" a="1"/>
  <c r="G1087" i="2"/>
  <c r="G1088" i="2" a="1"/>
  <c r="G1088" i="2" s="1"/>
  <c r="G1089" i="2" a="1"/>
  <c r="G1089" i="2" s="1"/>
  <c r="G1090" i="2" a="1"/>
  <c r="G1090" i="2" s="1"/>
  <c r="G1091" i="2" a="1"/>
  <c r="G1091" i="2" s="1"/>
  <c r="G1092" i="2" a="1"/>
  <c r="G1092" i="2" s="1"/>
  <c r="G1093" i="2" a="1"/>
  <c r="G1093" i="2" s="1"/>
  <c r="G1094" i="2" a="1"/>
  <c r="G1094" i="2" s="1"/>
  <c r="G1095" i="2" a="1"/>
  <c r="G1095" i="2" s="1"/>
  <c r="G1096" i="2" a="1"/>
  <c r="G1096" i="2" s="1"/>
  <c r="G1097" i="2" a="1"/>
  <c r="G1097" i="2" s="1"/>
  <c r="G1098" i="2" a="1"/>
  <c r="G1098" i="2" s="1"/>
  <c r="G1099" i="2" a="1"/>
  <c r="G1099" i="2" s="1"/>
  <c r="G1100" i="2" a="1"/>
  <c r="G1100" i="2" s="1"/>
  <c r="G1101" i="2" a="1"/>
  <c r="G1101" i="2" s="1"/>
  <c r="G1102" i="2" a="1"/>
  <c r="G1102" i="2" s="1"/>
  <c r="G1103" i="2" a="1"/>
  <c r="G1103" i="2" s="1"/>
  <c r="G1104" i="2" a="1"/>
  <c r="G1104" i="2" s="1"/>
  <c r="G1105" i="2" a="1"/>
  <c r="G1105" i="2"/>
  <c r="G1106" i="2" a="1"/>
  <c r="G1106" i="2" s="1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 s="1"/>
  <c r="G1112" i="2" a="1"/>
  <c r="G1112" i="2"/>
  <c r="G1113" i="2" a="1"/>
  <c r="G1113" i="2" s="1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 s="1"/>
  <c r="G1119" i="2" a="1"/>
  <c r="G1119" i="2" s="1"/>
  <c r="G1120" i="2" a="1"/>
  <c r="G1120" i="2" s="1"/>
  <c r="G1121" i="2" a="1"/>
  <c r="G1121" i="2" s="1"/>
  <c r="G1122" i="2" a="1"/>
  <c r="G1122" i="2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/>
  <c r="G1130" i="2" a="1"/>
  <c r="G1130" i="2"/>
  <c r="G1131" i="2" a="1"/>
  <c r="G1131" i="2" s="1"/>
  <c r="G1132" i="2" a="1"/>
  <c r="G1132" i="2" s="1"/>
  <c r="G1133" i="2" a="1"/>
  <c r="G1133" i="2" s="1"/>
  <c r="G1134" i="2" a="1"/>
  <c r="G1134" i="2"/>
  <c r="G1135" i="2" a="1"/>
  <c r="G1135" i="2"/>
  <c r="G1136" i="2" a="1"/>
  <c r="G1136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2" i="2" a="1"/>
  <c r="G1142" i="2" s="1"/>
  <c r="G1143" i="2" a="1"/>
  <c r="G1143" i="2" s="1"/>
  <c r="G1144" i="2" a="1"/>
  <c r="G1144" i="2" s="1"/>
  <c r="G1145" i="2" a="1"/>
  <c r="G1145" i="2" s="1"/>
  <c r="G1146" i="2" a="1"/>
  <c r="G1146" i="2" s="1"/>
  <c r="G1147" i="2" a="1"/>
  <c r="G1147" i="2" s="1"/>
  <c r="G1148" i="2" a="1"/>
  <c r="G1148" i="2"/>
  <c r="G1149" i="2" a="1"/>
  <c r="G1149" i="2" s="1"/>
  <c r="G1150" i="2" a="1"/>
  <c r="G1150" i="2" s="1"/>
  <c r="G1151" i="2" a="1"/>
  <c r="G1151" i="2" s="1"/>
  <c r="G1152" i="2" a="1"/>
  <c r="G1152" i="2" s="1"/>
  <c r="G1153" i="2" a="1"/>
  <c r="G1153" i="2"/>
  <c r="G1154" i="2" a="1"/>
  <c r="G1154" i="2" s="1"/>
  <c r="G1155" i="2" a="1"/>
  <c r="G1155" i="2" s="1"/>
  <c r="G1156" i="2" a="1"/>
  <c r="G1156" i="2" s="1"/>
  <c r="G1157" i="2" a="1"/>
  <c r="G1157" i="2" s="1"/>
  <c r="G1158" i="2" a="1"/>
  <c r="G1158" i="2"/>
  <c r="G1159" i="2" a="1"/>
  <c r="G1159" i="2" s="1"/>
  <c r="G1160" i="2" a="1"/>
  <c r="G1160" i="2" s="1"/>
  <c r="G1161" i="2" a="1"/>
  <c r="G1161" i="2" s="1"/>
  <c r="G1162" i="2" a="1"/>
  <c r="G1162" i="2" s="1"/>
  <c r="G1163" i="2" a="1"/>
  <c r="G1163" i="2" s="1"/>
  <c r="G1164" i="2" a="1"/>
  <c r="G1164" i="2" s="1"/>
  <c r="G1165" i="2" a="1"/>
  <c r="G1165" i="2" s="1"/>
  <c r="G1166" i="2" a="1"/>
  <c r="G1166" i="2"/>
  <c r="G1167" i="2" a="1"/>
  <c r="G1167" i="2" s="1"/>
  <c r="G1168" i="2" a="1"/>
  <c r="G1168" i="2" s="1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 s="1"/>
  <c r="G1176" i="2" a="1"/>
  <c r="G1176" i="2" s="1"/>
  <c r="G1177" i="2" a="1"/>
  <c r="G1177" i="2" s="1"/>
  <c r="G1178" i="2" a="1"/>
  <c r="G1178" i="2" s="1"/>
  <c r="G1179" i="2" a="1"/>
  <c r="G1179" i="2"/>
  <c r="G1180" i="2" a="1"/>
  <c r="G1180" i="2" s="1"/>
  <c r="G1181" i="2" a="1"/>
  <c r="G1181" i="2" s="1"/>
  <c r="G1182" i="2" a="1"/>
  <c r="G1182" i="2" s="1"/>
  <c r="G1183" i="2" a="1"/>
  <c r="G1183" i="2"/>
  <c r="G1184" i="2" a="1"/>
  <c r="G1184" i="2"/>
  <c r="G1185" i="2" a="1"/>
  <c r="G1185" i="2" s="1"/>
  <c r="G1186" i="2" a="1"/>
  <c r="G1186" i="2" s="1"/>
  <c r="G1187" i="2" a="1"/>
  <c r="G1187" i="2" s="1"/>
  <c r="G1188" i="2" a="1"/>
  <c r="G1188" i="2"/>
  <c r="G1189" i="2" a="1"/>
  <c r="G1189" i="2"/>
  <c r="G1190" i="2" a="1"/>
  <c r="G1190" i="2" s="1"/>
  <c r="G1191" i="2" a="1"/>
  <c r="G1191" i="2"/>
  <c r="G1192" i="2" a="1"/>
  <c r="G1192" i="2" s="1"/>
  <c r="G1193" i="2" a="1"/>
  <c r="G1193" i="2" s="1"/>
  <c r="G1194" i="2" a="1"/>
  <c r="G1194" i="2" s="1"/>
  <c r="G1195" i="2" a="1"/>
  <c r="G1195" i="2" s="1"/>
  <c r="G1196" i="2" a="1"/>
  <c r="G1196" i="2" s="1"/>
  <c r="G1197" i="2" a="1"/>
  <c r="G1197" i="2" s="1"/>
  <c r="G1198" i="2" a="1"/>
  <c r="G1198" i="2" s="1"/>
  <c r="G1199" i="2" a="1"/>
  <c r="G1199" i="2" s="1"/>
  <c r="G1200" i="2" a="1"/>
  <c r="G1200" i="2" s="1"/>
  <c r="G1201" i="2" a="1"/>
  <c r="G1201" i="2"/>
  <c r="G1202" i="2" a="1"/>
  <c r="G1202" i="2" s="1"/>
  <c r="G1203" i="2" a="1"/>
  <c r="G1203" i="2" s="1"/>
  <c r="G1204" i="2" a="1"/>
  <c r="G1204" i="2" s="1"/>
  <c r="G1205" i="2" a="1"/>
  <c r="G1205" i="2" s="1"/>
  <c r="G1206" i="2" a="1"/>
  <c r="G1206" i="2" s="1"/>
  <c r="G1207" i="2" a="1"/>
  <c r="G1207" i="2" s="1"/>
  <c r="G1208" i="2" a="1"/>
  <c r="G1208" i="2" s="1"/>
  <c r="G1209" i="2" a="1"/>
  <c r="G1209" i="2" s="1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 s="1"/>
  <c r="G1217" i="2" a="1"/>
  <c r="G1217" i="2" s="1"/>
  <c r="G1218" i="2" a="1"/>
  <c r="G1218" i="2" s="1"/>
  <c r="G1219" i="2" a="1"/>
  <c r="G1219" i="2"/>
  <c r="G1220" i="2" a="1"/>
  <c r="G1220" i="2" s="1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 s="1"/>
  <c r="G1226" i="2" a="1"/>
  <c r="G1226" i="2" s="1"/>
  <c r="G1227" i="2" a="1"/>
  <c r="G1227" i="2" s="1"/>
  <c r="G1228" i="2" a="1"/>
  <c r="G1228" i="2"/>
  <c r="G1229" i="2" a="1"/>
  <c r="G1229" i="2" s="1"/>
  <c r="G1230" i="2" a="1"/>
  <c r="G1230" i="2" s="1"/>
  <c r="G1231" i="2" a="1"/>
  <c r="G1231" i="2" s="1"/>
  <c r="G1232" i="2" a="1"/>
  <c r="G1232" i="2"/>
  <c r="G1233" i="2" a="1"/>
  <c r="G1233" i="2" s="1"/>
  <c r="G1234" i="2" a="1"/>
  <c r="G1234" i="2" s="1"/>
  <c r="G1235" i="2" a="1"/>
  <c r="G1235" i="2" s="1"/>
  <c r="G1236" i="2" a="1"/>
  <c r="G1236" i="2"/>
  <c r="G1237" i="2" a="1"/>
  <c r="G1237" i="2" s="1"/>
  <c r="G1238" i="2" a="1"/>
  <c r="G1238" i="2" s="1"/>
  <c r="G1239" i="2" a="1"/>
  <c r="G1239" i="2" s="1"/>
  <c r="G1240" i="2" a="1"/>
  <c r="G1240" i="2" s="1"/>
  <c r="G1241" i="2" a="1"/>
  <c r="G1241" i="2" s="1"/>
  <c r="G1242" i="2" a="1"/>
  <c r="G1242" i="2" s="1"/>
  <c r="G1243" i="2" a="1"/>
  <c r="G1243" i="2" s="1"/>
  <c r="G1244" i="2" a="1"/>
  <c r="G1244" i="2" s="1"/>
  <c r="G1245" i="2" a="1"/>
  <c r="G1245" i="2"/>
  <c r="G1246" i="2" a="1"/>
  <c r="G1246" i="2" s="1"/>
  <c r="G1247" i="2" a="1"/>
  <c r="G1247" i="2" s="1"/>
  <c r="G1248" i="2" a="1"/>
  <c r="G1248" i="2" s="1"/>
  <c r="G1249" i="2" a="1"/>
  <c r="G1249" i="2" s="1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 s="1"/>
  <c r="G1257" i="2" a="1"/>
  <c r="G1257" i="2" s="1"/>
  <c r="G1258" i="2" a="1"/>
  <c r="G1258" i="2" s="1"/>
  <c r="G1259" i="2" a="1"/>
  <c r="G1259" i="2" s="1"/>
  <c r="G1260" i="2" a="1"/>
  <c r="G1260" i="2" s="1"/>
  <c r="G1261" i="2" a="1"/>
  <c r="G1261" i="2" s="1"/>
  <c r="G1262" i="2" a="1"/>
  <c r="G1262" i="2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 s="1"/>
  <c r="G1268" i="2" a="1"/>
  <c r="G1268" i="2"/>
  <c r="G1269" i="2" a="1"/>
  <c r="G1269" i="2" s="1"/>
  <c r="G1270" i="2" a="1"/>
  <c r="G1270" i="2" s="1"/>
  <c r="G1271" i="2" a="1"/>
  <c r="G1271" i="2" s="1"/>
  <c r="G1272" i="2" a="1"/>
  <c r="G1272" i="2" s="1"/>
  <c r="G1273" i="2" a="1"/>
  <c r="G1273" i="2"/>
  <c r="G1274" i="2" a="1"/>
  <c r="G1274" i="2" s="1"/>
  <c r="G1275" i="2" a="1"/>
  <c r="G1275" i="2" s="1"/>
  <c r="G1276" i="2" a="1"/>
  <c r="G1276" i="2" s="1"/>
  <c r="G1277" i="2" a="1"/>
  <c r="G1277" i="2" s="1"/>
  <c r="G1278" i="2" a="1"/>
  <c r="G1278" i="2" s="1"/>
  <c r="G1279" i="2" a="1"/>
  <c r="G1279" i="2" s="1"/>
  <c r="G1280" i="2" a="1"/>
  <c r="G1280" i="2" s="1"/>
  <c r="G1281" i="2" a="1"/>
  <c r="G1281" i="2"/>
  <c r="G1282" i="2" a="1"/>
  <c r="G1282" i="2" s="1"/>
  <c r="G1283" i="2" a="1"/>
  <c r="G1283" i="2" s="1"/>
  <c r="G1284" i="2" a="1"/>
  <c r="G1284" i="2" s="1"/>
  <c r="G1285" i="2" a="1"/>
  <c r="G1285" i="2" s="1"/>
  <c r="G1286" i="2" a="1"/>
  <c r="G1286" i="2"/>
  <c r="G1287" i="2" a="1"/>
  <c r="G1287" i="2" s="1"/>
  <c r="G1288" i="2" a="1"/>
  <c r="G1288" i="2" s="1"/>
  <c r="G1289" i="2" a="1"/>
  <c r="G1289" i="2" s="1"/>
  <c r="G1290" i="2" a="1"/>
  <c r="G1290" i="2"/>
  <c r="G1291" i="2" a="1"/>
  <c r="G1291" i="2"/>
  <c r="G1292" i="2" a="1"/>
  <c r="G1292" i="2" s="1"/>
  <c r="G1293" i="2" a="1"/>
  <c r="G1293" i="2" s="1"/>
  <c r="G1294" i="2" a="1"/>
  <c r="G1294" i="2" s="1"/>
  <c r="G1295" i="2" a="1"/>
  <c r="G1295" i="2" s="1"/>
  <c r="G1296" i="2" a="1"/>
  <c r="G1296" i="2" s="1"/>
  <c r="G1297" i="2" a="1"/>
  <c r="G1297" i="2" s="1"/>
  <c r="G1298" i="2" a="1"/>
  <c r="G1298" i="2" s="1"/>
  <c r="G1299" i="2" a="1"/>
  <c r="G1299" i="2"/>
  <c r="G1300" i="2" a="1"/>
  <c r="G1300" i="2"/>
  <c r="G1301" i="2" a="1"/>
  <c r="G1301" i="2" s="1"/>
  <c r="G1302" i="2" a="1"/>
  <c r="G1302" i="2" s="1"/>
  <c r="G1303" i="2" a="1"/>
  <c r="G1303" i="2"/>
  <c r="G1304" i="2" a="1"/>
  <c r="G1304" i="2" s="1"/>
  <c r="G1305" i="2" a="1"/>
  <c r="G1305" i="2" s="1"/>
  <c r="G1306" i="2" a="1"/>
  <c r="G1306" i="2"/>
  <c r="G1307" i="2" a="1"/>
  <c r="G1307" i="2" s="1"/>
  <c r="G1308" i="2" a="1"/>
  <c r="G1308" i="2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6" i="2" a="1"/>
  <c r="G1316" i="2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 s="1"/>
  <c r="G1322" i="2" a="1"/>
  <c r="G1322" i="2" s="1"/>
  <c r="G1323" i="2" a="1"/>
  <c r="G1323" i="2" s="1"/>
  <c r="G1324" i="2" a="1"/>
  <c r="G1324" i="2"/>
  <c r="G1325" i="2" a="1"/>
  <c r="G1325" i="2" s="1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/>
  <c r="G1333" i="2" a="1"/>
  <c r="G1333" i="2" s="1"/>
  <c r="G1334" i="2" a="1"/>
  <c r="G1334" i="2" s="1"/>
  <c r="G1335" i="2" a="1"/>
  <c r="G1335" i="2" s="1"/>
  <c r="G1336" i="2" a="1"/>
  <c r="G1336" i="2" s="1"/>
  <c r="G1337" i="2" a="1"/>
  <c r="G1337" i="2" s="1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 s="1"/>
  <c r="G1348" i="2" a="1"/>
  <c r="G1348" i="2" s="1"/>
  <c r="G1349" i="2" a="1"/>
  <c r="G1349" i="2" s="1"/>
  <c r="G1350" i="2" a="1"/>
  <c r="G1350" i="2"/>
  <c r="G1351" i="2" a="1"/>
  <c r="G1351" i="2" s="1"/>
  <c r="G1352" i="2" a="1"/>
  <c r="G1352" i="2"/>
  <c r="G1353" i="2" a="1"/>
  <c r="G1353" i="2" s="1"/>
  <c r="G1354" i="2" a="1"/>
  <c r="G1354" i="2" s="1"/>
  <c r="G1355" i="2" a="1"/>
  <c r="G1355" i="2" s="1"/>
  <c r="G1356" i="2" a="1"/>
  <c r="G1356" i="2" s="1"/>
  <c r="G1357" i="2" a="1"/>
  <c r="G1357" i="2" s="1"/>
  <c r="G1358" i="2" a="1"/>
  <c r="G1358" i="2"/>
  <c r="G1359" i="2" a="1"/>
  <c r="G1359" i="2" s="1"/>
  <c r="G1360" i="2" a="1"/>
  <c r="G1360" i="2"/>
  <c r="G1361" i="2" a="1"/>
  <c r="G1361" i="2" s="1"/>
  <c r="G1362" i="2" a="1"/>
  <c r="G1362" i="2" s="1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 s="1"/>
  <c r="G1368" i="2" a="1"/>
  <c r="G1368" i="2" s="1"/>
  <c r="G1369" i="2" a="1"/>
  <c r="G1369" i="2" s="1"/>
  <c r="G1370" i="2" a="1"/>
  <c r="G1370" i="2" s="1"/>
  <c r="G1371" i="2" a="1"/>
  <c r="G1371" i="2" s="1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/>
  <c r="G1377" i="2" a="1"/>
  <c r="G1377" i="2" s="1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 s="1"/>
  <c r="G1384" i="2" a="1"/>
  <c r="G1384" i="2"/>
  <c r="G1385" i="2" a="1"/>
  <c r="G1385" i="2" s="1"/>
  <c r="G1386" i="2" a="1"/>
  <c r="G1386" i="2"/>
  <c r="G1387" i="2" a="1"/>
  <c r="G1387" i="2" s="1"/>
  <c r="G1388" i="2" a="1"/>
  <c r="G1388" i="2" s="1"/>
  <c r="G1389" i="2" a="1"/>
  <c r="G1389" i="2" s="1"/>
  <c r="G1390" i="2" a="1"/>
  <c r="G1390" i="2" s="1"/>
  <c r="G1391" i="2" a="1"/>
  <c r="G1391" i="2" s="1"/>
  <c r="G1392" i="2" a="1"/>
  <c r="G1392" i="2"/>
  <c r="G1393" i="2" a="1"/>
  <c r="G1393" i="2"/>
  <c r="G1394" i="2" a="1"/>
  <c r="G1394" i="2" s="1"/>
  <c r="G1395" i="2" a="1"/>
  <c r="G1395" i="2" s="1"/>
  <c r="G1396" i="2" a="1"/>
  <c r="G1396" i="2" s="1"/>
  <c r="G1397" i="2" a="1"/>
  <c r="G1397" i="2" s="1"/>
  <c r="G1398" i="2" a="1"/>
  <c r="G1398" i="2" s="1"/>
  <c r="G1399" i="2" a="1"/>
  <c r="G1399" i="2" s="1"/>
  <c r="G1400" i="2" a="1"/>
  <c r="G1400" i="2" s="1"/>
  <c r="G1401" i="2" a="1"/>
  <c r="G1401" i="2"/>
  <c r="G1402" i="2" a="1"/>
  <c r="G1402" i="2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 s="1"/>
  <c r="G1408" i="2" a="1"/>
  <c r="G1408" i="2" s="1"/>
  <c r="G1409" i="2" a="1"/>
  <c r="G1409" i="2" s="1"/>
  <c r="G1410" i="2" a="1"/>
  <c r="G1410" i="2" s="1"/>
  <c r="G1411" i="2" a="1"/>
  <c r="G1411" i="2"/>
  <c r="G1412" i="2" a="1"/>
  <c r="G1412" i="2" s="1"/>
  <c r="G1413" i="2" a="1"/>
  <c r="G1413" i="2" s="1"/>
  <c r="G1414" i="2" a="1"/>
  <c r="G1414" i="2" s="1"/>
  <c r="G1415" i="2" a="1"/>
  <c r="G1415" i="2" s="1"/>
  <c r="G1416" i="2" a="1"/>
  <c r="G1416" i="2" s="1"/>
  <c r="G1417" i="2" a="1"/>
  <c r="G1417" i="2" s="1"/>
  <c r="G1418" i="2" a="1"/>
  <c r="G1418" i="2"/>
  <c r="G1419" i="2" a="1"/>
  <c r="G1419" i="2" s="1"/>
  <c r="G1420" i="2" a="1"/>
  <c r="G1420" i="2" s="1"/>
  <c r="G1421" i="2" a="1"/>
  <c r="G1421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28" i="2" a="1"/>
  <c r="G1428" i="2" s="1"/>
  <c r="G1429" i="2" a="1"/>
  <c r="G1429" i="2" s="1"/>
  <c r="G1430" i="2" a="1"/>
  <c r="G1430" i="2" s="1"/>
  <c r="G1431" i="2" a="1"/>
  <c r="G1431" i="2" s="1"/>
  <c r="G1432" i="2" a="1"/>
  <c r="G1432" i="2"/>
  <c r="G1433" i="2" a="1"/>
  <c r="G1433" i="2" s="1"/>
  <c r="G1434" i="2" a="1"/>
  <c r="G1434" i="2" s="1"/>
  <c r="G1435" i="2" a="1"/>
  <c r="G1435" i="2"/>
  <c r="G1436" i="2" a="1"/>
  <c r="G1436" i="2" s="1"/>
  <c r="G1437" i="2" a="1"/>
  <c r="G1437" i="2"/>
  <c r="G1438" i="2" a="1"/>
  <c r="G1438" i="2" s="1"/>
  <c r="G1439" i="2" a="1"/>
  <c r="G1439" i="2" s="1"/>
  <c r="G1440" i="2" a="1"/>
  <c r="G1440" i="2" s="1"/>
  <c r="G1441" i="2" a="1"/>
  <c r="G1441" i="2" s="1"/>
  <c r="G1442" i="2" a="1"/>
  <c r="G1442" i="2" s="1"/>
  <c r="G1443" i="2" a="1"/>
  <c r="G1443" i="2" s="1"/>
  <c r="G1444" i="2" a="1"/>
  <c r="G1444" i="2"/>
  <c r="G1445" i="2" a="1"/>
  <c r="G1445" i="2" s="1"/>
  <c r="G1446" i="2" a="1"/>
  <c r="G1446" i="2" s="1"/>
  <c r="G1447" i="2" a="1"/>
  <c r="G1447" i="2" s="1"/>
  <c r="G1448" i="2" a="1"/>
  <c r="G1448" i="2"/>
  <c r="G1449" i="2" a="1"/>
  <c r="G1449" i="2" s="1"/>
  <c r="G1450" i="2" a="1"/>
  <c r="G1450" i="2" s="1"/>
  <c r="G1451" i="2" a="1"/>
  <c r="G1451" i="2" s="1"/>
  <c r="G1452" i="2" a="1"/>
  <c r="G1452" i="2"/>
  <c r="G1453" i="2" a="1"/>
  <c r="G1453" i="2" s="1"/>
  <c r="G1454" i="2" a="1"/>
  <c r="G1454" i="2" s="1"/>
  <c r="G1455" i="2" a="1"/>
  <c r="G1455" i="2" s="1"/>
  <c r="G1456" i="2" a="1"/>
  <c r="G1456" i="2" s="1"/>
  <c r="G1457" i="2" a="1"/>
  <c r="G1457" i="2" s="1"/>
  <c r="G1458" i="2" a="1"/>
  <c r="G1458" i="2" s="1"/>
  <c r="G1459" i="2" a="1"/>
  <c r="G1459" i="2" s="1"/>
  <c r="G1460" i="2" a="1"/>
  <c r="G1460" i="2" s="1"/>
  <c r="G1461" i="2" a="1"/>
  <c r="G1461" i="2"/>
  <c r="G1462" i="2" a="1"/>
  <c r="G1462" i="2" s="1"/>
  <c r="G1463" i="2" a="1"/>
  <c r="G1463" i="2" s="1"/>
  <c r="G1464" i="2" a="1"/>
  <c r="G1464" i="2" s="1"/>
  <c r="G1465" i="2" a="1"/>
  <c r="G1465" i="2" s="1"/>
  <c r="G1466" i="2" a="1"/>
  <c r="G1466" i="2" s="1"/>
  <c r="G1467" i="2" a="1"/>
  <c r="G1467" i="2" s="1"/>
  <c r="G1468" i="2" a="1"/>
  <c r="G1468" i="2" s="1"/>
  <c r="G1469" i="2" a="1"/>
  <c r="G1469" i="2" s="1"/>
  <c r="G1470" i="2" a="1"/>
  <c r="G1470" i="2" s="1"/>
  <c r="G1471" i="2" a="1"/>
  <c r="G1471" i="2" s="1"/>
  <c r="G1472" i="2" a="1"/>
  <c r="G1472" i="2" s="1"/>
  <c r="G1473" i="2" a="1"/>
  <c r="G1473" i="2" s="1"/>
  <c r="G1474" i="2" a="1"/>
  <c r="G1474" i="2" s="1"/>
  <c r="G1475" i="2" a="1"/>
  <c r="G1475" i="2" s="1"/>
  <c r="G1476" i="2" a="1"/>
  <c r="G1476" i="2" s="1"/>
  <c r="G1477" i="2" a="1"/>
  <c r="G1477" i="2" s="1"/>
  <c r="G1478" i="2" a="1"/>
  <c r="G1478" i="2"/>
  <c r="G1479" i="2" a="1"/>
  <c r="G1479" i="2" s="1"/>
  <c r="G1480" i="2" a="1"/>
  <c r="G1480" i="2" s="1"/>
  <c r="G1481" i="2" a="1"/>
  <c r="G1481" i="2" s="1"/>
  <c r="G1482" i="2" a="1"/>
  <c r="G1482" i="2" s="1"/>
  <c r="G1483" i="2" a="1"/>
  <c r="G1483" i="2" s="1"/>
  <c r="G1484" i="2" a="1"/>
  <c r="G1484" i="2"/>
  <c r="G1485" i="2" a="1"/>
  <c r="G1485" i="2" s="1"/>
  <c r="G1486" i="2" a="1"/>
  <c r="G1486" i="2" s="1"/>
  <c r="G1487" i="2" a="1"/>
  <c r="G1487" i="2" s="1"/>
  <c r="G1488" i="2" a="1"/>
  <c r="G1488" i="2" s="1"/>
  <c r="G1489" i="2" a="1"/>
  <c r="G1489" i="2"/>
  <c r="G1490" i="2" a="1"/>
  <c r="G1490" i="2" s="1"/>
  <c r="G1491" i="2" a="1"/>
  <c r="G1491" i="2" s="1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 s="1"/>
  <c r="G1497" i="2" a="1"/>
  <c r="G1497" i="2"/>
  <c r="G1498" i="2" a="1"/>
  <c r="G1498" i="2" s="1"/>
  <c r="G1499" i="2" a="1"/>
  <c r="G1499" i="2" s="1"/>
  <c r="G1500" i="2" a="1"/>
  <c r="G1500" i="2" s="1"/>
  <c r="G1501" i="2" a="1"/>
  <c r="G1501" i="2" s="1"/>
  <c r="G1502" i="2" a="1"/>
  <c r="G1502" i="2"/>
  <c r="G1503" i="2" a="1"/>
  <c r="G1503" i="2" s="1"/>
  <c r="G1504" i="2" a="1"/>
  <c r="G1504" i="2" s="1"/>
  <c r="G1505" i="2" a="1"/>
  <c r="G1505" i="2" s="1"/>
  <c r="G1506" i="2" a="1"/>
  <c r="G1506" i="2"/>
  <c r="G1507" i="2" a="1"/>
  <c r="G1507" i="2"/>
  <c r="G1508" i="2" a="1"/>
  <c r="G1508" i="2" s="1"/>
  <c r="G1509" i="2" a="1"/>
  <c r="G1509" i="2" s="1"/>
  <c r="G1510" i="2" a="1"/>
  <c r="G1510" i="2" s="1"/>
  <c r="G1511" i="2" a="1"/>
  <c r="G1511" i="2" s="1"/>
  <c r="G1512" i="2" a="1"/>
  <c r="G1512" i="2" s="1"/>
  <c r="G1513" i="2" a="1"/>
  <c r="G1513" i="2" s="1"/>
  <c r="G1514" i="2" a="1"/>
  <c r="G1514" i="2" s="1"/>
  <c r="G1515" i="2" a="1"/>
  <c r="G1515" i="2"/>
  <c r="G1516" i="2" a="1"/>
  <c r="G1516" i="2"/>
  <c r="G1517" i="2" a="1"/>
  <c r="G1517" i="2" s="1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/>
  <c r="G1525" i="2" a="1"/>
  <c r="G1525" i="2" s="1"/>
  <c r="G1526" i="2" a="1"/>
  <c r="G1526" i="2" s="1"/>
  <c r="G1527" i="2" a="1"/>
  <c r="G1527" i="2" s="1"/>
  <c r="G1528" i="2" a="1"/>
  <c r="G1528" i="2"/>
  <c r="G1529" i="2" a="1"/>
  <c r="G1529" i="2" s="1"/>
  <c r="G1530" i="2" a="1"/>
  <c r="G1530" i="2" s="1"/>
  <c r="G1531" i="2" a="1"/>
  <c r="G1531" i="2" s="1"/>
  <c r="G1532" i="2" a="1"/>
  <c r="G1532" i="2"/>
  <c r="G1533" i="2" a="1"/>
  <c r="G1533" i="2"/>
  <c r="G1534" i="2" a="1"/>
  <c r="G1534" i="2" s="1"/>
  <c r="G1535" i="2" a="1"/>
  <c r="G1535" i="2" s="1"/>
  <c r="G1536" i="2" a="1"/>
  <c r="G1536" i="2"/>
  <c r="G1537" i="2" a="1"/>
  <c r="G1537" i="2" s="1"/>
  <c r="G1538" i="2" a="1"/>
  <c r="G1538" i="2" s="1"/>
  <c r="G1539" i="2" a="1"/>
  <c r="G1539" i="2" s="1"/>
  <c r="G1540" i="2" a="1"/>
  <c r="G1540" i="2"/>
  <c r="G1541" i="2" a="1"/>
  <c r="G1541" i="2" s="1"/>
  <c r="G1542" i="2" a="1"/>
  <c r="G1542" i="2" s="1"/>
  <c r="G1543" i="2" a="1"/>
  <c r="G1543" i="2" s="1"/>
  <c r="G1544" i="2" a="1"/>
  <c r="G1544" i="2" s="1"/>
  <c r="G1545" i="2" a="1"/>
  <c r="G1545" i="2" s="1"/>
  <c r="G1546" i="2" a="1"/>
  <c r="G1546" i="2" s="1"/>
  <c r="G1547" i="2" a="1"/>
  <c r="G1547" i="2" s="1"/>
  <c r="G1548" i="2" a="1"/>
  <c r="G1548" i="2"/>
  <c r="G1549" i="2" a="1"/>
  <c r="G1549" i="2" s="1"/>
  <c r="G1550" i="2" a="1"/>
  <c r="G1550" i="2" s="1"/>
  <c r="G1551" i="2" a="1"/>
  <c r="G1551" i="2" s="1"/>
  <c r="G1552" i="2" a="1"/>
  <c r="G1552" i="2" s="1"/>
  <c r="G1553" i="2" a="1"/>
  <c r="G1553" i="2" s="1"/>
  <c r="G1554" i="2" a="1"/>
  <c r="G1554" i="2" s="1"/>
  <c r="G1555" i="2" a="1"/>
  <c r="G1555" i="2" s="1"/>
  <c r="G1556" i="2" a="1"/>
  <c r="G1556" i="2" s="1"/>
  <c r="G1557" i="2" a="1"/>
  <c r="G1557" i="2" s="1"/>
  <c r="G1558" i="2" a="1"/>
  <c r="G1558" i="2"/>
  <c r="G1559" i="2" a="1"/>
  <c r="G1559" i="2" s="1"/>
  <c r="G1560" i="2" a="1"/>
  <c r="G1560" i="2" s="1"/>
  <c r="G1561" i="2" a="1"/>
  <c r="G1561" i="2" s="1"/>
  <c r="G1562" i="2" a="1"/>
  <c r="G1562" i="2" s="1"/>
  <c r="G1563" i="2" a="1"/>
  <c r="G1563" i="2" s="1"/>
  <c r="G1564" i="2" a="1"/>
  <c r="G1564" i="2" s="1"/>
  <c r="G1565" i="2" a="1"/>
  <c r="G1565" i="2" s="1"/>
  <c r="G1566" i="2" a="1"/>
  <c r="G1566" i="2" s="1"/>
  <c r="G1567" i="2" a="1"/>
  <c r="G1567" i="2" s="1"/>
  <c r="G1568" i="2" a="1"/>
  <c r="G1568" i="2"/>
  <c r="G1569" i="2" a="1"/>
  <c r="G1569" i="2" s="1"/>
  <c r="G1570" i="2" a="1"/>
  <c r="G1570" i="2" s="1"/>
  <c r="G1571" i="2" a="1"/>
  <c r="G1571" i="2" s="1"/>
  <c r="G1572" i="2" a="1"/>
  <c r="G1572" i="2" s="1"/>
  <c r="G1573" i="2" a="1"/>
  <c r="G1573" i="2" s="1"/>
  <c r="G1574" i="2" a="1"/>
  <c r="G1574" i="2" s="1"/>
  <c r="G1575" i="2" a="1"/>
  <c r="G1575" i="2" s="1"/>
  <c r="G1576" i="2" a="1"/>
  <c r="G1576" i="2"/>
  <c r="G1577" i="2" a="1"/>
  <c r="G1577" i="2" s="1"/>
  <c r="G1578" i="2" a="1"/>
  <c r="G1578" i="2" s="1"/>
  <c r="G1579" i="2" a="1"/>
  <c r="G1579" i="2"/>
  <c r="G1580" i="2" a="1"/>
  <c r="G1580" i="2" s="1"/>
  <c r="G1581" i="2" a="1"/>
  <c r="G1581" i="2" s="1"/>
  <c r="G1582" i="2" a="1"/>
  <c r="G1582" i="2" s="1"/>
  <c r="G1583" i="2" a="1"/>
  <c r="G1583" i="2" s="1"/>
  <c r="G1584" i="2" a="1"/>
  <c r="G1584" i="2" s="1"/>
  <c r="G1585" i="2" a="1"/>
  <c r="G1585" i="2" s="1"/>
  <c r="G1586" i="2" a="1"/>
  <c r="G1586" i="2"/>
  <c r="G1587" i="2" a="1"/>
  <c r="G1587" i="2" s="1"/>
  <c r="G1588" i="2" a="1"/>
  <c r="G1588" i="2" s="1"/>
  <c r="G1589" i="2" a="1"/>
  <c r="G1589" i="2" s="1"/>
  <c r="G1590" i="2" a="1"/>
  <c r="G1590" i="2" s="1"/>
  <c r="G1591" i="2" a="1"/>
  <c r="G1591" i="2" s="1"/>
  <c r="G1592" i="2" a="1"/>
  <c r="G1592" i="2"/>
  <c r="G1593" i="2" a="1"/>
  <c r="G1593" i="2" s="1"/>
  <c r="G1594" i="2" a="1"/>
  <c r="G1594" i="2"/>
  <c r="G1595" i="2" a="1"/>
  <c r="G1595" i="2" s="1"/>
  <c r="G1596" i="2" a="1"/>
  <c r="G1596" i="2" s="1"/>
  <c r="G1597" i="2" a="1"/>
  <c r="G1597" i="2" s="1"/>
  <c r="G1598" i="2" a="1"/>
  <c r="G1598" i="2" s="1"/>
  <c r="G1599" i="2" a="1"/>
  <c r="G1599" i="2" s="1"/>
  <c r="G1600" i="2" a="1"/>
  <c r="G1600" i="2" s="1"/>
  <c r="G1601" i="2" a="1"/>
  <c r="G1601" i="2" s="1"/>
  <c r="G1602" i="2" a="1"/>
  <c r="G1602" i="2"/>
  <c r="G1603" i="2" a="1"/>
  <c r="G1603" i="2" s="1"/>
  <c r="G1604" i="2" a="1"/>
  <c r="G1604" i="2" s="1"/>
  <c r="G1605" i="2" a="1"/>
  <c r="G1605" i="2"/>
  <c r="G1606" i="2" a="1"/>
  <c r="G1606" i="2" s="1"/>
  <c r="G1607" i="2" a="1"/>
  <c r="G1607" i="2" s="1"/>
  <c r="G1608" i="2" a="1"/>
  <c r="G1608" i="2" s="1"/>
  <c r="G1609" i="2" a="1"/>
  <c r="G1609" i="2"/>
  <c r="G1610" i="2" a="1"/>
  <c r="G1610" i="2" s="1"/>
  <c r="G1611" i="2" a="1"/>
  <c r="G1611" i="2" s="1"/>
  <c r="G1612" i="2" a="1"/>
  <c r="G1612" i="2" s="1"/>
  <c r="G1613" i="2" a="1"/>
  <c r="G1613" i="2" s="1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/>
  <c r="G1619" i="2" a="1"/>
  <c r="G1619" i="2" s="1"/>
  <c r="G1620" i="2" a="1"/>
  <c r="G1620" i="2" s="1"/>
  <c r="G1621" i="2" a="1"/>
  <c r="G1621" i="2" s="1"/>
  <c r="G1622" i="2" a="1"/>
  <c r="G1622" i="2"/>
  <c r="G1623" i="2" a="1"/>
  <c r="G1623" i="2" s="1"/>
  <c r="G1624" i="2" a="1"/>
  <c r="G1624" i="2" s="1"/>
  <c r="G1625" i="2" a="1"/>
  <c r="G1625" i="2" s="1"/>
  <c r="G1626" i="2" a="1"/>
  <c r="G1626" i="2" s="1"/>
  <c r="G1627" i="2" a="1"/>
  <c r="G1627" i="2"/>
  <c r="G1628" i="2" a="1"/>
  <c r="G1628" i="2" s="1"/>
  <c r="G1629" i="2" a="1"/>
  <c r="G1629" i="2" s="1"/>
  <c r="G1630" i="2" a="1"/>
  <c r="G1630" i="2" s="1"/>
  <c r="G1631" i="2" a="1"/>
  <c r="G1631" i="2" s="1"/>
  <c r="G1632" i="2" a="1"/>
  <c r="G1632" i="2" s="1"/>
  <c r="G1633" i="2" a="1"/>
  <c r="G1633" i="2" s="1"/>
  <c r="G1634" i="2" a="1"/>
  <c r="G1634" i="2" s="1"/>
  <c r="G1635" i="2" a="1"/>
  <c r="G1635" i="2" s="1"/>
  <c r="G1636" i="2" a="1"/>
  <c r="G1636" i="2" s="1"/>
  <c r="G1637" i="2" a="1"/>
  <c r="G1637" i="2" s="1"/>
  <c r="G1638" i="2" a="1"/>
  <c r="G1638" i="2" s="1"/>
  <c r="G1639" i="2" a="1"/>
  <c r="G1639" i="2" s="1"/>
  <c r="G1640" i="2" a="1"/>
  <c r="G1640" i="2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 s="1"/>
  <c r="G1646" i="2" a="1"/>
  <c r="G1646" i="2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/>
  <c r="G1654" i="2" a="1"/>
  <c r="G1654" i="2" s="1"/>
  <c r="G1655" i="2" a="1"/>
  <c r="G1655" i="2" s="1"/>
  <c r="G1656" i="2" a="1"/>
  <c r="G1656" i="2" s="1"/>
  <c r="G1657" i="2" a="1"/>
  <c r="G1657" i="2"/>
  <c r="G1658" i="2" a="1"/>
  <c r="G1658" i="2" s="1"/>
  <c r="G1659" i="2" a="1"/>
  <c r="G1659" i="2" s="1"/>
  <c r="G1660" i="2" a="1"/>
  <c r="G1660" i="2"/>
  <c r="G1661" i="2" a="1"/>
  <c r="G1661" i="2" s="1"/>
  <c r="G1662" i="2" a="1"/>
  <c r="G1662" i="2" s="1"/>
  <c r="G1663" i="2" a="1"/>
  <c r="G1663" i="2" s="1"/>
  <c r="G1664" i="2" a="1"/>
  <c r="G1664" i="2" s="1"/>
  <c r="G1665" i="2" a="1"/>
  <c r="G1665" i="2"/>
  <c r="G1666" i="2" a="1"/>
  <c r="G1666" i="2" s="1"/>
  <c r="G1667" i="2" a="1"/>
  <c r="G1667" i="2" s="1"/>
  <c r="G1668" i="2" a="1"/>
  <c r="G1668" i="2" s="1"/>
  <c r="G1669" i="2" a="1"/>
  <c r="G1669" i="2"/>
  <c r="G1670" i="2" a="1"/>
  <c r="G1670" i="2" s="1"/>
  <c r="G1671" i="2" a="1"/>
  <c r="G1671" i="2"/>
  <c r="G1672" i="2" a="1"/>
  <c r="G1672" i="2" s="1"/>
  <c r="G1673" i="2" a="1"/>
  <c r="G1673" i="2" s="1"/>
  <c r="G1674" i="2" a="1"/>
  <c r="G1674" i="2" s="1"/>
  <c r="G1675" i="2" a="1"/>
  <c r="G1675" i="2" s="1"/>
  <c r="G1676" i="2" a="1"/>
  <c r="G1676" i="2" s="1"/>
  <c r="G1677" i="2" a="1"/>
  <c r="G1677" i="2" s="1"/>
  <c r="G1678" i="2" a="1"/>
  <c r="G1678" i="2"/>
  <c r="G1679" i="2" a="1"/>
  <c r="G1679" i="2" s="1"/>
  <c r="G1680" i="2" a="1"/>
  <c r="G1680" i="2" s="1"/>
  <c r="G1681" i="2" a="1"/>
  <c r="G1681" i="2" s="1"/>
  <c r="G1682" i="2" a="1"/>
  <c r="G1682" i="2" s="1"/>
  <c r="G1683" i="2" a="1"/>
  <c r="G1683" i="2" s="1"/>
  <c r="G1684" i="2" a="1"/>
  <c r="G1684" i="2" s="1"/>
  <c r="G1685" i="2" a="1"/>
  <c r="G1685" i="2" s="1"/>
  <c r="G1686" i="2" a="1"/>
  <c r="G1686" i="2" s="1"/>
  <c r="G1687" i="2" a="1"/>
  <c r="G1687" i="2" s="1"/>
  <c r="G1688" i="2" a="1"/>
  <c r="G1688" i="2" s="1"/>
  <c r="G1689" i="2" a="1"/>
  <c r="G1689" i="2" s="1"/>
  <c r="G1690" i="2" a="1"/>
  <c r="G1690" i="2" s="1"/>
  <c r="G1691" i="2" a="1"/>
  <c r="G1691" i="2" s="1"/>
  <c r="G1692" i="2" a="1"/>
  <c r="G1692" i="2" s="1"/>
  <c r="G1693" i="2" a="1"/>
  <c r="G1693" i="2" s="1"/>
  <c r="G1694" i="2" a="1"/>
  <c r="G1694" i="2" s="1"/>
  <c r="G1695" i="2" a="1"/>
  <c r="G1695" i="2" s="1"/>
  <c r="G1696" i="2" a="1"/>
  <c r="G1696" i="2" s="1"/>
  <c r="G1697" i="2" a="1"/>
  <c r="G1697" i="2" s="1"/>
  <c r="G1698" i="2" a="1"/>
  <c r="G1698" i="2" s="1"/>
  <c r="G1699" i="2" a="1"/>
  <c r="G1699" i="2" s="1"/>
  <c r="G1700" i="2" a="1"/>
  <c r="G1700" i="2" s="1"/>
  <c r="G1701" i="2" a="1"/>
  <c r="G1701" i="2" s="1"/>
  <c r="G1702" i="2" a="1"/>
  <c r="G1702" i="2" s="1"/>
  <c r="G1703" i="2" a="1"/>
  <c r="G1703" i="2" s="1"/>
  <c r="G1704" i="2" a="1"/>
  <c r="G1704" i="2" s="1"/>
  <c r="G1705" i="2" a="1"/>
  <c r="G1705" i="2" s="1"/>
  <c r="G1706" i="2" a="1"/>
  <c r="G1706" i="2" s="1"/>
  <c r="G1707" i="2" a="1"/>
  <c r="G1707" i="2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 s="1"/>
  <c r="G1713" i="2" a="1"/>
  <c r="G1713" i="2" s="1"/>
  <c r="G1714" i="2" a="1"/>
  <c r="G1714" i="2"/>
  <c r="G1715" i="2" a="1"/>
  <c r="G1715" i="2" s="1"/>
  <c r="G1716" i="2" a="1"/>
  <c r="G1716" i="2" s="1"/>
  <c r="G1717" i="2" a="1"/>
  <c r="G1717" i="2" s="1"/>
  <c r="G1718" i="2" a="1"/>
  <c r="G1718" i="2" s="1"/>
  <c r="G1719" i="2" a="1"/>
  <c r="G1719" i="2" s="1"/>
  <c r="G1720" i="2" a="1"/>
  <c r="G1720" i="2" s="1"/>
  <c r="G1721" i="2" a="1"/>
  <c r="G1721" i="2" s="1"/>
  <c r="G1722" i="2" a="1"/>
  <c r="G1722" i="2" s="1"/>
  <c r="G1723" i="2" a="1"/>
  <c r="G1723" i="2" s="1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 s="1"/>
  <c r="G1730" i="2" a="1"/>
  <c r="G1730" i="2" s="1"/>
  <c r="G1731" i="2" a="1"/>
  <c r="G1731" i="2" s="1"/>
  <c r="G1732" i="2" a="1"/>
  <c r="G1732" i="2" s="1"/>
  <c r="G1733" i="2" a="1"/>
  <c r="G1733" i="2" s="1"/>
  <c r="G1734" i="2" a="1"/>
  <c r="G1734" i="2" s="1"/>
  <c r="G1735" i="2" a="1"/>
  <c r="G1735" i="2" s="1"/>
  <c r="G1736" i="2" a="1"/>
  <c r="G1736" i="2" s="1"/>
  <c r="G1737" i="2" a="1"/>
  <c r="G1737" i="2" s="1"/>
  <c r="G1738" i="2" a="1"/>
  <c r="G1738" i="2" s="1"/>
  <c r="G1739" i="2" a="1"/>
  <c r="G1739" i="2" s="1"/>
  <c r="G1740" i="2" a="1"/>
  <c r="G1740" i="2" s="1"/>
  <c r="G1741" i="2" a="1"/>
  <c r="G1741" i="2" s="1"/>
  <c r="G1742" i="2" a="1"/>
  <c r="G1742" i="2" s="1"/>
  <c r="G1743" i="2" a="1"/>
  <c r="G1743" i="2"/>
  <c r="G1744" i="2" a="1"/>
  <c r="G1744" i="2" s="1"/>
  <c r="G1745" i="2" a="1"/>
  <c r="G1745" i="2" s="1"/>
  <c r="G1746" i="2" a="1"/>
  <c r="G1746" i="2" s="1"/>
  <c r="G1747" i="2" a="1"/>
  <c r="G1747" i="2" s="1"/>
  <c r="G1748" i="2" a="1"/>
  <c r="G1748" i="2" s="1"/>
  <c r="G1749" i="2" a="1"/>
  <c r="G1749" i="2" s="1"/>
  <c r="G1750" i="2" a="1"/>
  <c r="G1750" i="2" s="1"/>
  <c r="G1751" i="2" a="1"/>
  <c r="G1751" i="2" s="1"/>
  <c r="G1752" i="2" a="1"/>
  <c r="G1752" i="2" s="1"/>
  <c r="G1753" i="2" a="1"/>
  <c r="G1753" i="2" s="1"/>
  <c r="G1754" i="2" a="1"/>
  <c r="G1754" i="2" s="1"/>
  <c r="G1755" i="2" a="1"/>
  <c r="G1755" i="2"/>
  <c r="G1756" i="2" a="1"/>
  <c r="G1756" i="2" s="1"/>
  <c r="G1757" i="2" a="1"/>
  <c r="G1757" i="2" s="1"/>
  <c r="G1758" i="2" a="1"/>
  <c r="G1758" i="2" s="1"/>
  <c r="G1759" i="2" a="1"/>
  <c r="G1759" i="2" s="1"/>
  <c r="G1760" i="2" a="1"/>
  <c r="G1760" i="2" s="1"/>
  <c r="G1761" i="2" a="1"/>
  <c r="G1761" i="2"/>
  <c r="G1762" i="2" a="1"/>
  <c r="G1762" i="2" s="1"/>
  <c r="G1763" i="2" a="1"/>
  <c r="G1763" i="2" s="1"/>
  <c r="G1764" i="2" a="1"/>
  <c r="G1764" i="2" s="1"/>
  <c r="G1765" i="2" a="1"/>
  <c r="G1765" i="2" s="1"/>
  <c r="G1766" i="2" a="1"/>
  <c r="G1766" i="2" s="1"/>
  <c r="G1767" i="2" a="1"/>
  <c r="G1767" i="2" s="1"/>
  <c r="G1768" i="2" a="1"/>
  <c r="G1768" i="2" s="1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 s="1"/>
  <c r="G1777" i="2" a="1"/>
  <c r="G1777" i="2" s="1"/>
  <c r="G1778" i="2" a="1"/>
  <c r="G1778" i="2" s="1"/>
  <c r="G1779" i="2" a="1"/>
  <c r="G1779" i="2"/>
  <c r="G1780" i="2" a="1"/>
  <c r="G1780" i="2" s="1"/>
  <c r="G1781" i="2" a="1"/>
  <c r="G1781" i="2" s="1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 s="1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 s="1"/>
  <c r="G1794" i="2" a="1"/>
  <c r="G1794" i="2" s="1"/>
  <c r="G1795" i="2" a="1"/>
  <c r="G1795" i="2" s="1"/>
  <c r="G1796" i="2" a="1"/>
  <c r="G1796" i="2" s="1"/>
  <c r="G1797" i="2" a="1"/>
  <c r="G1797" i="2"/>
  <c r="G1798" i="2" a="1"/>
  <c r="G1798" i="2" s="1"/>
  <c r="G1799" i="2" a="1"/>
  <c r="G1799" i="2" s="1"/>
  <c r="G1800" i="2" a="1"/>
  <c r="G1800" i="2" s="1"/>
  <c r="G1801" i="2" a="1"/>
  <c r="G1801" i="2" s="1"/>
  <c r="G1802" i="2" a="1"/>
  <c r="G1802" i="2" s="1"/>
  <c r="G1803" i="2" a="1"/>
  <c r="G1803" i="2" s="1"/>
  <c r="G1804" i="2" a="1"/>
  <c r="G1804" i="2" s="1"/>
  <c r="G1805" i="2" a="1"/>
  <c r="G1805" i="2" s="1"/>
  <c r="G1806" i="2" a="1"/>
  <c r="G1806" i="2" s="1"/>
  <c r="G1807" i="2" a="1"/>
  <c r="G1807" i="2" s="1"/>
  <c r="G1808" i="2" a="1"/>
  <c r="G1808" i="2" s="1"/>
  <c r="G1809" i="2" a="1"/>
  <c r="G1809" i="2"/>
  <c r="G1810" i="2" a="1"/>
  <c r="G1810" i="2" s="1"/>
  <c r="G1811" i="2" a="1"/>
  <c r="G1811" i="2" s="1"/>
  <c r="G1812" i="2" a="1"/>
  <c r="G1812" i="2" s="1"/>
  <c r="G1813" i="2" a="1"/>
  <c r="G1813" i="2" s="1"/>
  <c r="G1814" i="2" a="1"/>
  <c r="G1814" i="2" s="1"/>
  <c r="G1815" i="2" a="1"/>
  <c r="G1815" i="2" s="1"/>
  <c r="G1816" i="2" a="1"/>
  <c r="G1816" i="2"/>
  <c r="G1817" i="2" a="1"/>
  <c r="G1817" i="2" s="1"/>
  <c r="G1818" i="2" a="1"/>
  <c r="G1818" i="2" s="1"/>
  <c r="G1819" i="2" a="1"/>
  <c r="G1819" i="2" s="1"/>
  <c r="G1820" i="2" a="1"/>
  <c r="G1820" i="2" s="1"/>
  <c r="G1821" i="2" a="1"/>
  <c r="G1821" i="2" s="1"/>
  <c r="G1822" i="2" a="1"/>
  <c r="G1822" i="2" s="1"/>
  <c r="G1823" i="2" a="1"/>
  <c r="G1823" i="2" s="1"/>
  <c r="G1824" i="2" a="1"/>
  <c r="G1824" i="2" s="1"/>
  <c r="G1825" i="2" a="1"/>
  <c r="G1825" i="2" s="1"/>
  <c r="G1826" i="2" a="1"/>
  <c r="G1826" i="2"/>
  <c r="G1827" i="2" a="1"/>
  <c r="G1827" i="2"/>
  <c r="G1828" i="2" a="1"/>
  <c r="G1828" i="2" s="1"/>
  <c r="G1829" i="2" a="1"/>
  <c r="G1829" i="2" s="1"/>
  <c r="G1830" i="2" a="1"/>
  <c r="G1830" i="2" s="1"/>
  <c r="G1831" i="2" a="1"/>
  <c r="G1831" i="2" s="1"/>
  <c r="G1832" i="2" a="1"/>
  <c r="G1832" i="2" s="1"/>
  <c r="G1833" i="2" a="1"/>
  <c r="G1833" i="2" s="1"/>
  <c r="G1834" i="2" a="1"/>
  <c r="G1834" i="2"/>
  <c r="G1835" i="2" a="1"/>
  <c r="G1835" i="2" s="1"/>
  <c r="G1836" i="2" a="1"/>
  <c r="G1836" i="2" s="1"/>
  <c r="G1837" i="2" a="1"/>
  <c r="G1837" i="2" s="1"/>
  <c r="G1838" i="2" a="1"/>
  <c r="G1838" i="2" s="1"/>
  <c r="G1839" i="2" a="1"/>
  <c r="G1839" i="2" s="1"/>
  <c r="G1840" i="2" a="1"/>
  <c r="G1840" i="2" s="1"/>
  <c r="G1841" i="2" a="1"/>
  <c r="G1841" i="2" s="1"/>
  <c r="G1842" i="2" a="1"/>
  <c r="G1842" i="2" s="1"/>
  <c r="G1843" i="2" a="1"/>
  <c r="G1843" i="2" s="1"/>
  <c r="G1844" i="2" a="1"/>
  <c r="G1844" i="2" s="1"/>
  <c r="G1845" i="2" a="1"/>
  <c r="G1845" i="2"/>
  <c r="G1846" i="2" a="1"/>
  <c r="G1846" i="2" s="1"/>
  <c r="G1847" i="2" a="1"/>
  <c r="G1847" i="2" s="1"/>
  <c r="G1848" i="2" a="1"/>
  <c r="G1848" i="2" s="1"/>
  <c r="G1849" i="2" a="1"/>
  <c r="G1849" i="2" s="1"/>
  <c r="G1850" i="2" a="1"/>
  <c r="G1850" i="2" s="1"/>
  <c r="G1851" i="2" a="1"/>
  <c r="G1851" i="2" s="1"/>
  <c r="G1852" i="2" a="1"/>
  <c r="G1852" i="2" s="1"/>
  <c r="G1853" i="2" a="1"/>
  <c r="G1853" i="2" s="1"/>
  <c r="G1854" i="2" a="1"/>
  <c r="G1854" i="2" s="1"/>
  <c r="G1855" i="2" a="1"/>
  <c r="G1855" i="2" s="1"/>
  <c r="G1856" i="2" a="1"/>
  <c r="G1856" i="2"/>
  <c r="G1857" i="2" a="1"/>
  <c r="G1857" i="2" s="1"/>
  <c r="G1858" i="2" a="1"/>
  <c r="G1858" i="2" s="1"/>
  <c r="G1859" i="2" a="1"/>
  <c r="G1859" i="2" s="1"/>
  <c r="G1860" i="2" a="1"/>
  <c r="G1860" i="2" s="1"/>
  <c r="G1861" i="2" a="1"/>
  <c r="G1861" i="2" s="1"/>
  <c r="G1862" i="2" a="1"/>
  <c r="G1862" i="2" s="1"/>
  <c r="G1863" i="2" a="1"/>
  <c r="G1863" i="2"/>
  <c r="G1864" i="2" a="1"/>
  <c r="G1864" i="2" s="1"/>
  <c r="G1865" i="2" a="1"/>
  <c r="G1865" i="2" s="1"/>
  <c r="G1866" i="2" a="1"/>
  <c r="G1866" i="2" s="1"/>
  <c r="G1867" i="2" a="1"/>
  <c r="G1867" i="2" s="1"/>
  <c r="G1868" i="2" a="1"/>
  <c r="G1868" i="2" s="1"/>
  <c r="G1869" i="2" a="1"/>
  <c r="G1869" i="2" s="1"/>
  <c r="G1870" i="2" a="1"/>
  <c r="G1870" i="2" s="1"/>
  <c r="G1871" i="2" a="1"/>
  <c r="G1871" i="2" s="1"/>
  <c r="G1872" i="2" a="1"/>
  <c r="G1872" i="2" s="1"/>
  <c r="G1873" i="2" a="1"/>
  <c r="G1873" i="2" s="1"/>
  <c r="G1874" i="2" a="1"/>
  <c r="G1874" i="2"/>
  <c r="G1875" i="2" a="1"/>
  <c r="G1875" i="2" s="1"/>
  <c r="G1876" i="2" a="1"/>
  <c r="G1876" i="2" s="1"/>
  <c r="G1877" i="2" a="1"/>
  <c r="G1877" i="2" s="1"/>
  <c r="G1878" i="2" a="1"/>
  <c r="G1878" i="2" s="1"/>
  <c r="G1879" i="2" a="1"/>
  <c r="G1879" i="2" s="1"/>
  <c r="G1880" i="2" a="1"/>
  <c r="G1880" i="2" s="1"/>
  <c r="G1881" i="2" a="1"/>
  <c r="G1881" i="2" s="1"/>
  <c r="G1882" i="2" a="1"/>
  <c r="G1882" i="2"/>
  <c r="G1883" i="2" a="1"/>
  <c r="G1883" i="2" s="1"/>
  <c r="G1884" i="2" a="1"/>
  <c r="G1884" i="2" s="1"/>
  <c r="G1885" i="2" a="1"/>
  <c r="G1885" i="2" s="1"/>
  <c r="G1886" i="2" a="1"/>
  <c r="G1886" i="2" s="1"/>
  <c r="G1887" i="2" a="1"/>
  <c r="G1887" i="2" s="1"/>
  <c r="G1888" i="2" a="1"/>
  <c r="G1888" i="2" s="1"/>
  <c r="G1889" i="2" a="1"/>
  <c r="G1889" i="2" s="1"/>
  <c r="G1890" i="2" a="1"/>
  <c r="G1890" i="2" s="1"/>
  <c r="G1891" i="2" a="1"/>
  <c r="G1891" i="2" s="1"/>
  <c r="G1892" i="2" a="1"/>
  <c r="G1892" i="2" s="1"/>
  <c r="G1893" i="2" a="1"/>
  <c r="G1893" i="2" s="1"/>
  <c r="G1894" i="2" a="1"/>
  <c r="G1894" i="2" s="1"/>
  <c r="G1895" i="2" a="1"/>
  <c r="G1895" i="2" s="1"/>
  <c r="G1896" i="2" a="1"/>
  <c r="G1896" i="2" s="1"/>
  <c r="G1897" i="2" a="1"/>
  <c r="G1897" i="2" s="1"/>
  <c r="G1898" i="2" a="1"/>
  <c r="G1898" i="2" s="1"/>
  <c r="G1899" i="2" a="1"/>
  <c r="G1899" i="2" s="1"/>
  <c r="G1900" i="2" a="1"/>
  <c r="G1900" i="2" s="1"/>
  <c r="G1901" i="2" a="1"/>
  <c r="G1901" i="2" s="1"/>
  <c r="G1902" i="2" a="1"/>
  <c r="G1902" i="2" s="1"/>
  <c r="G1903" i="2" a="1"/>
  <c r="G1903" i="2" s="1"/>
  <c r="G1904" i="2" a="1"/>
  <c r="G1904" i="2"/>
  <c r="G1905" i="2" a="1"/>
  <c r="G1905" i="2" s="1"/>
  <c r="G1906" i="2" a="1"/>
  <c r="G1906" i="2" s="1"/>
  <c r="G1907" i="2" a="1"/>
  <c r="G1907" i="2" s="1"/>
  <c r="G1908" i="2" a="1"/>
  <c r="G1908" i="2" s="1"/>
  <c r="G1909" i="2" a="1"/>
  <c r="G1909" i="2" s="1"/>
  <c r="G1910" i="2" a="1"/>
  <c r="G1910" i="2" s="1"/>
  <c r="G1911" i="2" a="1"/>
  <c r="G1911" i="2" s="1"/>
  <c r="G1912" i="2" a="1"/>
  <c r="G1912" i="2" s="1"/>
  <c r="G1913" i="2" a="1"/>
  <c r="G1913" i="2" s="1"/>
  <c r="G1914" i="2" a="1"/>
  <c r="G1914" i="2" s="1"/>
  <c r="G1915" i="2" a="1"/>
  <c r="G1915" i="2" s="1"/>
  <c r="G1916" i="2" a="1"/>
  <c r="G1916" i="2" s="1"/>
  <c r="G1917" i="2" a="1"/>
  <c r="G1917" i="2" s="1"/>
  <c r="G1918" i="2" a="1"/>
  <c r="G1918" i="2"/>
  <c r="G1919" i="2" a="1"/>
  <c r="G1919" i="2" s="1"/>
  <c r="G1920" i="2" a="1"/>
  <c r="G1920" i="2" s="1"/>
  <c r="G1921" i="2" a="1"/>
  <c r="G1921" i="2" s="1"/>
  <c r="G1922" i="2" a="1"/>
  <c r="G1922" i="2" s="1"/>
  <c r="G1923" i="2" a="1"/>
  <c r="G1923" i="2" s="1"/>
  <c r="G1924" i="2" a="1"/>
  <c r="G1924" i="2" s="1"/>
  <c r="G1925" i="2" a="1"/>
  <c r="G1925" i="2" s="1"/>
  <c r="G1926" i="2" a="1"/>
  <c r="G1926" i="2" s="1"/>
  <c r="G1927" i="2" a="1"/>
  <c r="G1927" i="2" s="1"/>
  <c r="G1928" i="2" a="1"/>
  <c r="G1928" i="2" s="1"/>
  <c r="G1929" i="2" a="1"/>
  <c r="G1929" i="2" s="1"/>
  <c r="G1930" i="2" a="1"/>
  <c r="G1930" i="2" s="1"/>
  <c r="G1931" i="2" a="1"/>
  <c r="G1931" i="2" s="1"/>
  <c r="G1932" i="2" a="1"/>
  <c r="G1932" i="2" s="1"/>
  <c r="G1933" i="2" a="1"/>
  <c r="G1933" i="2"/>
  <c r="G1934" i="2" a="1"/>
  <c r="G1934" i="2" s="1"/>
  <c r="G1935" i="2" a="1"/>
  <c r="G1935" i="2"/>
  <c r="G1936" i="2" a="1"/>
  <c r="G1936" i="2" s="1"/>
  <c r="G1937" i="2" a="1"/>
  <c r="G1937" i="2" s="1"/>
  <c r="G1938" i="2" a="1"/>
  <c r="G1938" i="2" s="1"/>
  <c r="G1939" i="2" a="1"/>
  <c r="G1939" i="2" s="1"/>
  <c r="G1940" i="2" a="1"/>
  <c r="G1940" i="2" s="1"/>
  <c r="G1941" i="2" a="1"/>
  <c r="G1941" i="2" s="1"/>
  <c r="G1942" i="2" a="1"/>
  <c r="G1942" i="2"/>
  <c r="G1943" i="2" a="1"/>
  <c r="G1943" i="2" s="1"/>
  <c r="G1944" i="2" a="1"/>
  <c r="G1944" i="2" s="1"/>
  <c r="G1945" i="2" a="1"/>
  <c r="G1945" i="2" s="1"/>
  <c r="G1946" i="2" a="1"/>
  <c r="G1946" i="2" s="1"/>
  <c r="G1947" i="2" a="1"/>
  <c r="G1947" i="2" s="1"/>
  <c r="G1948" i="2" a="1"/>
  <c r="G1948" i="2" s="1"/>
  <c r="G1949" i="2" a="1"/>
  <c r="G1949" i="2" s="1"/>
  <c r="G1950" i="2" a="1"/>
  <c r="G1950" i="2" s="1"/>
  <c r="G1951" i="2" a="1"/>
  <c r="G1951" i="2" s="1"/>
  <c r="G1952" i="2" a="1"/>
  <c r="G1952" i="2" s="1"/>
  <c r="G1953" i="2" a="1"/>
  <c r="G1953" i="2" s="1"/>
  <c r="G1954" i="2" a="1"/>
  <c r="G1954" i="2"/>
  <c r="G1955" i="2" a="1"/>
  <c r="G1955" i="2" s="1"/>
  <c r="G1956" i="2" a="1"/>
  <c r="G1956" i="2" s="1"/>
  <c r="G1957" i="2" a="1"/>
  <c r="G1957" i="2" s="1"/>
  <c r="G1958" i="2" a="1"/>
  <c r="G1958" i="2" s="1"/>
  <c r="G1959" i="2" a="1"/>
  <c r="G1959" i="2" s="1"/>
  <c r="G1960" i="2" a="1"/>
  <c r="G1960" i="2" s="1"/>
  <c r="G1961" i="2" a="1"/>
  <c r="G1961" i="2" s="1"/>
  <c r="G1962" i="2" a="1"/>
  <c r="G1962" i="2" s="1"/>
  <c r="G1963" i="2" a="1"/>
  <c r="G1963" i="2" s="1"/>
  <c r="G1964" i="2" a="1"/>
  <c r="G1964" i="2"/>
  <c r="G1965" i="2" a="1"/>
  <c r="G1965" i="2" s="1"/>
  <c r="G1966" i="2" a="1"/>
  <c r="G1966" i="2" s="1"/>
  <c r="G1967" i="2" a="1"/>
  <c r="G1967" i="2" s="1"/>
  <c r="G1968" i="2" a="1"/>
  <c r="G1968" i="2" s="1"/>
  <c r="G1969" i="2" a="1"/>
  <c r="G1969" i="2"/>
  <c r="G1970" i="2" a="1"/>
  <c r="G1970" i="2" s="1"/>
  <c r="G1971" i="2" a="1"/>
  <c r="G1971" i="2" s="1"/>
  <c r="G1972" i="2" a="1"/>
  <c r="G1972" i="2"/>
  <c r="G1973" i="2" a="1"/>
  <c r="G1973" i="2" s="1"/>
  <c r="G1974" i="2" a="1"/>
  <c r="G1974" i="2" s="1"/>
  <c r="G1975" i="2" a="1"/>
  <c r="G1975" i="2" s="1"/>
  <c r="G1976" i="2" a="1"/>
  <c r="G1976" i="2"/>
  <c r="G1977" i="2" a="1"/>
  <c r="G1977" i="2" s="1"/>
  <c r="G1978" i="2" a="1"/>
  <c r="G1978" i="2" s="1"/>
  <c r="G1979" i="2" a="1"/>
  <c r="G1979" i="2" s="1"/>
  <c r="G1980" i="2" a="1"/>
  <c r="G1980" i="2" s="1"/>
  <c r="G1981" i="2" a="1"/>
  <c r="G1981" i="2" s="1"/>
  <c r="G1982" i="2" a="1"/>
  <c r="G1982" i="2" s="1"/>
  <c r="G1983" i="2" a="1"/>
  <c r="G1983" i="2"/>
  <c r="G1984" i="2" a="1"/>
  <c r="G1984" i="2" s="1"/>
  <c r="G1985" i="2" a="1"/>
  <c r="G1985" i="2" s="1"/>
  <c r="G1986" i="2" a="1"/>
  <c r="G1986" i="2" s="1"/>
  <c r="G1987" i="2" a="1"/>
  <c r="G1987" i="2" s="1"/>
  <c r="G1988" i="2" a="1"/>
  <c r="G1988" i="2" s="1"/>
  <c r="G1989" i="2" a="1"/>
  <c r="G1989" i="2" s="1"/>
  <c r="G1990" i="2" a="1"/>
  <c r="G1990" i="2" s="1"/>
  <c r="G1991" i="2" a="1"/>
  <c r="G1991" i="2" s="1"/>
  <c r="G1992" i="2" a="1"/>
  <c r="G1992" i="2" s="1"/>
  <c r="G1993" i="2" a="1"/>
  <c r="G1993" i="2" s="1"/>
  <c r="G1994" i="2" a="1"/>
  <c r="G1994" i="2" s="1"/>
  <c r="G1995" i="2" a="1"/>
  <c r="G1995" i="2" s="1"/>
  <c r="G1996" i="2" a="1"/>
  <c r="G1996" i="2" s="1"/>
  <c r="G1997" i="2" a="1"/>
  <c r="G1997" i="2" s="1"/>
  <c r="G1998" i="2" a="1"/>
  <c r="G1998" i="2" s="1"/>
  <c r="G1999" i="2" a="1"/>
  <c r="G1999" i="2" s="1"/>
  <c r="G2000" i="2" a="1"/>
  <c r="G2000" i="2" s="1"/>
  <c r="G2001" i="2" a="1"/>
  <c r="G2001" i="2" s="1"/>
  <c r="G2002" i="2" a="1"/>
  <c r="G2002" i="2" s="1"/>
  <c r="G2003" i="2" a="1"/>
  <c r="G2003" i="2" s="1"/>
  <c r="G2004" i="2" a="1"/>
  <c r="G2004" i="2" s="1"/>
  <c r="G2005" i="2" a="1"/>
  <c r="G2005" i="2"/>
  <c r="G2006" i="2" a="1"/>
  <c r="G2006" i="2" s="1"/>
  <c r="G2007" i="2" a="1"/>
  <c r="G2007" i="2" s="1"/>
  <c r="G2008" i="2" a="1"/>
  <c r="G2008" i="2" s="1"/>
  <c r="G2009" i="2" a="1"/>
  <c r="G2009" i="2" s="1"/>
  <c r="G2010" i="2" a="1"/>
  <c r="G2010" i="2" s="1"/>
  <c r="G2011" i="2" a="1"/>
  <c r="G2011" i="2" s="1"/>
  <c r="G2012" i="2" a="1"/>
  <c r="G2012" i="2" s="1"/>
  <c r="G2013" i="2" a="1"/>
  <c r="G2013" i="2" s="1"/>
  <c r="G2014" i="2" a="1"/>
  <c r="G2014" i="2"/>
  <c r="G2015" i="2" a="1"/>
  <c r="G2015" i="2" s="1"/>
  <c r="G2016" i="2" a="1"/>
  <c r="G2016" i="2" s="1"/>
  <c r="G2017" i="2" a="1"/>
  <c r="G2017" i="2" s="1"/>
  <c r="G2018" i="2" a="1"/>
  <c r="G2018" i="2" s="1"/>
  <c r="G2019" i="2" a="1"/>
  <c r="G2019" i="2" s="1"/>
  <c r="G2020" i="2" a="1"/>
  <c r="G2020" i="2" s="1"/>
  <c r="G2021" i="2" a="1"/>
  <c r="G2021" i="2" s="1"/>
  <c r="G2022" i="2" a="1"/>
  <c r="G2022" i="2" s="1"/>
  <c r="G2023" i="2" a="1"/>
  <c r="G2023" i="2" s="1"/>
  <c r="G2024" i="2" a="1"/>
  <c r="G2024" i="2" s="1"/>
  <c r="G2025" i="2" a="1"/>
  <c r="G2025" i="2" s="1"/>
  <c r="G2026" i="2" a="1"/>
  <c r="G2026" i="2" s="1"/>
  <c r="G2027" i="2" a="1"/>
  <c r="G2027" i="2" s="1"/>
  <c r="G2028" i="2" a="1"/>
  <c r="G2028" i="2" s="1"/>
  <c r="G2029" i="2" a="1"/>
  <c r="G2029" i="2" s="1"/>
  <c r="G2030" i="2" a="1"/>
  <c r="G2030" i="2" s="1"/>
  <c r="G2031" i="2" a="1"/>
  <c r="G2031" i="2" s="1"/>
  <c r="G2032" i="2" a="1"/>
  <c r="G2032" i="2" s="1"/>
  <c r="G2033" i="2" a="1"/>
  <c r="G2033" i="2" s="1"/>
  <c r="G2034" i="2" a="1"/>
  <c r="G2034" i="2" s="1"/>
  <c r="G2035" i="2" a="1"/>
  <c r="G2035" i="2" s="1"/>
  <c r="G2036" i="2" a="1"/>
  <c r="G2036" i="2"/>
  <c r="G2037" i="2" a="1"/>
  <c r="G2037" i="2" s="1"/>
  <c r="G2038" i="2" a="1"/>
  <c r="G2038" i="2" s="1"/>
  <c r="G2039" i="2" a="1"/>
  <c r="G2039" i="2" s="1"/>
  <c r="G2040" i="2" a="1"/>
  <c r="G2040" i="2" s="1"/>
  <c r="G2041" i="2" a="1"/>
  <c r="G2041" i="2" s="1"/>
  <c r="G2042" i="2" a="1"/>
  <c r="G2042" i="2" s="1"/>
  <c r="G2043" i="2" a="1"/>
  <c r="G2043" i="2" s="1"/>
  <c r="G2044" i="2" a="1"/>
  <c r="G2044" i="2"/>
  <c r="G2045" i="2" a="1"/>
  <c r="G2045" i="2" s="1"/>
  <c r="G2046" i="2" a="1"/>
  <c r="G2046" i="2" s="1"/>
  <c r="G2047" i="2" a="1"/>
  <c r="G2047" i="2" s="1"/>
  <c r="G2048" i="2" a="1"/>
  <c r="G2048" i="2"/>
  <c r="G2049" i="2" a="1"/>
  <c r="G2049" i="2" s="1"/>
  <c r="O2048" i="2" a="1"/>
  <c r="O2048" i="2" s="1"/>
  <c r="O2049" i="2" a="1"/>
  <c r="O2049" i="2" s="1"/>
  <c r="P2" i="2" a="1"/>
  <c r="C1001" i="2" a="1"/>
  <c r="C1001" i="2" s="1"/>
  <c r="C1032" i="2" a="1"/>
  <c r="C1032" i="2" s="1"/>
  <c r="C1051" i="2" a="1"/>
  <c r="C1051" i="2" s="1"/>
  <c r="C1056" i="2" a="1"/>
  <c r="C1056" i="2" s="1"/>
  <c r="C1152" i="2" a="1"/>
  <c r="C1152" i="2"/>
  <c r="C1155" i="2" a="1"/>
  <c r="C1155" i="2" s="1"/>
  <c r="C1164" i="2"/>
  <c r="C1165" i="2"/>
  <c r="C1195" i="2" a="1"/>
  <c r="C1195" i="2" s="1"/>
  <c r="C1221" i="2" a="1"/>
  <c r="C1221" i="2" s="1"/>
  <c r="C1222" i="2" a="1"/>
  <c r="C1222" i="2" s="1"/>
  <c r="C1248" i="2" a="1"/>
  <c r="C1248" i="2" s="1"/>
  <c r="C1250" i="2" a="1"/>
  <c r="C1250" i="2" s="1"/>
  <c r="C1312" i="2"/>
  <c r="C1313" i="2"/>
  <c r="C1320" i="2" a="1"/>
  <c r="C1320" i="2" s="1"/>
  <c r="C1392" i="2" a="1"/>
  <c r="C1392" i="2" s="1"/>
  <c r="C1393" i="2" a="1"/>
  <c r="C1393" i="2"/>
  <c r="C1394" i="2" a="1"/>
  <c r="C1394" i="2" s="1"/>
  <c r="C1447" i="2" a="1"/>
  <c r="C1447" i="2" s="1"/>
  <c r="C1453" i="2" a="1"/>
  <c r="C1453" i="2" s="1"/>
  <c r="C1464" i="2"/>
  <c r="C1524" i="2" a="1"/>
  <c r="C1524" i="2" s="1"/>
  <c r="C1531" i="2" a="1"/>
  <c r="C1531" i="2" s="1"/>
  <c r="C1538" i="2"/>
  <c r="C1548" i="2"/>
  <c r="C1591" i="2" a="1"/>
  <c r="C1591" i="2" s="1"/>
  <c r="C1608" i="2" a="1"/>
  <c r="C1608" i="2" s="1"/>
  <c r="C1615" i="2" a="1"/>
  <c r="C1615" i="2" s="1"/>
  <c r="C1653" i="2" a="1"/>
  <c r="C1653" i="2" s="1"/>
  <c r="C1654" i="2" a="1"/>
  <c r="C1654" i="2" s="1"/>
  <c r="C1668" i="2" a="1"/>
  <c r="C1668" i="2"/>
  <c r="C1670" i="2" a="1"/>
  <c r="C1670" i="2" s="1"/>
  <c r="C1687" i="2" a="1"/>
  <c r="C1687" i="2" s="1"/>
  <c r="C1704" i="2" a="1"/>
  <c r="C1704" i="2" s="1"/>
  <c r="C1752" i="2"/>
  <c r="C1753" i="2" a="1"/>
  <c r="C1753" i="2" s="1"/>
  <c r="C1760" i="2" a="1"/>
  <c r="C1760" i="2"/>
  <c r="C1773" i="2" a="1"/>
  <c r="C1773" i="2" s="1"/>
  <c r="C1784" i="2"/>
  <c r="C1785" i="2" a="1"/>
  <c r="C1785" i="2" s="1"/>
  <c r="C1797" i="2" a="1"/>
  <c r="C1797" i="2"/>
  <c r="C1809" i="2" a="1"/>
  <c r="C1809" i="2" s="1"/>
  <c r="C1824" i="2" a="1"/>
  <c r="C1824" i="2" s="1"/>
  <c r="C1843" i="2"/>
  <c r="C1848" i="2" a="1"/>
  <c r="C1848" i="2" s="1"/>
  <c r="C1851" i="2" a="1"/>
  <c r="C1851" i="2" s="1"/>
  <c r="C1897" i="2"/>
  <c r="C1898" i="2"/>
  <c r="C1920" i="2" a="1"/>
  <c r="C1920" i="2" s="1"/>
  <c r="C1941" i="2" a="1"/>
  <c r="C1941" i="2" s="1"/>
  <c r="C1951" i="2"/>
  <c r="C1952" i="2"/>
  <c r="C1987" i="2" a="1"/>
  <c r="C1987" i="2" s="1"/>
  <c r="C1988" i="2" a="1"/>
  <c r="C1988" i="2" s="1"/>
  <c r="C1992" i="2" a="1"/>
  <c r="C1992" i="2" s="1"/>
  <c r="C2028" i="2" a="1"/>
  <c r="C2028" i="2" s="1"/>
  <c r="C1003" i="2" a="1"/>
  <c r="C1003" i="2" s="1"/>
  <c r="C1004" i="2" a="1"/>
  <c r="C1004" i="2" s="1"/>
  <c r="C1005" i="2" a="1"/>
  <c r="C1005" i="2" s="1"/>
  <c r="C1006" i="2" a="1"/>
  <c r="C1006" i="2" s="1"/>
  <c r="C1007" i="2" a="1"/>
  <c r="C1007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7" i="2" a="1"/>
  <c r="C1027" i="2" s="1"/>
  <c r="C1028" i="2" a="1"/>
  <c r="C1028" i="2" s="1"/>
  <c r="C1029" i="2" a="1"/>
  <c r="C1029" i="2" s="1"/>
  <c r="C1030" i="2" a="1"/>
  <c r="C1030" i="2" s="1"/>
  <c r="C1031" i="2" a="1"/>
  <c r="C1031" i="2" s="1"/>
  <c r="C1039" i="2" a="1"/>
  <c r="C1039" i="2" s="1"/>
  <c r="C1040" i="2" a="1"/>
  <c r="C1040" i="2" s="1"/>
  <c r="C1041" i="2" a="1"/>
  <c r="C1041" i="2" s="1"/>
  <c r="C1042" i="2" a="1"/>
  <c r="C1042" i="2" s="1"/>
  <c r="C1043" i="2" a="1"/>
  <c r="C1043" i="2" s="1"/>
  <c r="C1044" i="2" a="1"/>
  <c r="C1044" i="2" s="1"/>
  <c r="C1052" i="2" a="1"/>
  <c r="C1052" i="2" s="1"/>
  <c r="C1053" i="2" a="1"/>
  <c r="C1053" i="2" s="1"/>
  <c r="C1054" i="2" a="1"/>
  <c r="C1054" i="2" s="1"/>
  <c r="C1055" i="2" a="1"/>
  <c r="C1055" i="2" s="1"/>
  <c r="C1063" i="2" a="1"/>
  <c r="C1063" i="2" s="1"/>
  <c r="C1064" i="2" a="1"/>
  <c r="C1064" i="2" s="1"/>
  <c r="C1065" i="2" a="1"/>
  <c r="C1065" i="2" s="1"/>
  <c r="C1066" i="2" a="1"/>
  <c r="C1066" i="2" s="1"/>
  <c r="C1067" i="2" a="1"/>
  <c r="C1067" i="2" s="1"/>
  <c r="C1068" i="2" a="1"/>
  <c r="C1068" i="2" s="1"/>
  <c r="C1075" i="2" a="1"/>
  <c r="C1075" i="2" s="1"/>
  <c r="C1076" i="2" a="1"/>
  <c r="C1076" i="2" s="1"/>
  <c r="C1077" i="2" a="1"/>
  <c r="C1077" i="2" s="1"/>
  <c r="C1078" i="2" a="1"/>
  <c r="C1078" i="2" s="1"/>
  <c r="C1079" i="2" a="1"/>
  <c r="C1079" i="2" s="1"/>
  <c r="C1080" i="2" a="1"/>
  <c r="C1080" i="2" s="1"/>
  <c r="C1081" i="2" a="1"/>
  <c r="C1081" i="2" s="1"/>
  <c r="C1082" i="2" a="1"/>
  <c r="C1082" i="2" s="1"/>
  <c r="C1083" i="2" a="1"/>
  <c r="C1083" i="2" s="1"/>
  <c r="C1087" i="2" a="1"/>
  <c r="C1087" i="2" s="1"/>
  <c r="C1088" i="2" a="1"/>
  <c r="C1088" i="2" s="1"/>
  <c r="C1089" i="2" a="1"/>
  <c r="C1089" i="2" s="1"/>
  <c r="C1090" i="2" a="1"/>
  <c r="C1090" i="2" s="1"/>
  <c r="C1091" i="2" a="1"/>
  <c r="C1091" i="2" s="1"/>
  <c r="C1092" i="2" a="1"/>
  <c r="C1092" i="2" s="1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11" i="2" a="1"/>
  <c r="C1111" i="2" s="1"/>
  <c r="C1112" i="2" a="1"/>
  <c r="C1112" i="2" s="1"/>
  <c r="C1113" i="2" a="1"/>
  <c r="C1113" i="2" s="1"/>
  <c r="C1114" i="2" a="1"/>
  <c r="C1114" i="2" s="1"/>
  <c r="C1115" i="2" a="1"/>
  <c r="C1115" i="2" s="1"/>
  <c r="C1123" i="2" a="1"/>
  <c r="C1123" i="2" s="1"/>
  <c r="C1124" i="2" a="1"/>
  <c r="C1124" i="2" s="1"/>
  <c r="C1125" i="2" a="1"/>
  <c r="C1125" i="2" s="1"/>
  <c r="C1126" i="2" a="1"/>
  <c r="C1126" i="2" s="1"/>
  <c r="C1127" i="2" a="1"/>
  <c r="C1127" i="2" s="1"/>
  <c r="C1129" i="2" a="1"/>
  <c r="C1129" i="2" s="1"/>
  <c r="C1135" i="2" a="1"/>
  <c r="C1135" i="2" s="1"/>
  <c r="C1136" i="2" a="1"/>
  <c r="C1136" i="2" s="1"/>
  <c r="C1137" i="2" a="1"/>
  <c r="C1137" i="2" s="1"/>
  <c r="C1138" i="2" a="1"/>
  <c r="C1138" i="2" s="1"/>
  <c r="C1139" i="2" a="1"/>
  <c r="C1139" i="2" s="1"/>
  <c r="C1143" i="2" a="1"/>
  <c r="C1143" i="2" s="1"/>
  <c r="C1144" i="2" a="1"/>
  <c r="C1144" i="2" s="1"/>
  <c r="C1145" i="2" a="1"/>
  <c r="C1145" i="2" s="1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 s="1"/>
  <c r="C1151" i="2" a="1"/>
  <c r="C1151" i="2" s="1"/>
  <c r="C1159" i="2" a="1"/>
  <c r="C1159" i="2" s="1"/>
  <c r="C1160" i="2" a="1"/>
  <c r="C1160" i="2" s="1"/>
  <c r="C1161" i="2" a="1"/>
  <c r="C1161" i="2" s="1"/>
  <c r="C1162" i="2" a="1"/>
  <c r="C1162" i="2" s="1"/>
  <c r="C1163" i="2" a="1"/>
  <c r="C1163" i="2" s="1"/>
  <c r="C1171" i="2" a="1"/>
  <c r="C1171" i="2" s="1"/>
  <c r="C1172" i="2" a="1"/>
  <c r="C1172" i="2" s="1"/>
  <c r="C1173" i="2" a="1"/>
  <c r="C1173" i="2" s="1"/>
  <c r="C1174" i="2" a="1"/>
  <c r="C1174" i="2" s="1"/>
  <c r="C1175" i="2" a="1"/>
  <c r="C1175" i="2" s="1"/>
  <c r="C1183" i="2" a="1"/>
  <c r="C1183" i="2" s="1"/>
  <c r="C1184" i="2" a="1"/>
  <c r="C1184" i="2" s="1"/>
  <c r="C1185" i="2" a="1"/>
  <c r="C1185" i="2" s="1"/>
  <c r="C1186" i="2" a="1"/>
  <c r="C1186" i="2" s="1"/>
  <c r="C1187" i="2" a="1"/>
  <c r="C1187" i="2" s="1"/>
  <c r="C1196" i="2" a="1"/>
  <c r="C1196" i="2" s="1"/>
  <c r="C1197" i="2" a="1"/>
  <c r="C1197" i="2" s="1"/>
  <c r="C1198" i="2" a="1"/>
  <c r="C1198" i="2" s="1"/>
  <c r="C1199" i="2" a="1"/>
  <c r="C1199" i="2" s="1"/>
  <c r="C1200" i="2" a="1"/>
  <c r="C1200" i="2" s="1"/>
  <c r="C1201" i="2" a="1"/>
  <c r="C1201" i="2" s="1"/>
  <c r="C1207" i="2" a="1"/>
  <c r="C1207" i="2" s="1"/>
  <c r="C1208" i="2" a="1"/>
  <c r="C1208" i="2" s="1"/>
  <c r="C1209" i="2" a="1"/>
  <c r="C1209" i="2" s="1"/>
  <c r="C1210" i="2" a="1"/>
  <c r="C1210" i="2" s="1"/>
  <c r="C1211" i="2" a="1"/>
  <c r="C1211" i="2" s="1"/>
  <c r="C1212" i="2" a="1"/>
  <c r="C1212" i="2" s="1"/>
  <c r="C1219" i="2" a="1"/>
  <c r="C1219" i="2" s="1"/>
  <c r="C1220" i="2" a="1"/>
  <c r="C1220" i="2" s="1"/>
  <c r="C1223" i="2" a="1"/>
  <c r="C1223" i="2" s="1"/>
  <c r="C1224" i="2" a="1"/>
  <c r="C1224" i="2" s="1"/>
  <c r="C1225" i="2" a="1"/>
  <c r="C1225" i="2" s="1"/>
  <c r="C1226" i="2" a="1"/>
  <c r="C1226" i="2" s="1"/>
  <c r="C1227" i="2" a="1"/>
  <c r="C1227" i="2" s="1"/>
  <c r="C1228" i="2" a="1"/>
  <c r="C1228" i="2" s="1"/>
  <c r="C1231" i="2" a="1"/>
  <c r="C1231" i="2" s="1"/>
  <c r="C1232" i="2" a="1"/>
  <c r="C1232" i="2" s="1"/>
  <c r="C1233" i="2" a="1"/>
  <c r="C1233" i="2" s="1"/>
  <c r="C1234" i="2" a="1"/>
  <c r="C1234" i="2" s="1"/>
  <c r="C1235" i="2" a="1"/>
  <c r="C1235" i="2" s="1"/>
  <c r="C1236" i="2" a="1"/>
  <c r="C1236" i="2" s="1"/>
  <c r="C1243" i="2" a="1"/>
  <c r="C1243" i="2" s="1"/>
  <c r="C1244" i="2" a="1"/>
  <c r="C1244" i="2" s="1"/>
  <c r="C1245" i="2" a="1"/>
  <c r="C1245" i="2" s="1"/>
  <c r="C1246" i="2" a="1"/>
  <c r="C1246" i="2" s="1"/>
  <c r="C1247" i="2" a="1"/>
  <c r="C1247" i="2" s="1"/>
  <c r="C1255" i="2" a="1"/>
  <c r="C1255" i="2" s="1"/>
  <c r="C1256" i="2" a="1"/>
  <c r="C1256" i="2" s="1"/>
  <c r="C1257" i="2" a="1"/>
  <c r="C1257" i="2" s="1"/>
  <c r="C1258" i="2" a="1"/>
  <c r="C1258" i="2" s="1"/>
  <c r="C1259" i="2" a="1"/>
  <c r="C1259" i="2" s="1"/>
  <c r="C1264" i="2" a="1"/>
  <c r="C1264" i="2" s="1"/>
  <c r="C1267" i="2" a="1"/>
  <c r="C1267" i="2" s="1"/>
  <c r="C1268" i="2" a="1"/>
  <c r="C1268" i="2" s="1"/>
  <c r="C1269" i="2" a="1"/>
  <c r="C1269" i="2" s="1"/>
  <c r="C1270" i="2" a="1"/>
  <c r="C1270" i="2" s="1"/>
  <c r="C1271" i="2" a="1"/>
  <c r="C1271" i="2" s="1"/>
  <c r="C1279" i="2" a="1"/>
  <c r="C1279" i="2" s="1"/>
  <c r="C1280" i="2" a="1"/>
  <c r="C1280" i="2" s="1"/>
  <c r="C1281" i="2" a="1"/>
  <c r="C1281" i="2" s="1"/>
  <c r="C1282" i="2" a="1"/>
  <c r="C1282" i="2" s="1"/>
  <c r="C1283" i="2" a="1"/>
  <c r="C1283" i="2" s="1"/>
  <c r="C1291" i="2" a="1"/>
  <c r="C1291" i="2" s="1"/>
  <c r="C1292" i="2" a="1"/>
  <c r="C1292" i="2" s="1"/>
  <c r="C1293" i="2" a="1"/>
  <c r="C1293" i="2" s="1"/>
  <c r="C1294" i="2" a="1"/>
  <c r="C1294" i="2" s="1"/>
  <c r="C1295" i="2" a="1"/>
  <c r="C1295" i="2" s="1"/>
  <c r="C1303" i="2" a="1"/>
  <c r="C1303" i="2" s="1"/>
  <c r="C1304" i="2" a="1"/>
  <c r="C1304" i="2" s="1"/>
  <c r="C1305" i="2" a="1"/>
  <c r="C1305" i="2" s="1"/>
  <c r="C1306" i="2" a="1"/>
  <c r="C1306" i="2" s="1"/>
  <c r="C1307" i="2" a="1"/>
  <c r="C1307" i="2" s="1"/>
  <c r="C1308" i="2" a="1"/>
  <c r="C1308" i="2" s="1"/>
  <c r="C1315" i="2" a="1"/>
  <c r="C1315" i="2" s="1"/>
  <c r="C1316" i="2" a="1"/>
  <c r="C1316" i="2" s="1"/>
  <c r="C1317" i="2" a="1"/>
  <c r="C1317" i="2" s="1"/>
  <c r="C1318" i="2" a="1"/>
  <c r="C1318" i="2" s="1"/>
  <c r="C1319" i="2" a="1"/>
  <c r="C1319" i="2" s="1"/>
  <c r="C1321" i="2" a="1"/>
  <c r="C1321" i="2" s="1"/>
  <c r="C1322" i="2" a="1"/>
  <c r="C1322" i="2" s="1"/>
  <c r="C1327" i="2" a="1"/>
  <c r="C1327" i="2" s="1"/>
  <c r="C1328" i="2" a="1"/>
  <c r="C1328" i="2" s="1"/>
  <c r="C1329" i="2" a="1"/>
  <c r="C1329" i="2" s="1"/>
  <c r="C1330" i="2" a="1"/>
  <c r="C1330" i="2" s="1"/>
  <c r="C1331" i="2" a="1"/>
  <c r="C1331" i="2" s="1"/>
  <c r="C1332" i="2" a="1"/>
  <c r="C1332" i="2" s="1"/>
  <c r="C1339" i="2" a="1"/>
  <c r="C1339" i="2" s="1"/>
  <c r="C1340" i="2" a="1"/>
  <c r="C1340" i="2" s="1"/>
  <c r="C1341" i="2" a="1"/>
  <c r="C1341" i="2" s="1"/>
  <c r="C1342" i="2" a="1"/>
  <c r="C1342" i="2" s="1"/>
  <c r="C1343" i="2" a="1"/>
  <c r="C1343" i="2" s="1"/>
  <c r="C1344" i="2" a="1"/>
  <c r="C1344" i="2" s="1"/>
  <c r="C1351" i="2" a="1"/>
  <c r="C1351" i="2" s="1"/>
  <c r="C1352" i="2" a="1"/>
  <c r="C1352" i="2" s="1"/>
  <c r="C1353" i="2" a="1"/>
  <c r="C1353" i="2" s="1"/>
  <c r="C1354" i="2" a="1"/>
  <c r="C1354" i="2" s="1"/>
  <c r="C1355" i="2" a="1"/>
  <c r="C1355" i="2" s="1"/>
  <c r="C1356" i="2" a="1"/>
  <c r="C1356" i="2" s="1"/>
  <c r="C1363" i="2" a="1"/>
  <c r="C1363" i="2" s="1"/>
  <c r="C1364" i="2" a="1"/>
  <c r="C1364" i="2" s="1"/>
  <c r="C1365" i="2" a="1"/>
  <c r="C1365" i="2" s="1"/>
  <c r="C1366" i="2" a="1"/>
  <c r="C1366" i="2" s="1"/>
  <c r="C1367" i="2" a="1"/>
  <c r="C1367" i="2" s="1"/>
  <c r="C1368" i="2" a="1"/>
  <c r="C1368" i="2" s="1"/>
  <c r="C1375" i="2" a="1"/>
  <c r="C1375" i="2" s="1"/>
  <c r="C1376" i="2" a="1"/>
  <c r="C1376" i="2" s="1"/>
  <c r="C1377" i="2" a="1"/>
  <c r="C1377" i="2" s="1"/>
  <c r="C1378" i="2" a="1"/>
  <c r="C1378" i="2" s="1"/>
  <c r="C1379" i="2" a="1"/>
  <c r="C1379" i="2" s="1"/>
  <c r="C1382" i="2" a="1"/>
  <c r="C1382" i="2" s="1"/>
  <c r="C1387" i="2" a="1"/>
  <c r="C1387" i="2" s="1"/>
  <c r="C1388" i="2" a="1"/>
  <c r="C1388" i="2" s="1"/>
  <c r="C1389" i="2" a="1"/>
  <c r="C1389" i="2" s="1"/>
  <c r="C1390" i="2" a="1"/>
  <c r="C1390" i="2" s="1"/>
  <c r="C1391" i="2" a="1"/>
  <c r="C1391" i="2" s="1"/>
  <c r="C1399" i="2" a="1"/>
  <c r="C1399" i="2" s="1"/>
  <c r="C1400" i="2" a="1"/>
  <c r="C1400" i="2" s="1"/>
  <c r="C1401" i="2" a="1"/>
  <c r="C1401" i="2" s="1"/>
  <c r="C1402" i="2" a="1"/>
  <c r="C1402" i="2" s="1"/>
  <c r="C1403" i="2" a="1"/>
  <c r="C1403" i="2" s="1"/>
  <c r="C1411" i="2" a="1"/>
  <c r="C1411" i="2" s="1"/>
  <c r="C1412" i="2" a="1"/>
  <c r="C1412" i="2" s="1"/>
  <c r="C1413" i="2" a="1"/>
  <c r="C1413" i="2" s="1"/>
  <c r="C1414" i="2" a="1"/>
  <c r="C1414" i="2" s="1"/>
  <c r="C1415" i="2" a="1"/>
  <c r="C1415" i="2" s="1"/>
  <c r="C1421" i="2" a="1"/>
  <c r="C1421" i="2" s="1"/>
  <c r="C1423" i="2" a="1"/>
  <c r="C1423" i="2" s="1"/>
  <c r="C1424" i="2" a="1"/>
  <c r="C1424" i="2" s="1"/>
  <c r="C1425" i="2" a="1"/>
  <c r="C1425" i="2" s="1"/>
  <c r="C1426" i="2" a="1"/>
  <c r="C1426" i="2" s="1"/>
  <c r="C1427" i="2" a="1"/>
  <c r="C1427" i="2" s="1"/>
  <c r="C1435" i="2" a="1"/>
  <c r="C1435" i="2" s="1"/>
  <c r="C1436" i="2" a="1"/>
  <c r="C1436" i="2" s="1"/>
  <c r="C1437" i="2" a="1"/>
  <c r="C1437" i="2" s="1"/>
  <c r="C1438" i="2" a="1"/>
  <c r="C1438" i="2" s="1"/>
  <c r="C1439" i="2" a="1"/>
  <c r="C1439" i="2" s="1"/>
  <c r="C1448" i="2" a="1"/>
  <c r="C1448" i="2" s="1"/>
  <c r="C1449" i="2" a="1"/>
  <c r="C1449" i="2" s="1"/>
  <c r="C1450" i="2" a="1"/>
  <c r="C1450" i="2" s="1"/>
  <c r="C1451" i="2" a="1"/>
  <c r="C1451" i="2" s="1"/>
  <c r="C1452" i="2" a="1"/>
  <c r="C1452" i="2" s="1"/>
  <c r="C1459" i="2" a="1"/>
  <c r="C1459" i="2" s="1"/>
  <c r="C1460" i="2" a="1"/>
  <c r="C1460" i="2" s="1"/>
  <c r="C1461" i="2" a="1"/>
  <c r="C1461" i="2" s="1"/>
  <c r="C1462" i="2" a="1"/>
  <c r="C1462" i="2" s="1"/>
  <c r="C1463" i="2" a="1"/>
  <c r="C1463" i="2" s="1"/>
  <c r="C1464" i="2" a="1"/>
  <c r="C1471" i="2" a="1"/>
  <c r="C1471" i="2" s="1"/>
  <c r="C1472" i="2" a="1"/>
  <c r="C1472" i="2" s="1"/>
  <c r="C1473" i="2" a="1"/>
  <c r="C1473" i="2" s="1"/>
  <c r="C1474" i="2" a="1"/>
  <c r="C1474" i="2" s="1"/>
  <c r="C1475" i="2" a="1"/>
  <c r="C1475" i="2" s="1"/>
  <c r="C1477" i="2" a="1"/>
  <c r="C1477" i="2" s="1"/>
  <c r="C1478" i="2" a="1"/>
  <c r="C1478" i="2" s="1"/>
  <c r="C1483" i="2" a="1"/>
  <c r="C1483" i="2" s="1"/>
  <c r="C1484" i="2" a="1"/>
  <c r="C1484" i="2" s="1"/>
  <c r="C1485" i="2" a="1"/>
  <c r="C1485" i="2" s="1"/>
  <c r="C1486" i="2" a="1"/>
  <c r="C1486" i="2" s="1"/>
  <c r="C1487" i="2" a="1"/>
  <c r="C1487" i="2" s="1"/>
  <c r="C1488" i="2" a="1"/>
  <c r="C1488" i="2" s="1"/>
  <c r="C1489" i="2" a="1"/>
  <c r="C1489" i="2" s="1"/>
  <c r="C1491" i="2" a="1"/>
  <c r="C1491" i="2" s="1"/>
  <c r="C1492" i="2" a="1"/>
  <c r="C1492" i="2" s="1"/>
  <c r="C1495" i="2" a="1"/>
  <c r="C1495" i="2" s="1"/>
  <c r="C1496" i="2" a="1"/>
  <c r="C1496" i="2" s="1"/>
  <c r="C1497" i="2" a="1"/>
  <c r="C1497" i="2" s="1"/>
  <c r="C1498" i="2" a="1"/>
  <c r="C1498" i="2" s="1"/>
  <c r="C1499" i="2" a="1"/>
  <c r="C1499" i="2" s="1"/>
  <c r="C1500" i="2" a="1"/>
  <c r="C1500" i="2" s="1"/>
  <c r="C1501" i="2" a="1"/>
  <c r="C1501" i="2" s="1"/>
  <c r="C1502" i="2" a="1"/>
  <c r="C1502" i="2" s="1"/>
  <c r="C1503" i="2" a="1"/>
  <c r="C1503" i="2" s="1"/>
  <c r="C1504" i="2" a="1"/>
  <c r="C1504" i="2" s="1"/>
  <c r="C1507" i="2" a="1"/>
  <c r="C1507" i="2" s="1"/>
  <c r="C1508" i="2" a="1"/>
  <c r="C1508" i="2" s="1"/>
  <c r="C1509" i="2" a="1"/>
  <c r="C1509" i="2" s="1"/>
  <c r="C1510" i="2" a="1"/>
  <c r="C1510" i="2" s="1"/>
  <c r="C1511" i="2" a="1"/>
  <c r="C1511" i="2" s="1"/>
  <c r="C1519" i="2" a="1"/>
  <c r="C1519" i="2" s="1"/>
  <c r="C1520" i="2" a="1"/>
  <c r="C1520" i="2" s="1"/>
  <c r="C1521" i="2" a="1"/>
  <c r="C1521" i="2" s="1"/>
  <c r="C1522" i="2" a="1"/>
  <c r="C1522" i="2" s="1"/>
  <c r="C1523" i="2" a="1"/>
  <c r="C1523" i="2" s="1"/>
  <c r="C1532" i="2" a="1"/>
  <c r="C1532" i="2" s="1"/>
  <c r="C1533" i="2" a="1"/>
  <c r="C1533" i="2" s="1"/>
  <c r="C1534" i="2" a="1"/>
  <c r="C1534" i="2" s="1"/>
  <c r="C1535" i="2" a="1"/>
  <c r="C1535" i="2" s="1"/>
  <c r="C1541" i="2" a="1"/>
  <c r="C1541" i="2" s="1"/>
  <c r="C1542" i="2" a="1"/>
  <c r="C1542" i="2" s="1"/>
  <c r="C1543" i="2" a="1"/>
  <c r="C1543" i="2" s="1"/>
  <c r="C1544" i="2" a="1"/>
  <c r="C1544" i="2" s="1"/>
  <c r="C1545" i="2" a="1"/>
  <c r="C1545" i="2" s="1"/>
  <c r="C1546" i="2" a="1"/>
  <c r="C1546" i="2" s="1"/>
  <c r="C1547" i="2" a="1"/>
  <c r="C1547" i="2" s="1"/>
  <c r="C1555" i="2" a="1"/>
  <c r="C1555" i="2" s="1"/>
  <c r="C1556" i="2" a="1"/>
  <c r="C1556" i="2" s="1"/>
  <c r="C1557" i="2" a="1"/>
  <c r="C1557" i="2" s="1"/>
  <c r="C1558" i="2" a="1"/>
  <c r="C1558" i="2" s="1"/>
  <c r="C1559" i="2" a="1"/>
  <c r="C1559" i="2" s="1"/>
  <c r="C1560" i="2" a="1"/>
  <c r="C1560" i="2" s="1"/>
  <c r="C1561" i="2" a="1"/>
  <c r="C1561" i="2" s="1"/>
  <c r="C1567" i="2" a="1"/>
  <c r="C1567" i="2" s="1"/>
  <c r="C1568" i="2" a="1"/>
  <c r="C1568" i="2" s="1"/>
  <c r="C1569" i="2" a="1"/>
  <c r="C1569" i="2" s="1"/>
  <c r="C1570" i="2" a="1"/>
  <c r="C1570" i="2" s="1"/>
  <c r="C1571" i="2" a="1"/>
  <c r="C1571" i="2" s="1"/>
  <c r="C1572" i="2" a="1"/>
  <c r="C1572" i="2" s="1"/>
  <c r="C1573" i="2" a="1"/>
  <c r="C1573" i="2" s="1"/>
  <c r="C1574" i="2" a="1"/>
  <c r="C1574" i="2" s="1"/>
  <c r="C1576" i="2" a="1"/>
  <c r="C1576" i="2" s="1"/>
  <c r="C1579" i="2" a="1"/>
  <c r="C1579" i="2" s="1"/>
  <c r="C1580" i="2" a="1"/>
  <c r="C1580" i="2" s="1"/>
  <c r="C1581" i="2" a="1"/>
  <c r="C1581" i="2" s="1"/>
  <c r="C1582" i="2" a="1"/>
  <c r="C1582" i="2" s="1"/>
  <c r="C1583" i="2" a="1"/>
  <c r="C1583" i="2" s="1"/>
  <c r="C1584" i="2" a="1"/>
  <c r="C1584" i="2" s="1"/>
  <c r="C1592" i="2" a="1"/>
  <c r="C1592" i="2" s="1"/>
  <c r="C1593" i="2" a="1"/>
  <c r="C1593" i="2" s="1"/>
  <c r="C1594" i="2" a="1"/>
  <c r="C1594" i="2" s="1"/>
  <c r="C1595" i="2" a="1"/>
  <c r="C1595" i="2" s="1"/>
  <c r="C1596" i="2" a="1"/>
  <c r="C1596" i="2" s="1"/>
  <c r="C1603" i="2" a="1"/>
  <c r="C1603" i="2" s="1"/>
  <c r="C1604" i="2" a="1"/>
  <c r="C1604" i="2" s="1"/>
  <c r="C1605" i="2" a="1"/>
  <c r="C1605" i="2" s="1"/>
  <c r="C1606" i="2" a="1"/>
  <c r="C1606" i="2" s="1"/>
  <c r="C1607" i="2" a="1"/>
  <c r="C1607" i="2" s="1"/>
  <c r="C1616" i="2" a="1"/>
  <c r="C1616" i="2" s="1"/>
  <c r="C1617" i="2" a="1"/>
  <c r="C1617" i="2" s="1"/>
  <c r="C1618" i="2" a="1"/>
  <c r="C1618" i="2" s="1"/>
  <c r="C1619" i="2" a="1"/>
  <c r="C1619" i="2" s="1"/>
  <c r="C1627" i="2" a="1"/>
  <c r="C1627" i="2" s="1"/>
  <c r="C1628" i="2" a="1"/>
  <c r="C1628" i="2" s="1"/>
  <c r="C1629" i="2" a="1"/>
  <c r="C1629" i="2" s="1"/>
  <c r="C1630" i="2" a="1"/>
  <c r="C1630" i="2" s="1"/>
  <c r="C1631" i="2" a="1"/>
  <c r="C1631" i="2" s="1"/>
  <c r="C1639" i="2" a="1"/>
  <c r="C1639" i="2" s="1"/>
  <c r="C1640" i="2" a="1"/>
  <c r="C1640" i="2" s="1"/>
  <c r="C1641" i="2" a="1"/>
  <c r="C1641" i="2" s="1"/>
  <c r="C1642" i="2" a="1"/>
  <c r="C1642" i="2" s="1"/>
  <c r="C1643" i="2" a="1"/>
  <c r="C1643" i="2" s="1"/>
  <c r="C1645" i="2" a="1"/>
  <c r="C1645" i="2" s="1"/>
  <c r="C1651" i="2" a="1"/>
  <c r="C1651" i="2" s="1"/>
  <c r="C1652" i="2" a="1"/>
  <c r="C1652" i="2" s="1"/>
  <c r="C1655" i="2" a="1"/>
  <c r="C1655" i="2" s="1"/>
  <c r="C1656" i="2" a="1"/>
  <c r="C1656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 s="1"/>
  <c r="C1675" i="2" a="1"/>
  <c r="C1675" i="2" s="1"/>
  <c r="C1676" i="2" a="1"/>
  <c r="C1676" i="2" s="1"/>
  <c r="C1677" i="2" a="1"/>
  <c r="C1677" i="2" s="1"/>
  <c r="C1678" i="2" a="1"/>
  <c r="C1678" i="2" s="1"/>
  <c r="C1679" i="2" a="1"/>
  <c r="C1679" i="2" s="1"/>
  <c r="C1685" i="2" a="1"/>
  <c r="C1685" i="2" s="1"/>
  <c r="C1688" i="2" a="1"/>
  <c r="C1688" i="2" s="1"/>
  <c r="C1689" i="2" a="1"/>
  <c r="C1689" i="2" s="1"/>
  <c r="C1690" i="2" a="1"/>
  <c r="C1690" i="2" s="1"/>
  <c r="C1691" i="2" a="1"/>
  <c r="C1691" i="2" s="1"/>
  <c r="C1692" i="2" a="1"/>
  <c r="C1692" i="2" s="1"/>
  <c r="C1699" i="2" a="1"/>
  <c r="C1699" i="2" s="1"/>
  <c r="C1700" i="2" a="1"/>
  <c r="C1700" i="2" s="1"/>
  <c r="C1701" i="2" a="1"/>
  <c r="C1701" i="2" s="1"/>
  <c r="C1702" i="2" a="1"/>
  <c r="C1702" i="2" s="1"/>
  <c r="C1703" i="2" a="1"/>
  <c r="C1703" i="2" s="1"/>
  <c r="C1706" i="2" a="1"/>
  <c r="C1706" i="2" s="1"/>
  <c r="C1707" i="2" a="1"/>
  <c r="C1707" i="2" s="1"/>
  <c r="C1711" i="2" a="1"/>
  <c r="C1711" i="2" s="1"/>
  <c r="C1712" i="2" a="1"/>
  <c r="C1712" i="2" s="1"/>
  <c r="C1713" i="2" a="1"/>
  <c r="C1713" i="2" s="1"/>
  <c r="C1714" i="2" a="1"/>
  <c r="C1714" i="2" s="1"/>
  <c r="C1715" i="2" a="1"/>
  <c r="C1715" i="2" s="1"/>
  <c r="C1716" i="2" a="1"/>
  <c r="C1716" i="2" s="1"/>
  <c r="C1717" i="2" a="1"/>
  <c r="C1717" i="2" s="1"/>
  <c r="C1723" i="2" a="1"/>
  <c r="C1723" i="2" s="1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35" i="2" a="1"/>
  <c r="C1735" i="2" s="1"/>
  <c r="C1736" i="2" a="1"/>
  <c r="C1736" i="2" s="1"/>
  <c r="C1737" i="2" a="1"/>
  <c r="C1737" i="2" s="1"/>
  <c r="C1738" i="2" a="1"/>
  <c r="C1738" i="2" s="1"/>
  <c r="C1739" i="2" a="1"/>
  <c r="C1739" i="2" s="1"/>
  <c r="C1740" i="2" a="1"/>
  <c r="C1740" i="2" s="1"/>
  <c r="C1747" i="2" a="1"/>
  <c r="C1747" i="2" s="1"/>
  <c r="C1748" i="2" a="1"/>
  <c r="C1748" i="2" s="1"/>
  <c r="C1749" i="2" a="1"/>
  <c r="C1749" i="2" s="1"/>
  <c r="C1750" i="2" a="1"/>
  <c r="C1750" i="2" s="1"/>
  <c r="C1751" i="2" a="1"/>
  <c r="C1751" i="2" s="1"/>
  <c r="C1759" i="2" a="1"/>
  <c r="C1759" i="2" s="1"/>
  <c r="C1761" i="2" a="1"/>
  <c r="C1761" i="2" s="1"/>
  <c r="C1762" i="2" a="1"/>
  <c r="C1762" i="2" s="1"/>
  <c r="C1763" i="2" a="1"/>
  <c r="C1763" i="2" s="1"/>
  <c r="C1771" i="2" a="1"/>
  <c r="C1771" i="2" s="1"/>
  <c r="C1772" i="2" a="1"/>
  <c r="C1772" i="2" s="1"/>
  <c r="C1774" i="2" a="1"/>
  <c r="C1774" i="2" s="1"/>
  <c r="C1775" i="2" a="1"/>
  <c r="C1775" i="2" s="1"/>
  <c r="C1776" i="2" a="1"/>
  <c r="C1776" i="2" s="1"/>
  <c r="C1783" i="2" a="1"/>
  <c r="C1783" i="2" s="1"/>
  <c r="C1784" i="2" a="1"/>
  <c r="C1786" i="2" a="1"/>
  <c r="C1786" i="2" s="1"/>
  <c r="C1787" i="2" a="1"/>
  <c r="C1787" i="2" s="1"/>
  <c r="C1788" i="2" a="1"/>
  <c r="C1788" i="2" s="1"/>
  <c r="C1789" i="2" a="1"/>
  <c r="C1789" i="2" s="1"/>
  <c r="C1790" i="2" a="1"/>
  <c r="C1790" i="2" s="1"/>
  <c r="C1791" i="2" a="1"/>
  <c r="C1791" i="2" s="1"/>
  <c r="C1792" i="2" a="1"/>
  <c r="C1792" i="2" s="1"/>
  <c r="C1795" i="2" a="1"/>
  <c r="C1795" i="2" s="1"/>
  <c r="C1796" i="2" a="1"/>
  <c r="C1796" i="2" s="1"/>
  <c r="C1798" i="2" a="1"/>
  <c r="C1798" i="2" s="1"/>
  <c r="C1799" i="2" a="1"/>
  <c r="C1799" i="2" s="1"/>
  <c r="C1800" i="2" a="1"/>
  <c r="C1800" i="2" s="1"/>
  <c r="C1807" i="2" a="1"/>
  <c r="C1807" i="2" s="1"/>
  <c r="C1808" i="2" a="1"/>
  <c r="C1808" i="2" s="1"/>
  <c r="C1810" i="2" a="1"/>
  <c r="C1810" i="2" s="1"/>
  <c r="C1811" i="2" a="1"/>
  <c r="C1811" i="2" s="1"/>
  <c r="C1819" i="2" a="1"/>
  <c r="C1819" i="2" s="1"/>
  <c r="C1820" i="2" a="1"/>
  <c r="C1820" i="2" s="1"/>
  <c r="C1821" i="2" a="1"/>
  <c r="C1821" i="2" s="1"/>
  <c r="C1822" i="2" a="1"/>
  <c r="C1822" i="2" s="1"/>
  <c r="C1823" i="2" a="1"/>
  <c r="C1823" i="2" s="1"/>
  <c r="C1828" i="2" a="1"/>
  <c r="C1828" i="2" s="1"/>
  <c r="C1831" i="2" a="1"/>
  <c r="C1831" i="2" s="1"/>
  <c r="C1832" i="2" a="1"/>
  <c r="C1832" i="2" s="1"/>
  <c r="C1833" i="2" a="1"/>
  <c r="C1833" i="2" s="1"/>
  <c r="C1834" i="2" a="1"/>
  <c r="C1834" i="2" s="1"/>
  <c r="C1835" i="2" a="1"/>
  <c r="C1835" i="2" s="1"/>
  <c r="C1836" i="2" a="1"/>
  <c r="C1836" i="2" s="1"/>
  <c r="C1843" i="2" a="1"/>
  <c r="C1844" i="2" a="1"/>
  <c r="C1844" i="2" s="1"/>
  <c r="C1845" i="2" a="1"/>
  <c r="C1845" i="2" s="1"/>
  <c r="C1846" i="2" a="1"/>
  <c r="C1846" i="2" s="1"/>
  <c r="C1847" i="2" a="1"/>
  <c r="C1847" i="2" s="1"/>
  <c r="C1849" i="2" a="1"/>
  <c r="C1849" i="2" s="1"/>
  <c r="C1850" i="2" a="1"/>
  <c r="C1850" i="2" s="1"/>
  <c r="C1852" i="2" a="1"/>
  <c r="C1852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 s="1"/>
  <c r="C1860" i="2" a="1"/>
  <c r="C1860" i="2" s="1"/>
  <c r="C1861" i="2" a="1"/>
  <c r="C1861" i="2" s="1"/>
  <c r="C1862" i="2" a="1"/>
  <c r="C1862" i="2" s="1"/>
  <c r="C1867" i="2" a="1"/>
  <c r="C1867" i="2" s="1"/>
  <c r="C1868" i="2" a="1"/>
  <c r="C1868" i="2" s="1"/>
  <c r="C1869" i="2" a="1"/>
  <c r="C1869" i="2" s="1"/>
  <c r="C1870" i="2" a="1"/>
  <c r="C1870" i="2" s="1"/>
  <c r="C1871" i="2" a="1"/>
  <c r="C1871" i="2" s="1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 s="1"/>
  <c r="C1891" i="2" a="1"/>
  <c r="C1891" i="2" s="1"/>
  <c r="C1892" i="2" a="1"/>
  <c r="C1892" i="2" s="1"/>
  <c r="C1893" i="2" a="1"/>
  <c r="C1893" i="2" s="1"/>
  <c r="C1894" i="2" a="1"/>
  <c r="C1894" i="2" s="1"/>
  <c r="C1895" i="2" a="1"/>
  <c r="C1895" i="2" s="1"/>
  <c r="C1896" i="2" a="1"/>
  <c r="C1896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 s="1"/>
  <c r="C1909" i="2" a="1"/>
  <c r="C1909" i="2" s="1"/>
  <c r="C1910" i="2" a="1"/>
  <c r="C1910" i="2" s="1"/>
  <c r="C1915" i="2" a="1"/>
  <c r="C1915" i="2" s="1"/>
  <c r="C1916" i="2" a="1"/>
  <c r="C1916" i="2" s="1"/>
  <c r="C1917" i="2" a="1"/>
  <c r="C1917" i="2" s="1"/>
  <c r="C1918" i="2" a="1"/>
  <c r="C1918" i="2" s="1"/>
  <c r="C1919" i="2" a="1"/>
  <c r="C1919" i="2" s="1"/>
  <c r="C1927" i="2" a="1"/>
  <c r="C1927" i="2" s="1"/>
  <c r="C1928" i="2" a="1"/>
  <c r="C1928" i="2" s="1"/>
  <c r="C1929" i="2" a="1"/>
  <c r="C1929" i="2" s="1"/>
  <c r="C1930" i="2" a="1"/>
  <c r="C1930" i="2" s="1"/>
  <c r="C1931" i="2" a="1"/>
  <c r="C1931" i="2" s="1"/>
  <c r="C1939" i="2" a="1"/>
  <c r="C1939" i="2" s="1"/>
  <c r="C1940" i="2" a="1"/>
  <c r="C1940" i="2" s="1"/>
  <c r="C1942" i="2" a="1"/>
  <c r="C1942" i="2" s="1"/>
  <c r="C1943" i="2" a="1"/>
  <c r="C1943" i="2" s="1"/>
  <c r="C1944" i="2" a="1"/>
  <c r="C1944" i="2" s="1"/>
  <c r="C1945" i="2" a="1"/>
  <c r="C1945" i="2" s="1"/>
  <c r="C1951" i="2" a="1"/>
  <c r="C1952" i="2" a="1"/>
  <c r="C1953" i="2" a="1"/>
  <c r="C1953" i="2" s="1"/>
  <c r="C1954" i="2" a="1"/>
  <c r="C1954" i="2" s="1"/>
  <c r="C1955" i="2" a="1"/>
  <c r="C1955" i="2" s="1"/>
  <c r="C1957" i="2" a="1"/>
  <c r="C1957" i="2" s="1"/>
  <c r="C1958" i="2" a="1"/>
  <c r="C1958" i="2" s="1"/>
  <c r="C1961" i="2" a="1"/>
  <c r="C1961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 s="1"/>
  <c r="C1975" i="2" a="1"/>
  <c r="C1975" i="2" s="1"/>
  <c r="C1976" i="2" a="1"/>
  <c r="C1976" i="2" s="1"/>
  <c r="C1977" i="2" a="1"/>
  <c r="C1977" i="2" s="1"/>
  <c r="C1978" i="2" a="1"/>
  <c r="C1978" i="2" s="1"/>
  <c r="C1979" i="2" a="1"/>
  <c r="C1979" i="2" s="1"/>
  <c r="C1980" i="2" a="1"/>
  <c r="C1980" i="2" s="1"/>
  <c r="C1981" i="2" a="1"/>
  <c r="C1981" i="2" s="1"/>
  <c r="C1989" i="2" a="1"/>
  <c r="C1989" i="2" s="1"/>
  <c r="C1990" i="2" a="1"/>
  <c r="C1990" i="2" s="1"/>
  <c r="C1991" i="2" a="1"/>
  <c r="C1991" i="2" s="1"/>
  <c r="C1999" i="2" a="1"/>
  <c r="C1999" i="2" s="1"/>
  <c r="C2000" i="2" a="1"/>
  <c r="C2000" i="2" s="1"/>
  <c r="C2001" i="2" a="1"/>
  <c r="C2001" i="2" s="1"/>
  <c r="C2002" i="2" a="1"/>
  <c r="C2002" i="2" s="1"/>
  <c r="C2003" i="2" a="1"/>
  <c r="C2003" i="2" s="1"/>
  <c r="C2011" i="2" a="1"/>
  <c r="C2011" i="2" s="1"/>
  <c r="C2012" i="2" a="1"/>
  <c r="C2012" i="2" s="1"/>
  <c r="C2013" i="2" a="1"/>
  <c r="C2013" i="2" s="1"/>
  <c r="C2014" i="2" a="1"/>
  <c r="C2014" i="2" s="1"/>
  <c r="C2015" i="2" a="1"/>
  <c r="C2015" i="2" s="1"/>
  <c r="C2023" i="2" a="1"/>
  <c r="C2023" i="2" s="1"/>
  <c r="C2024" i="2" a="1"/>
  <c r="C2024" i="2" s="1"/>
  <c r="C2025" i="2" a="1"/>
  <c r="C2025" i="2" s="1"/>
  <c r="C2026" i="2" a="1"/>
  <c r="C2026" i="2" s="1"/>
  <c r="C2027" i="2" a="1"/>
  <c r="C2027" i="2" s="1"/>
  <c r="C2035" i="2" a="1"/>
  <c r="C2035" i="2" s="1"/>
  <c r="C2036" i="2" a="1"/>
  <c r="C2036" i="2" s="1"/>
  <c r="C2037" i="2" a="1"/>
  <c r="C2037" i="2" s="1"/>
  <c r="C2038" i="2" a="1"/>
  <c r="C2038" i="2" s="1"/>
  <c r="C2039" i="2" a="1"/>
  <c r="C2039" i="2" s="1"/>
  <c r="C2041" i="2" a="1"/>
  <c r="C2041" i="2" s="1"/>
  <c r="C2042" i="2" a="1"/>
  <c r="C2042" i="2" s="1"/>
  <c r="C2047" i="2" a="1"/>
  <c r="C2047" i="2" s="1"/>
  <c r="C2048" i="2" a="1"/>
  <c r="C2048" i="2" s="1"/>
  <c r="R2" i="2" a="1"/>
  <c r="S26" i="2" s="1"/>
  <c r="J2" i="2" a="1"/>
  <c r="J2" i="2" s="1"/>
  <c r="K2" i="2" a="1"/>
  <c r="K2" i="2" s="1"/>
  <c r="L2" i="2" a="1"/>
  <c r="L2" i="2" s="1"/>
  <c r="M2" i="2" a="1"/>
  <c r="M2" i="2" s="1"/>
  <c r="I2" i="2" a="1"/>
  <c r="I2" i="2" s="1"/>
  <c r="H2" i="2" a="1"/>
  <c r="H2" i="2" s="1"/>
  <c r="F2" i="2" a="1"/>
  <c r="F949" i="2" s="1"/>
  <c r="E2" i="2" a="1"/>
  <c r="E343" i="2" s="1"/>
  <c r="D2" i="2" a="1"/>
  <c r="D170" i="2" s="1"/>
  <c r="B2" i="2" a="1"/>
  <c r="A2" i="2" a="1"/>
  <c r="A881" i="2" s="1"/>
  <c r="O6" i="2" l="1" a="1"/>
  <c r="O6" i="2" s="1"/>
  <c r="S831" i="2"/>
  <c r="S796" i="2"/>
  <c r="S770" i="2"/>
  <c r="S735" i="2"/>
  <c r="S316" i="2"/>
  <c r="S698" i="2"/>
  <c r="C698" i="2" s="1" a="1"/>
  <c r="C698" i="2" s="1"/>
  <c r="S279" i="2"/>
  <c r="S670" i="2"/>
  <c r="C670" i="2" s="1" a="1"/>
  <c r="C670" i="2" s="1"/>
  <c r="S242" i="2"/>
  <c r="C242" i="2" s="1" a="1"/>
  <c r="C242" i="2" s="1"/>
  <c r="S173" i="2"/>
  <c r="C173" i="2" s="1" a="1"/>
  <c r="C173" i="2" s="1"/>
  <c r="S565" i="2"/>
  <c r="C565" i="2" s="1" a="1"/>
  <c r="C565" i="2" s="1"/>
  <c r="S136" i="2"/>
  <c r="C136" i="2" s="1" a="1"/>
  <c r="C136" i="2" s="1"/>
  <c r="S629" i="2"/>
  <c r="S592" i="2"/>
  <c r="S527" i="2"/>
  <c r="S99" i="2"/>
  <c r="S892" i="2"/>
  <c r="C892" i="2" s="1" a="1"/>
  <c r="C892" i="2" s="1"/>
  <c r="S490" i="2"/>
  <c r="C490" i="2" s="1" a="1"/>
  <c r="C490" i="2" s="1"/>
  <c r="S71" i="2"/>
  <c r="C71" i="2" s="1" a="1"/>
  <c r="C71" i="2" s="1"/>
  <c r="S422" i="2"/>
  <c r="C422" i="2" s="1" a="1"/>
  <c r="C422" i="2" s="1"/>
  <c r="S385" i="2"/>
  <c r="C385" i="2" s="1" a="1"/>
  <c r="C385" i="2" s="1"/>
  <c r="S347" i="2"/>
  <c r="C347" i="2" s="1" a="1"/>
  <c r="C347" i="2" s="1"/>
  <c r="S205" i="2"/>
  <c r="C205" i="2" s="1" a="1"/>
  <c r="C205" i="2" s="1"/>
  <c r="S857" i="2"/>
  <c r="C857" i="2" s="1" a="1"/>
  <c r="C857" i="2" s="1"/>
  <c r="S449" i="2"/>
  <c r="S51" i="2"/>
  <c r="S58" i="2"/>
  <c r="S975" i="2"/>
  <c r="S940" i="2"/>
  <c r="S914" i="2"/>
  <c r="C914" i="2" s="1" a="1"/>
  <c r="C914" i="2" s="1"/>
  <c r="S879" i="2"/>
  <c r="S853" i="2"/>
  <c r="C853" i="2" s="1" a="1"/>
  <c r="C853" i="2" s="1"/>
  <c r="S818" i="2"/>
  <c r="C818" i="2" s="1" a="1"/>
  <c r="C818" i="2" s="1"/>
  <c r="S791" i="2"/>
  <c r="C791" i="2" s="1" a="1"/>
  <c r="C791" i="2" s="1"/>
  <c r="S757" i="2"/>
  <c r="C757" i="2" s="1" a="1"/>
  <c r="C757" i="2" s="1"/>
  <c r="S730" i="2"/>
  <c r="C730" i="2" s="1" a="1"/>
  <c r="C730" i="2" s="1"/>
  <c r="S689" i="2"/>
  <c r="C689" i="2" s="1" a="1"/>
  <c r="C689" i="2" s="1"/>
  <c r="S652" i="2"/>
  <c r="S615" i="2"/>
  <c r="S587" i="2"/>
  <c r="S550" i="2"/>
  <c r="S509" i="2"/>
  <c r="S482" i="2"/>
  <c r="C482" i="2" s="1" a="1"/>
  <c r="C482" i="2" s="1"/>
  <c r="S445" i="2"/>
  <c r="C445" i="2" s="1" a="1"/>
  <c r="C445" i="2" s="1"/>
  <c r="S407" i="2"/>
  <c r="C407" i="2" s="1" a="1"/>
  <c r="C407" i="2" s="1"/>
  <c r="S370" i="2"/>
  <c r="C370" i="2" s="1" a="1"/>
  <c r="C370" i="2" s="1"/>
  <c r="S339" i="2"/>
  <c r="C339" i="2" s="1" a="1"/>
  <c r="C339" i="2" s="1"/>
  <c r="S302" i="2"/>
  <c r="C302" i="2" s="1" a="1"/>
  <c r="C302" i="2" s="1"/>
  <c r="S265" i="2"/>
  <c r="C265" i="2" s="1" a="1"/>
  <c r="C265" i="2" s="1"/>
  <c r="S233" i="2"/>
  <c r="S196" i="2"/>
  <c r="S159" i="2"/>
  <c r="S122" i="2"/>
  <c r="S94" i="2"/>
  <c r="S53" i="2"/>
  <c r="S52" i="2"/>
  <c r="C52" i="2" s="1" a="1"/>
  <c r="C52" i="2" s="1"/>
  <c r="S964" i="2"/>
  <c r="S938" i="2"/>
  <c r="C938" i="2" s="1" a="1"/>
  <c r="C938" i="2" s="1"/>
  <c r="S903" i="2"/>
  <c r="C903" i="2" s="1" a="1"/>
  <c r="C903" i="2" s="1"/>
  <c r="S877" i="2"/>
  <c r="C877" i="2" s="1" a="1"/>
  <c r="C877" i="2" s="1"/>
  <c r="S842" i="2"/>
  <c r="C842" i="2" s="1" a="1"/>
  <c r="C842" i="2" s="1"/>
  <c r="S815" i="2"/>
  <c r="S781" i="2"/>
  <c r="S754" i="2"/>
  <c r="S718" i="2"/>
  <c r="C718" i="2" s="1" a="1"/>
  <c r="C718" i="2" s="1"/>
  <c r="S687" i="2"/>
  <c r="C687" i="2" s="1" a="1"/>
  <c r="C687" i="2" s="1"/>
  <c r="S650" i="2"/>
  <c r="C650" i="2" s="1" a="1"/>
  <c r="C650" i="2" s="1"/>
  <c r="S613" i="2"/>
  <c r="C613" i="2" s="1" a="1"/>
  <c r="C613" i="2" s="1"/>
  <c r="S575" i="2"/>
  <c r="C575" i="2" s="1" a="1"/>
  <c r="C575" i="2" s="1"/>
  <c r="S544" i="2"/>
  <c r="C544" i="2" s="1" a="1"/>
  <c r="C544" i="2" s="1"/>
  <c r="S507" i="2"/>
  <c r="C507" i="2" s="1" a="1"/>
  <c r="C507" i="2" s="1"/>
  <c r="S470" i="2"/>
  <c r="C470" i="2" s="1" a="1"/>
  <c r="C470" i="2" s="1"/>
  <c r="S442" i="2"/>
  <c r="C442" i="2" s="1" a="1"/>
  <c r="C442" i="2" s="1"/>
  <c r="S401" i="2"/>
  <c r="S364" i="2"/>
  <c r="S327" i="2"/>
  <c r="S299" i="2"/>
  <c r="S262" i="2"/>
  <c r="S221" i="2"/>
  <c r="S194" i="2"/>
  <c r="C194" i="2" s="1" a="1"/>
  <c r="C194" i="2" s="1"/>
  <c r="S157" i="2"/>
  <c r="C157" i="2" s="1" a="1"/>
  <c r="C157" i="2" s="1"/>
  <c r="S119" i="2"/>
  <c r="C119" i="2" s="1" a="1"/>
  <c r="C119" i="2" s="1"/>
  <c r="S82" i="2"/>
  <c r="C82" i="2" s="1" a="1"/>
  <c r="C82" i="2" s="1"/>
  <c r="S998" i="2"/>
  <c r="C998" i="2" s="1" a="1"/>
  <c r="C998" i="2" s="1"/>
  <c r="S875" i="2"/>
  <c r="C875" i="2" s="1" a="1"/>
  <c r="C875" i="2" s="1"/>
  <c r="S749" i="2"/>
  <c r="S611" i="2"/>
  <c r="S469" i="2"/>
  <c r="S298" i="2"/>
  <c r="C298" i="2" s="1" a="1"/>
  <c r="C298" i="2" s="1"/>
  <c r="S183" i="2"/>
  <c r="S118" i="2"/>
  <c r="S50" i="2"/>
  <c r="C50" i="2" s="1" a="1"/>
  <c r="C50" i="2" s="1"/>
  <c r="S18" i="2"/>
  <c r="C18" i="2" s="1" a="1"/>
  <c r="C18" i="2" s="1"/>
  <c r="S997" i="2"/>
  <c r="C997" i="2" s="1" a="1"/>
  <c r="C997" i="2" s="1"/>
  <c r="S962" i="2"/>
  <c r="C962" i="2" s="1" a="1"/>
  <c r="C962" i="2" s="1"/>
  <c r="S935" i="2"/>
  <c r="C935" i="2" s="1" a="1"/>
  <c r="C935" i="2" s="1"/>
  <c r="S901" i="2"/>
  <c r="C901" i="2" s="1" a="1"/>
  <c r="C901" i="2" s="1"/>
  <c r="S874" i="2"/>
  <c r="S839" i="2"/>
  <c r="S809" i="2"/>
  <c r="S778" i="2"/>
  <c r="S748" i="2"/>
  <c r="C748" i="2" s="1" a="1"/>
  <c r="C748" i="2" s="1"/>
  <c r="S712" i="2"/>
  <c r="C712" i="2" s="1" a="1"/>
  <c r="C712" i="2" s="1"/>
  <c r="S675" i="2"/>
  <c r="C675" i="2" s="1" a="1"/>
  <c r="C675" i="2" s="1"/>
  <c r="S647" i="2"/>
  <c r="S610" i="2"/>
  <c r="C610" i="2" s="1" a="1"/>
  <c r="C610" i="2" s="1"/>
  <c r="S569" i="2"/>
  <c r="C569" i="2" s="1" a="1"/>
  <c r="C569" i="2" s="1"/>
  <c r="S532" i="2"/>
  <c r="C532" i="2" s="1" a="1"/>
  <c r="C532" i="2" s="1"/>
  <c r="S505" i="2"/>
  <c r="C505" i="2" s="1" a="1"/>
  <c r="C505" i="2" s="1"/>
  <c r="S467" i="2"/>
  <c r="S430" i="2"/>
  <c r="S399" i="2"/>
  <c r="S362" i="2"/>
  <c r="C362" i="2" s="1" a="1"/>
  <c r="C362" i="2" s="1"/>
  <c r="S325" i="2"/>
  <c r="S287" i="2"/>
  <c r="S256" i="2"/>
  <c r="C256" i="2" s="1" a="1"/>
  <c r="C256" i="2" s="1"/>
  <c r="S219" i="2"/>
  <c r="S182" i="2"/>
  <c r="C182" i="2" s="1" a="1"/>
  <c r="C182" i="2" s="1"/>
  <c r="S154" i="2"/>
  <c r="C154" i="2" s="1" a="1"/>
  <c r="C154" i="2" s="1"/>
  <c r="S113" i="2"/>
  <c r="C113" i="2" s="1" a="1"/>
  <c r="C113" i="2" s="1"/>
  <c r="S76" i="2"/>
  <c r="S39" i="2"/>
  <c r="S974" i="2"/>
  <c r="S999" i="2"/>
  <c r="S17" i="2"/>
  <c r="S995" i="2"/>
  <c r="S961" i="2"/>
  <c r="S934" i="2"/>
  <c r="C934" i="2" s="1" a="1"/>
  <c r="C934" i="2" s="1"/>
  <c r="S899" i="2"/>
  <c r="S869" i="2"/>
  <c r="S838" i="2"/>
  <c r="C838" i="2" s="1" a="1"/>
  <c r="C838" i="2" s="1"/>
  <c r="S808" i="2"/>
  <c r="C808" i="2" s="1" a="1"/>
  <c r="C808" i="2" s="1"/>
  <c r="S773" i="2"/>
  <c r="C773" i="2" s="1" a="1"/>
  <c r="C773" i="2" s="1"/>
  <c r="S747" i="2"/>
  <c r="S711" i="2"/>
  <c r="S674" i="2"/>
  <c r="S637" i="2"/>
  <c r="S605" i="2"/>
  <c r="S568" i="2"/>
  <c r="C568" i="2" s="1" a="1"/>
  <c r="C568" i="2" s="1"/>
  <c r="S531" i="2"/>
  <c r="C531" i="2" s="1" a="1"/>
  <c r="C531" i="2" s="1"/>
  <c r="S503" i="2"/>
  <c r="C503" i="2" s="1" a="1"/>
  <c r="C503" i="2" s="1"/>
  <c r="S466" i="2"/>
  <c r="S425" i="2"/>
  <c r="C425" i="2" s="1" a="1"/>
  <c r="C425" i="2" s="1"/>
  <c r="S388" i="2"/>
  <c r="C388" i="2" s="1" a="1"/>
  <c r="C388" i="2" s="1"/>
  <c r="S361" i="2"/>
  <c r="C361" i="2" s="1" a="1"/>
  <c r="C361" i="2" s="1"/>
  <c r="S323" i="2"/>
  <c r="S286" i="2"/>
  <c r="S255" i="2"/>
  <c r="S218" i="2"/>
  <c r="S181" i="2"/>
  <c r="S143" i="2"/>
  <c r="S112" i="2"/>
  <c r="C112" i="2" s="1" a="1"/>
  <c r="C112" i="2" s="1"/>
  <c r="S75" i="2"/>
  <c r="C75" i="2" s="1" a="1"/>
  <c r="C75" i="2" s="1"/>
  <c r="S38" i="2"/>
  <c r="C38" i="2" s="1" a="1"/>
  <c r="C38" i="2" s="1"/>
  <c r="S133" i="2"/>
  <c r="C133" i="2" s="1" a="1"/>
  <c r="C133" i="2" s="1"/>
  <c r="S8" i="2"/>
  <c r="C8" i="2" s="1" a="1"/>
  <c r="C8" i="2" s="1"/>
  <c r="S963" i="2"/>
  <c r="C963" i="2" s="1" a="1"/>
  <c r="C963" i="2" s="1"/>
  <c r="S937" i="2"/>
  <c r="S902" i="2"/>
  <c r="S841" i="2"/>
  <c r="S814" i="2"/>
  <c r="S779" i="2"/>
  <c r="C779" i="2" s="1" a="1"/>
  <c r="C779" i="2" s="1"/>
  <c r="S713" i="2"/>
  <c r="C713" i="2" s="1" a="1"/>
  <c r="C713" i="2" s="1"/>
  <c r="S676" i="2"/>
  <c r="C676" i="2" s="1" a="1"/>
  <c r="C676" i="2" s="1"/>
  <c r="S649" i="2"/>
  <c r="C649" i="2" s="1" a="1"/>
  <c r="C649" i="2" s="1"/>
  <c r="S574" i="2"/>
  <c r="S543" i="2"/>
  <c r="C543" i="2" s="1" a="1"/>
  <c r="C543" i="2" s="1"/>
  <c r="S506" i="2"/>
  <c r="C506" i="2" s="1" a="1"/>
  <c r="C506" i="2" s="1"/>
  <c r="S431" i="2"/>
  <c r="C431" i="2" s="1" a="1"/>
  <c r="C431" i="2" s="1"/>
  <c r="S400" i="2"/>
  <c r="S363" i="2"/>
  <c r="S326" i="2"/>
  <c r="S257" i="2"/>
  <c r="S220" i="2"/>
  <c r="S155" i="2"/>
  <c r="S77" i="2"/>
  <c r="C77" i="2" s="1" a="1"/>
  <c r="C77" i="2" s="1"/>
  <c r="S16" i="2"/>
  <c r="C16" i="2" s="1" a="1"/>
  <c r="C16" i="2" s="1"/>
  <c r="S986" i="2"/>
  <c r="C986" i="2" s="1" a="1"/>
  <c r="C986" i="2" s="1"/>
  <c r="S959" i="2"/>
  <c r="C959" i="2" s="1" a="1"/>
  <c r="C959" i="2" s="1"/>
  <c r="S925" i="2"/>
  <c r="C925" i="2" s="1" a="1"/>
  <c r="C925" i="2" s="1"/>
  <c r="S898" i="2"/>
  <c r="C898" i="2" s="1" a="1"/>
  <c r="C898" i="2" s="1"/>
  <c r="S863" i="2"/>
  <c r="S833" i="2"/>
  <c r="S802" i="2"/>
  <c r="S772" i="2"/>
  <c r="S737" i="2"/>
  <c r="C737" i="2" s="1" a="1"/>
  <c r="C737" i="2" s="1"/>
  <c r="S710" i="2"/>
  <c r="S673" i="2"/>
  <c r="C673" i="2" s="1" a="1"/>
  <c r="C673" i="2" s="1"/>
  <c r="S635" i="2"/>
  <c r="C635" i="2" s="1" a="1"/>
  <c r="C635" i="2" s="1"/>
  <c r="S604" i="2"/>
  <c r="S567" i="2"/>
  <c r="C567" i="2" s="1" a="1"/>
  <c r="C567" i="2" s="1"/>
  <c r="S530" i="2"/>
  <c r="C530" i="2" s="1" a="1"/>
  <c r="C530" i="2" s="1"/>
  <c r="S493" i="2"/>
  <c r="C493" i="2" s="1" a="1"/>
  <c r="C493" i="2" s="1"/>
  <c r="S461" i="2"/>
  <c r="S424" i="2"/>
  <c r="S387" i="2"/>
  <c r="S359" i="2"/>
  <c r="S322" i="2"/>
  <c r="C322" i="2" s="1" a="1"/>
  <c r="C322" i="2" s="1"/>
  <c r="S281" i="2"/>
  <c r="S244" i="2"/>
  <c r="C244" i="2" s="1" a="1"/>
  <c r="C244" i="2" s="1"/>
  <c r="S217" i="2"/>
  <c r="C217" i="2" s="1" a="1"/>
  <c r="C217" i="2" s="1"/>
  <c r="S179" i="2"/>
  <c r="C179" i="2" s="1" a="1"/>
  <c r="C179" i="2" s="1"/>
  <c r="S142" i="2"/>
  <c r="C142" i="2" s="1" a="1"/>
  <c r="C142" i="2" s="1"/>
  <c r="S111" i="2"/>
  <c r="C111" i="2" s="1" a="1"/>
  <c r="C111" i="2" s="1"/>
  <c r="S74" i="2"/>
  <c r="C74" i="2" s="1" a="1"/>
  <c r="C74" i="2" s="1"/>
  <c r="S37" i="2"/>
  <c r="S976" i="2"/>
  <c r="S941" i="2"/>
  <c r="S915" i="2"/>
  <c r="S880" i="2"/>
  <c r="C880" i="2" s="1" a="1"/>
  <c r="C880" i="2" s="1"/>
  <c r="S854" i="2"/>
  <c r="S819" i="2"/>
  <c r="C819" i="2" s="1" a="1"/>
  <c r="C819" i="2" s="1"/>
  <c r="S793" i="2"/>
  <c r="C793" i="2" s="1" a="1"/>
  <c r="C793" i="2" s="1"/>
  <c r="S758" i="2"/>
  <c r="S731" i="2"/>
  <c r="C731" i="2" s="1" a="1"/>
  <c r="C731" i="2" s="1"/>
  <c r="S694" i="2"/>
  <c r="C694" i="2" s="1" a="1"/>
  <c r="C694" i="2" s="1"/>
  <c r="S653" i="2"/>
  <c r="S626" i="2"/>
  <c r="S589" i="2"/>
  <c r="S551" i="2"/>
  <c r="S514" i="2"/>
  <c r="S483" i="2"/>
  <c r="S446" i="2"/>
  <c r="C446" i="2" s="1" a="1"/>
  <c r="C446" i="2" s="1"/>
  <c r="S409" i="2"/>
  <c r="S377" i="2"/>
  <c r="C377" i="2" s="1" a="1"/>
  <c r="C377" i="2" s="1"/>
  <c r="S340" i="2"/>
  <c r="C340" i="2" s="1" a="1"/>
  <c r="C340" i="2" s="1"/>
  <c r="S303" i="2"/>
  <c r="C303" i="2" s="1" a="1"/>
  <c r="C303" i="2" s="1"/>
  <c r="S266" i="2"/>
  <c r="C266" i="2" s="1" a="1"/>
  <c r="C266" i="2" s="1"/>
  <c r="S238" i="2"/>
  <c r="C238" i="2" s="1" a="1"/>
  <c r="C238" i="2" s="1"/>
  <c r="S197" i="2"/>
  <c r="S160" i="2"/>
  <c r="S95" i="2"/>
  <c r="S1000" i="2"/>
  <c r="S939" i="2"/>
  <c r="C939" i="2" s="1" a="1"/>
  <c r="C939" i="2" s="1"/>
  <c r="S913" i="2"/>
  <c r="S878" i="2"/>
  <c r="C878" i="2" s="1" a="1"/>
  <c r="C878" i="2" s="1"/>
  <c r="S851" i="2"/>
  <c r="C851" i="2" s="1" a="1"/>
  <c r="C851" i="2" s="1"/>
  <c r="S817" i="2"/>
  <c r="S790" i="2"/>
  <c r="C790" i="2" s="1" a="1"/>
  <c r="C790" i="2" s="1"/>
  <c r="S755" i="2"/>
  <c r="C755" i="2" s="1" a="1"/>
  <c r="C755" i="2" s="1"/>
  <c r="S719" i="2"/>
  <c r="C719" i="2" s="1" a="1"/>
  <c r="C719" i="2" s="1"/>
  <c r="S688" i="2"/>
  <c r="S651" i="2"/>
  <c r="S614" i="2"/>
  <c r="S586" i="2"/>
  <c r="S545" i="2"/>
  <c r="S508" i="2"/>
  <c r="S471" i="2"/>
  <c r="C471" i="2" s="1" a="1"/>
  <c r="C471" i="2" s="1"/>
  <c r="S443" i="2"/>
  <c r="C443" i="2" s="1" a="1"/>
  <c r="C443" i="2" s="1"/>
  <c r="S406" i="2"/>
  <c r="C406" i="2" s="1" a="1"/>
  <c r="C406" i="2" s="1"/>
  <c r="S365" i="2"/>
  <c r="C365" i="2" s="1" a="1"/>
  <c r="C365" i="2" s="1"/>
  <c r="S338" i="2"/>
  <c r="C338" i="2" s="1" a="1"/>
  <c r="C338" i="2" s="1"/>
  <c r="S301" i="2"/>
  <c r="S263" i="2"/>
  <c r="S226" i="2"/>
  <c r="S195" i="2"/>
  <c r="S158" i="2"/>
  <c r="C158" i="2" s="1" a="1"/>
  <c r="C158" i="2" s="1"/>
  <c r="S121" i="2"/>
  <c r="C121" i="2" s="1" a="1"/>
  <c r="C121" i="2" s="1"/>
  <c r="S89" i="2"/>
  <c r="C89" i="2" s="1" a="1"/>
  <c r="C89" i="2" s="1"/>
  <c r="S15" i="2"/>
  <c r="C15" i="2" s="1" a="1"/>
  <c r="C15" i="2" s="1"/>
  <c r="S985" i="2"/>
  <c r="C985" i="2" s="1" a="1"/>
  <c r="C985" i="2" s="1"/>
  <c r="S958" i="2"/>
  <c r="C958" i="2" s="1" a="1"/>
  <c r="C958" i="2" s="1"/>
  <c r="S923" i="2"/>
  <c r="C923" i="2" s="1" a="1"/>
  <c r="C923" i="2" s="1"/>
  <c r="S893" i="2"/>
  <c r="C893" i="2" s="1" a="1"/>
  <c r="C893" i="2" s="1"/>
  <c r="S862" i="2"/>
  <c r="C862" i="2" s="1" a="1"/>
  <c r="C862" i="2" s="1"/>
  <c r="S832" i="2"/>
  <c r="S797" i="2"/>
  <c r="S771" i="2"/>
  <c r="S736" i="2"/>
  <c r="S709" i="2"/>
  <c r="C709" i="2" s="1" a="1"/>
  <c r="C709" i="2" s="1"/>
  <c r="S671" i="2"/>
  <c r="S634" i="2"/>
  <c r="C634" i="2" s="1" a="1"/>
  <c r="C634" i="2" s="1"/>
  <c r="S593" i="2"/>
  <c r="S566" i="2"/>
  <c r="C566" i="2" s="1" a="1"/>
  <c r="C566" i="2" s="1"/>
  <c r="S529" i="2"/>
  <c r="C529" i="2" s="1" a="1"/>
  <c r="C529" i="2" s="1"/>
  <c r="S491" i="2"/>
  <c r="C491" i="2" s="1" a="1"/>
  <c r="C491" i="2" s="1"/>
  <c r="S460" i="2"/>
  <c r="C460" i="2" s="1" a="1"/>
  <c r="C460" i="2" s="1"/>
  <c r="S423" i="2"/>
  <c r="S386" i="2"/>
  <c r="S349" i="2"/>
  <c r="S317" i="2"/>
  <c r="C317" i="2" s="1" a="1"/>
  <c r="C317" i="2" s="1"/>
  <c r="S280" i="2"/>
  <c r="S243" i="2"/>
  <c r="S215" i="2"/>
  <c r="C215" i="2" s="1" a="1"/>
  <c r="C215" i="2" s="1"/>
  <c r="S178" i="2"/>
  <c r="C178" i="2" s="1" a="1"/>
  <c r="C178" i="2" s="1"/>
  <c r="S137" i="2"/>
  <c r="C137" i="2" s="1" a="1"/>
  <c r="C137" i="2" s="1"/>
  <c r="S100" i="2"/>
  <c r="C100" i="2" s="1" a="1"/>
  <c r="C100" i="2" s="1"/>
  <c r="S73" i="2"/>
  <c r="C73" i="2" s="1" a="1"/>
  <c r="C73" i="2" s="1"/>
  <c r="S35" i="2"/>
  <c r="C35" i="2" s="1" a="1"/>
  <c r="C35" i="2" s="1"/>
  <c r="S34" i="2"/>
  <c r="S29" i="2"/>
  <c r="S983" i="2"/>
  <c r="S953" i="2"/>
  <c r="S922" i="2"/>
  <c r="S982" i="2"/>
  <c r="C982" i="2" s="1" a="1"/>
  <c r="C982" i="2" s="1"/>
  <c r="S952" i="2"/>
  <c r="C952" i="2" s="1" a="1"/>
  <c r="C952" i="2" s="1"/>
  <c r="S917" i="2"/>
  <c r="C917" i="2" s="1" a="1"/>
  <c r="C917" i="2" s="1"/>
  <c r="S891" i="2"/>
  <c r="S856" i="2"/>
  <c r="C856" i="2" s="1" a="1"/>
  <c r="C856" i="2" s="1"/>
  <c r="S830" i="2"/>
  <c r="C830" i="2" s="1" a="1"/>
  <c r="C830" i="2" s="1"/>
  <c r="S795" i="2"/>
  <c r="C795" i="2" s="1" a="1"/>
  <c r="C795" i="2" s="1"/>
  <c r="S769" i="2"/>
  <c r="S734" i="2"/>
  <c r="S697" i="2"/>
  <c r="S665" i="2"/>
  <c r="S628" i="2"/>
  <c r="S591" i="2"/>
  <c r="S554" i="2"/>
  <c r="C554" i="2" s="1" a="1"/>
  <c r="C554" i="2" s="1"/>
  <c r="S526" i="2"/>
  <c r="C526" i="2" s="1" a="1"/>
  <c r="C526" i="2" s="1"/>
  <c r="S485" i="2"/>
  <c r="C485" i="2" s="1" a="1"/>
  <c r="C485" i="2" s="1"/>
  <c r="S448" i="2"/>
  <c r="C448" i="2" s="1" a="1"/>
  <c r="C448" i="2" s="1"/>
  <c r="S421" i="2"/>
  <c r="C421" i="2" s="1" a="1"/>
  <c r="C421" i="2" s="1"/>
  <c r="S383" i="2"/>
  <c r="C383" i="2" s="1" a="1"/>
  <c r="C383" i="2" s="1"/>
  <c r="S346" i="2"/>
  <c r="S305" i="2"/>
  <c r="S278" i="2"/>
  <c r="S241" i="2"/>
  <c r="S203" i="2"/>
  <c r="S172" i="2"/>
  <c r="S135" i="2"/>
  <c r="C135" i="2" s="1" a="1"/>
  <c r="C135" i="2" s="1"/>
  <c r="S98" i="2"/>
  <c r="C98" i="2" s="1" a="1"/>
  <c r="C98" i="2" s="1"/>
  <c r="S61" i="2"/>
  <c r="C61" i="2" s="1" a="1"/>
  <c r="C61" i="2" s="1"/>
  <c r="S977" i="2"/>
  <c r="C977" i="2" s="1" a="1"/>
  <c r="C977" i="2" s="1"/>
  <c r="S946" i="2"/>
  <c r="C946" i="2" s="1" a="1"/>
  <c r="C946" i="2" s="1"/>
  <c r="S916" i="2"/>
  <c r="S881" i="2"/>
  <c r="S855" i="2"/>
  <c r="S820" i="2"/>
  <c r="S794" i="2"/>
  <c r="S759" i="2"/>
  <c r="C759" i="2" s="1" a="1"/>
  <c r="C759" i="2" s="1"/>
  <c r="S733" i="2"/>
  <c r="C733" i="2" s="1" a="1"/>
  <c r="C733" i="2" s="1"/>
  <c r="S695" i="2"/>
  <c r="C695" i="2" s="1" a="1"/>
  <c r="C695" i="2" s="1"/>
  <c r="S658" i="2"/>
  <c r="C658" i="2" s="1" a="1"/>
  <c r="C658" i="2" s="1"/>
  <c r="S627" i="2"/>
  <c r="S590" i="2"/>
  <c r="C590" i="2" s="1" a="1"/>
  <c r="C590" i="2" s="1"/>
  <c r="S553" i="2"/>
  <c r="C553" i="2" s="1" a="1"/>
  <c r="C553" i="2" s="1"/>
  <c r="S521" i="2"/>
  <c r="C521" i="2" s="1" a="1"/>
  <c r="C521" i="2" s="1"/>
  <c r="S484" i="2"/>
  <c r="S447" i="2"/>
  <c r="S410" i="2"/>
  <c r="S382" i="2"/>
  <c r="S341" i="2"/>
  <c r="C341" i="2" s="1" a="1"/>
  <c r="C341" i="2" s="1"/>
  <c r="S304" i="2"/>
  <c r="C304" i="2" s="1" a="1"/>
  <c r="C304" i="2" s="1"/>
  <c r="S277" i="2"/>
  <c r="C277" i="2" s="1" a="1"/>
  <c r="C277" i="2" s="1"/>
  <c r="S239" i="2"/>
  <c r="C239" i="2" s="1" a="1"/>
  <c r="C239" i="2" s="1"/>
  <c r="S202" i="2"/>
  <c r="S161" i="2"/>
  <c r="C161" i="2" s="1" a="1"/>
  <c r="C161" i="2" s="1"/>
  <c r="S134" i="2"/>
  <c r="C134" i="2" s="1" a="1"/>
  <c r="C134" i="2" s="1"/>
  <c r="S97" i="2"/>
  <c r="S59" i="2"/>
  <c r="S28" i="2"/>
  <c r="A213" i="2"/>
  <c r="A216" i="2"/>
  <c r="A986" i="2"/>
  <c r="A204" i="2"/>
  <c r="A496" i="2"/>
  <c r="A640" i="2"/>
  <c r="A899" i="2"/>
  <c r="A957" i="2"/>
  <c r="A971" i="2"/>
  <c r="A94" i="2"/>
  <c r="A180" i="2"/>
  <c r="A636" i="2"/>
  <c r="A494" i="2"/>
  <c r="A482" i="2"/>
  <c r="A449" i="2"/>
  <c r="A276" i="2"/>
  <c r="A93" i="2"/>
  <c r="A885" i="2"/>
  <c r="B533" i="2"/>
  <c r="B904" i="2"/>
  <c r="S13" i="2"/>
  <c r="S994" i="2"/>
  <c r="C994" i="2" s="1" a="1"/>
  <c r="C994" i="2" s="1"/>
  <c r="S973" i="2"/>
  <c r="C973" i="2" s="1" a="1"/>
  <c r="C973" i="2" s="1"/>
  <c r="S951" i="2"/>
  <c r="S929" i="2"/>
  <c r="C929" i="2" s="1" a="1"/>
  <c r="C929" i="2" s="1"/>
  <c r="S911" i="2"/>
  <c r="C911" i="2" s="1" a="1"/>
  <c r="C911" i="2" s="1"/>
  <c r="S890" i="2"/>
  <c r="C890" i="2" s="1" a="1"/>
  <c r="C890" i="2" s="1"/>
  <c r="S868" i="2"/>
  <c r="C868" i="2" s="1" a="1"/>
  <c r="C868" i="2" s="1"/>
  <c r="S850" i="2"/>
  <c r="C850" i="2" s="1" a="1"/>
  <c r="C850" i="2" s="1"/>
  <c r="S829" i="2"/>
  <c r="C829" i="2" s="1" a="1"/>
  <c r="C829" i="2" s="1"/>
  <c r="S807" i="2"/>
  <c r="C807" i="2" s="1" a="1"/>
  <c r="C807" i="2" s="1"/>
  <c r="S785" i="2"/>
  <c r="S767" i="2"/>
  <c r="S746" i="2"/>
  <c r="C746" i="2" s="1" a="1"/>
  <c r="C746" i="2" s="1"/>
  <c r="S724" i="2"/>
  <c r="C724" i="2" s="1" a="1"/>
  <c r="C724" i="2" s="1"/>
  <c r="S706" i="2"/>
  <c r="C706" i="2" s="1" a="1"/>
  <c r="C706" i="2" s="1"/>
  <c r="S685" i="2"/>
  <c r="C685" i="2" s="1" a="1"/>
  <c r="C685" i="2" s="1"/>
  <c r="S663" i="2"/>
  <c r="C663" i="2" s="1" a="1"/>
  <c r="C663" i="2" s="1"/>
  <c r="S641" i="2"/>
  <c r="C641" i="2" s="1" a="1"/>
  <c r="C641" i="2" s="1"/>
  <c r="S623" i="2"/>
  <c r="C623" i="2" s="1" a="1"/>
  <c r="C623" i="2" s="1"/>
  <c r="S602" i="2"/>
  <c r="C602" i="2" s="1" a="1"/>
  <c r="C602" i="2" s="1"/>
  <c r="S580" i="2"/>
  <c r="C580" i="2" s="1" a="1"/>
  <c r="C580" i="2" s="1"/>
  <c r="S562" i="2"/>
  <c r="C562" i="2" s="1" a="1"/>
  <c r="C562" i="2" s="1"/>
  <c r="S541" i="2"/>
  <c r="S519" i="2"/>
  <c r="S497" i="2"/>
  <c r="C497" i="2" s="1" a="1"/>
  <c r="C497" i="2" s="1"/>
  <c r="S479" i="2"/>
  <c r="C479" i="2" s="1" a="1"/>
  <c r="C479" i="2" s="1"/>
  <c r="S458" i="2"/>
  <c r="C458" i="2" s="1" a="1"/>
  <c r="C458" i="2" s="1"/>
  <c r="S436" i="2"/>
  <c r="C436" i="2" s="1" a="1"/>
  <c r="C436" i="2" s="1"/>
  <c r="S418" i="2"/>
  <c r="C418" i="2" s="1" a="1"/>
  <c r="C418" i="2" s="1"/>
  <c r="S397" i="2"/>
  <c r="C397" i="2" s="1" a="1"/>
  <c r="C397" i="2" s="1"/>
  <c r="S375" i="2"/>
  <c r="C375" i="2" s="1" a="1"/>
  <c r="C375" i="2" s="1"/>
  <c r="S353" i="2"/>
  <c r="C353" i="2" s="1" a="1"/>
  <c r="C353" i="2" s="1"/>
  <c r="S335" i="2"/>
  <c r="C335" i="2" s="1" a="1"/>
  <c r="C335" i="2" s="1"/>
  <c r="S314" i="2"/>
  <c r="C314" i="2" s="1" a="1"/>
  <c r="C314" i="2" s="1"/>
  <c r="S292" i="2"/>
  <c r="S274" i="2"/>
  <c r="S253" i="2"/>
  <c r="C253" i="2" s="1" a="1"/>
  <c r="C253" i="2" s="1"/>
  <c r="S231" i="2"/>
  <c r="C231" i="2" s="1" a="1"/>
  <c r="C231" i="2" s="1"/>
  <c r="S209" i="2"/>
  <c r="C209" i="2" s="1" a="1"/>
  <c r="C209" i="2" s="1"/>
  <c r="S191" i="2"/>
  <c r="C191" i="2" s="1" a="1"/>
  <c r="C191" i="2" s="1"/>
  <c r="S170" i="2"/>
  <c r="C170" i="2" s="1" a="1"/>
  <c r="C170" i="2" s="1"/>
  <c r="S148" i="2"/>
  <c r="C148" i="2" s="1" a="1"/>
  <c r="C148" i="2" s="1"/>
  <c r="S130" i="2"/>
  <c r="C130" i="2" s="1" a="1"/>
  <c r="C130" i="2" s="1"/>
  <c r="S109" i="2"/>
  <c r="C109" i="2" s="1" a="1"/>
  <c r="C109" i="2" s="1"/>
  <c r="S87" i="2"/>
  <c r="C87" i="2" s="1" a="1"/>
  <c r="C87" i="2" s="1"/>
  <c r="S65" i="2"/>
  <c r="C65" i="2" s="1" a="1"/>
  <c r="C65" i="2" s="1"/>
  <c r="S47" i="2"/>
  <c r="S19" i="2"/>
  <c r="S31" i="2"/>
  <c r="S43" i="2"/>
  <c r="C43" i="2" s="1" a="1"/>
  <c r="C43" i="2" s="1"/>
  <c r="S55" i="2"/>
  <c r="C55" i="2" s="1" a="1"/>
  <c r="C55" i="2" s="1"/>
  <c r="S67" i="2"/>
  <c r="C67" i="2" s="1" a="1"/>
  <c r="C67" i="2" s="1"/>
  <c r="S79" i="2"/>
  <c r="C79" i="2" s="1" a="1"/>
  <c r="C79" i="2" s="1"/>
  <c r="S91" i="2"/>
  <c r="C91" i="2" s="1" a="1"/>
  <c r="C91" i="2" s="1"/>
  <c r="S103" i="2"/>
  <c r="C103" i="2" s="1" a="1"/>
  <c r="C103" i="2" s="1"/>
  <c r="S115" i="2"/>
  <c r="C115" i="2" s="1" a="1"/>
  <c r="C115" i="2" s="1"/>
  <c r="S127" i="2"/>
  <c r="C127" i="2" s="1" a="1"/>
  <c r="C127" i="2" s="1"/>
  <c r="S139" i="2"/>
  <c r="S151" i="2"/>
  <c r="S163" i="2"/>
  <c r="S175" i="2"/>
  <c r="C175" i="2" s="1" a="1"/>
  <c r="C175" i="2" s="1"/>
  <c r="S187" i="2"/>
  <c r="C187" i="2" s="1" a="1"/>
  <c r="C187" i="2" s="1"/>
  <c r="S199" i="2"/>
  <c r="C199" i="2" s="1" a="1"/>
  <c r="C199" i="2" s="1"/>
  <c r="S211" i="2"/>
  <c r="C211" i="2" s="1" a="1"/>
  <c r="C211" i="2" s="1"/>
  <c r="S223" i="2"/>
  <c r="C223" i="2" s="1" a="1"/>
  <c r="C223" i="2" s="1"/>
  <c r="S235" i="2"/>
  <c r="C235" i="2" s="1" a="1"/>
  <c r="C235" i="2" s="1"/>
  <c r="S247" i="2"/>
  <c r="C247" i="2" s="1" a="1"/>
  <c r="C247" i="2" s="1"/>
  <c r="S259" i="2"/>
  <c r="C259" i="2" s="1" a="1"/>
  <c r="C259" i="2" s="1"/>
  <c r="S271" i="2"/>
  <c r="C271" i="2" s="1" a="1"/>
  <c r="C271" i="2" s="1"/>
  <c r="S283" i="2"/>
  <c r="S295" i="2"/>
  <c r="S307" i="2"/>
  <c r="S319" i="2"/>
  <c r="S331" i="2"/>
  <c r="C331" i="2" s="1" a="1"/>
  <c r="C331" i="2" s="1"/>
  <c r="S343" i="2"/>
  <c r="C343" i="2" s="1" a="1"/>
  <c r="C343" i="2" s="1"/>
  <c r="S355" i="2"/>
  <c r="C355" i="2" s="1" a="1"/>
  <c r="C355" i="2" s="1"/>
  <c r="S367" i="2"/>
  <c r="C367" i="2" s="1" a="1"/>
  <c r="C367" i="2" s="1"/>
  <c r="S379" i="2"/>
  <c r="C379" i="2" s="1" a="1"/>
  <c r="C379" i="2" s="1"/>
  <c r="S391" i="2"/>
  <c r="C391" i="2" s="1" a="1"/>
  <c r="C391" i="2" s="1"/>
  <c r="S403" i="2"/>
  <c r="C403" i="2" s="1" a="1"/>
  <c r="C403" i="2" s="1"/>
  <c r="S415" i="2"/>
  <c r="C415" i="2" s="1" a="1"/>
  <c r="C415" i="2" s="1"/>
  <c r="S427" i="2"/>
  <c r="S439" i="2"/>
  <c r="S451" i="2"/>
  <c r="S463" i="2"/>
  <c r="S475" i="2"/>
  <c r="C475" i="2" s="1" a="1"/>
  <c r="C475" i="2" s="1"/>
  <c r="S487" i="2"/>
  <c r="C487" i="2" s="1" a="1"/>
  <c r="C487" i="2" s="1"/>
  <c r="S499" i="2"/>
  <c r="C499" i="2" s="1" a="1"/>
  <c r="C499" i="2" s="1"/>
  <c r="S511" i="2"/>
  <c r="C511" i="2" s="1" a="1"/>
  <c r="C511" i="2" s="1"/>
  <c r="S523" i="2"/>
  <c r="C523" i="2" s="1" a="1"/>
  <c r="C523" i="2" s="1"/>
  <c r="S535" i="2"/>
  <c r="C535" i="2" s="1" a="1"/>
  <c r="C535" i="2" s="1"/>
  <c r="S547" i="2"/>
  <c r="C547" i="2" s="1" a="1"/>
  <c r="C547" i="2" s="1"/>
  <c r="S559" i="2"/>
  <c r="C559" i="2" s="1" a="1"/>
  <c r="C559" i="2" s="1"/>
  <c r="S571" i="2"/>
  <c r="S583" i="2"/>
  <c r="S595" i="2"/>
  <c r="S607" i="2"/>
  <c r="S619" i="2"/>
  <c r="C619" i="2" s="1" a="1"/>
  <c r="C619" i="2" s="1"/>
  <c r="S631" i="2"/>
  <c r="C631" i="2" s="1" a="1"/>
  <c r="C631" i="2" s="1"/>
  <c r="S643" i="2"/>
  <c r="C643" i="2" s="1" a="1"/>
  <c r="C643" i="2" s="1"/>
  <c r="S655" i="2"/>
  <c r="C655" i="2" s="1" a="1"/>
  <c r="C655" i="2" s="1"/>
  <c r="S667" i="2"/>
  <c r="C667" i="2" s="1" a="1"/>
  <c r="C667" i="2" s="1"/>
  <c r="S679" i="2"/>
  <c r="C679" i="2" s="1" a="1"/>
  <c r="C679" i="2" s="1"/>
  <c r="S691" i="2"/>
  <c r="C691" i="2" s="1" a="1"/>
  <c r="C691" i="2" s="1"/>
  <c r="S703" i="2"/>
  <c r="C703" i="2" s="1" a="1"/>
  <c r="C703" i="2" s="1"/>
  <c r="S715" i="2"/>
  <c r="S727" i="2"/>
  <c r="S739" i="2"/>
  <c r="S751" i="2"/>
  <c r="S763" i="2"/>
  <c r="C763" i="2" s="1" a="1"/>
  <c r="C763" i="2" s="1"/>
  <c r="S775" i="2"/>
  <c r="S787" i="2"/>
  <c r="C787" i="2" s="1" a="1"/>
  <c r="C787" i="2" s="1"/>
  <c r="S799" i="2"/>
  <c r="C799" i="2" s="1" a="1"/>
  <c r="C799" i="2" s="1"/>
  <c r="S811" i="2"/>
  <c r="C811" i="2" s="1" a="1"/>
  <c r="C811" i="2" s="1"/>
  <c r="S823" i="2"/>
  <c r="C823" i="2" s="1" a="1"/>
  <c r="C823" i="2" s="1"/>
  <c r="S835" i="2"/>
  <c r="C835" i="2" s="1" a="1"/>
  <c r="C835" i="2" s="1"/>
  <c r="S847" i="2"/>
  <c r="C847" i="2" s="1" a="1"/>
  <c r="C847" i="2" s="1"/>
  <c r="S859" i="2"/>
  <c r="S871" i="2"/>
  <c r="S883" i="2"/>
  <c r="S895" i="2"/>
  <c r="C895" i="2" s="1" a="1"/>
  <c r="C895" i="2" s="1"/>
  <c r="S907" i="2"/>
  <c r="C907" i="2" s="1" a="1"/>
  <c r="C907" i="2" s="1"/>
  <c r="S919" i="2"/>
  <c r="C919" i="2" s="1" a="1"/>
  <c r="C919" i="2" s="1"/>
  <c r="S931" i="2"/>
  <c r="C931" i="2" s="1" a="1"/>
  <c r="C931" i="2" s="1"/>
  <c r="S943" i="2"/>
  <c r="C943" i="2" s="1" a="1"/>
  <c r="C943" i="2" s="1"/>
  <c r="S955" i="2"/>
  <c r="S967" i="2"/>
  <c r="C967" i="2" s="1" a="1"/>
  <c r="C967" i="2" s="1"/>
  <c r="S979" i="2"/>
  <c r="C979" i="2" s="1" a="1"/>
  <c r="C979" i="2" s="1"/>
  <c r="S991" i="2"/>
  <c r="C991" i="2" s="1" a="1"/>
  <c r="C991" i="2" s="1"/>
  <c r="S10" i="2"/>
  <c r="S20" i="2"/>
  <c r="S32" i="2"/>
  <c r="S44" i="2"/>
  <c r="C44" i="2" s="1" a="1"/>
  <c r="C44" i="2" s="1"/>
  <c r="S56" i="2"/>
  <c r="C56" i="2" s="1" a="1"/>
  <c r="C56" i="2" s="1"/>
  <c r="S68" i="2"/>
  <c r="S80" i="2"/>
  <c r="C80" i="2" s="1" a="1"/>
  <c r="C80" i="2" s="1"/>
  <c r="S92" i="2"/>
  <c r="C92" i="2" s="1" a="1"/>
  <c r="C92" i="2" s="1"/>
  <c r="S104" i="2"/>
  <c r="C104" i="2" s="1" a="1"/>
  <c r="C104" i="2" s="1"/>
  <c r="S116" i="2"/>
  <c r="C116" i="2" s="1" a="1"/>
  <c r="C116" i="2" s="1"/>
  <c r="S128" i="2"/>
  <c r="C128" i="2" s="1" a="1"/>
  <c r="C128" i="2" s="1"/>
  <c r="S140" i="2"/>
  <c r="C140" i="2" s="1" a="1"/>
  <c r="C140" i="2" s="1"/>
  <c r="S152" i="2"/>
  <c r="S164" i="2"/>
  <c r="S176" i="2"/>
  <c r="C176" i="2" s="1" a="1"/>
  <c r="C176" i="2" s="1"/>
  <c r="S188" i="2"/>
  <c r="C188" i="2" s="1" a="1"/>
  <c r="C188" i="2" s="1"/>
  <c r="S200" i="2"/>
  <c r="C200" i="2" s="1" a="1"/>
  <c r="C200" i="2" s="1"/>
  <c r="S212" i="2"/>
  <c r="C212" i="2" s="1" a="1"/>
  <c r="C212" i="2" s="1"/>
  <c r="S224" i="2"/>
  <c r="C224" i="2" s="1" a="1"/>
  <c r="C224" i="2" s="1"/>
  <c r="S236" i="2"/>
  <c r="C236" i="2" s="1" a="1"/>
  <c r="C236" i="2" s="1"/>
  <c r="S248" i="2"/>
  <c r="C248" i="2" s="1" a="1"/>
  <c r="C248" i="2" s="1"/>
  <c r="S260" i="2"/>
  <c r="C260" i="2" s="1" a="1"/>
  <c r="C260" i="2" s="1"/>
  <c r="S272" i="2"/>
  <c r="C272" i="2" s="1" a="1"/>
  <c r="C272" i="2" s="1"/>
  <c r="S284" i="2"/>
  <c r="C284" i="2" s="1" a="1"/>
  <c r="C284" i="2" s="1"/>
  <c r="S296" i="2"/>
  <c r="C296" i="2" s="1" a="1"/>
  <c r="C296" i="2" s="1"/>
  <c r="S308" i="2"/>
  <c r="S320" i="2"/>
  <c r="S332" i="2"/>
  <c r="S344" i="2"/>
  <c r="C344" i="2" s="1" a="1"/>
  <c r="C344" i="2" s="1"/>
  <c r="S356" i="2"/>
  <c r="S368" i="2"/>
  <c r="S380" i="2"/>
  <c r="C380" i="2" s="1" a="1"/>
  <c r="C380" i="2" s="1"/>
  <c r="S392" i="2"/>
  <c r="C392" i="2" s="1" a="1"/>
  <c r="C392" i="2" s="1"/>
  <c r="S404" i="2"/>
  <c r="C404" i="2" s="1" a="1"/>
  <c r="C404" i="2" s="1"/>
  <c r="S416" i="2"/>
  <c r="C416" i="2" s="1" a="1"/>
  <c r="C416" i="2" s="1"/>
  <c r="S428" i="2"/>
  <c r="C428" i="2" s="1" a="1"/>
  <c r="C428" i="2" s="1"/>
  <c r="S440" i="2"/>
  <c r="S452" i="2"/>
  <c r="S464" i="2"/>
  <c r="C464" i="2" s="1" a="1"/>
  <c r="C464" i="2" s="1"/>
  <c r="S476" i="2"/>
  <c r="C476" i="2" s="1" a="1"/>
  <c r="C476" i="2" s="1"/>
  <c r="S488" i="2"/>
  <c r="C488" i="2" s="1" a="1"/>
  <c r="C488" i="2" s="1"/>
  <c r="S500" i="2"/>
  <c r="C500" i="2" s="1" a="1"/>
  <c r="C500" i="2" s="1"/>
  <c r="S512" i="2"/>
  <c r="C512" i="2" s="1" a="1"/>
  <c r="C512" i="2" s="1"/>
  <c r="S524" i="2"/>
  <c r="C524" i="2" s="1" a="1"/>
  <c r="C524" i="2" s="1"/>
  <c r="S536" i="2"/>
  <c r="C536" i="2" s="1" a="1"/>
  <c r="C536" i="2" s="1"/>
  <c r="S548" i="2"/>
  <c r="C548" i="2" s="1" a="1"/>
  <c r="C548" i="2" s="1"/>
  <c r="S560" i="2"/>
  <c r="C560" i="2" s="1" a="1"/>
  <c r="C560" i="2" s="1"/>
  <c r="S572" i="2"/>
  <c r="C572" i="2" s="1" a="1"/>
  <c r="C572" i="2" s="1"/>
  <c r="S584" i="2"/>
  <c r="S596" i="2"/>
  <c r="S608" i="2"/>
  <c r="S620" i="2"/>
  <c r="S632" i="2"/>
  <c r="C632" i="2" s="1" a="1"/>
  <c r="C632" i="2" s="1"/>
  <c r="S644" i="2"/>
  <c r="S656" i="2"/>
  <c r="C656" i="2" s="1" a="1"/>
  <c r="C656" i="2" s="1"/>
  <c r="S668" i="2"/>
  <c r="C668" i="2" s="1" a="1"/>
  <c r="C668" i="2" s="1"/>
  <c r="S680" i="2"/>
  <c r="C680" i="2" s="1" a="1"/>
  <c r="C680" i="2" s="1"/>
  <c r="S692" i="2"/>
  <c r="C692" i="2" s="1" a="1"/>
  <c r="C692" i="2" s="1"/>
  <c r="S704" i="2"/>
  <c r="C704" i="2" s="1" a="1"/>
  <c r="C704" i="2" s="1"/>
  <c r="S716" i="2"/>
  <c r="C716" i="2" s="1" a="1"/>
  <c r="C716" i="2" s="1"/>
  <c r="S728" i="2"/>
  <c r="S740" i="2"/>
  <c r="S752" i="2"/>
  <c r="S764" i="2"/>
  <c r="S776" i="2"/>
  <c r="C776" i="2" s="1" a="1"/>
  <c r="C776" i="2" s="1"/>
  <c r="S788" i="2"/>
  <c r="C788" i="2" s="1" a="1"/>
  <c r="C788" i="2" s="1"/>
  <c r="S800" i="2"/>
  <c r="C800" i="2" s="1" a="1"/>
  <c r="C800" i="2" s="1"/>
  <c r="S812" i="2"/>
  <c r="C812" i="2" s="1" a="1"/>
  <c r="C812" i="2" s="1"/>
  <c r="S824" i="2"/>
  <c r="C824" i="2" s="1" a="1"/>
  <c r="C824" i="2" s="1"/>
  <c r="S836" i="2"/>
  <c r="C836" i="2" s="1" a="1"/>
  <c r="C836" i="2" s="1"/>
  <c r="S848" i="2"/>
  <c r="C848" i="2" s="1" a="1"/>
  <c r="C848" i="2" s="1"/>
  <c r="S860" i="2"/>
  <c r="C860" i="2" s="1" a="1"/>
  <c r="C860" i="2" s="1"/>
  <c r="S872" i="2"/>
  <c r="S884" i="2"/>
  <c r="S896" i="2"/>
  <c r="S908" i="2"/>
  <c r="S920" i="2"/>
  <c r="C920" i="2" s="1" a="1"/>
  <c r="C920" i="2" s="1"/>
  <c r="S932" i="2"/>
  <c r="C932" i="2" s="1" a="1"/>
  <c r="C932" i="2" s="1"/>
  <c r="S944" i="2"/>
  <c r="C944" i="2" s="1" a="1"/>
  <c r="C944" i="2" s="1"/>
  <c r="S956" i="2"/>
  <c r="C956" i="2" s="1" a="1"/>
  <c r="C956" i="2" s="1"/>
  <c r="S968" i="2"/>
  <c r="C968" i="2" s="1" a="1"/>
  <c r="C968" i="2" s="1"/>
  <c r="S980" i="2"/>
  <c r="C980" i="2" s="1" a="1"/>
  <c r="C980" i="2" s="1"/>
  <c r="S992" i="2"/>
  <c r="C992" i="2" s="1" a="1"/>
  <c r="C992" i="2" s="1"/>
  <c r="S11" i="2"/>
  <c r="C11" i="2" s="1" a="1"/>
  <c r="C11" i="2" s="1"/>
  <c r="S21" i="2"/>
  <c r="S33" i="2"/>
  <c r="S45" i="2"/>
  <c r="C45" i="2" s="1" a="1"/>
  <c r="C45" i="2" s="1"/>
  <c r="S57" i="2"/>
  <c r="C57" i="2" s="1" a="1"/>
  <c r="C57" i="2" s="1"/>
  <c r="S69" i="2"/>
  <c r="C69" i="2" s="1" a="1"/>
  <c r="C69" i="2" s="1"/>
  <c r="S81" i="2"/>
  <c r="S93" i="2"/>
  <c r="C93" i="2" s="1" a="1"/>
  <c r="C93" i="2" s="1"/>
  <c r="S105" i="2"/>
  <c r="C105" i="2" s="1" a="1"/>
  <c r="C105" i="2" s="1"/>
  <c r="S117" i="2"/>
  <c r="C117" i="2" s="1" a="1"/>
  <c r="C117" i="2" s="1"/>
  <c r="S129" i="2"/>
  <c r="C129" i="2" s="1" a="1"/>
  <c r="C129" i="2" s="1"/>
  <c r="S141" i="2"/>
  <c r="C141" i="2" s="1" a="1"/>
  <c r="C141" i="2" s="1"/>
  <c r="S153" i="2"/>
  <c r="C153" i="2" s="1" a="1"/>
  <c r="C153" i="2" s="1"/>
  <c r="S165" i="2"/>
  <c r="C165" i="2" s="1" a="1"/>
  <c r="C165" i="2" s="1"/>
  <c r="S177" i="2"/>
  <c r="S189" i="2"/>
  <c r="S201" i="2"/>
  <c r="C201" i="2" s="1" a="1"/>
  <c r="C201" i="2" s="1"/>
  <c r="S213" i="2"/>
  <c r="C213" i="2" s="1" a="1"/>
  <c r="C213" i="2" s="1"/>
  <c r="S225" i="2"/>
  <c r="S237" i="2"/>
  <c r="C237" i="2" s="1" a="1"/>
  <c r="C237" i="2" s="1"/>
  <c r="S249" i="2"/>
  <c r="C249" i="2" s="1" a="1"/>
  <c r="C249" i="2" s="1"/>
  <c r="S261" i="2"/>
  <c r="C261" i="2" s="1" a="1"/>
  <c r="C261" i="2" s="1"/>
  <c r="S273" i="2"/>
  <c r="C273" i="2" s="1" a="1"/>
  <c r="C273" i="2" s="1"/>
  <c r="S285" i="2"/>
  <c r="C285" i="2" s="1" a="1"/>
  <c r="C285" i="2" s="1"/>
  <c r="S297" i="2"/>
  <c r="C297" i="2" s="1" a="1"/>
  <c r="C297" i="2" s="1"/>
  <c r="S309" i="2"/>
  <c r="S321" i="2"/>
  <c r="S333" i="2"/>
  <c r="S345" i="2"/>
  <c r="C345" i="2" s="1" a="1"/>
  <c r="C345" i="2" s="1"/>
  <c r="S357" i="2"/>
  <c r="C357" i="2" s="1" a="1"/>
  <c r="C357" i="2" s="1"/>
  <c r="S369" i="2"/>
  <c r="C369" i="2" s="1" a="1"/>
  <c r="C369" i="2" s="1"/>
  <c r="S381" i="2"/>
  <c r="C381" i="2" s="1" a="1"/>
  <c r="C381" i="2" s="1"/>
  <c r="S393" i="2"/>
  <c r="C393" i="2" s="1" a="1"/>
  <c r="C393" i="2" s="1"/>
  <c r="S405" i="2"/>
  <c r="C405" i="2" s="1" a="1"/>
  <c r="C405" i="2" s="1"/>
  <c r="S417" i="2"/>
  <c r="C417" i="2" s="1" a="1"/>
  <c r="C417" i="2" s="1"/>
  <c r="S429" i="2"/>
  <c r="C429" i="2" s="1" a="1"/>
  <c r="C429" i="2" s="1"/>
  <c r="S441" i="2"/>
  <c r="C441" i="2" s="1" a="1"/>
  <c r="C441" i="2" s="1"/>
  <c r="S453" i="2"/>
  <c r="S465" i="2"/>
  <c r="S477" i="2"/>
  <c r="S489" i="2"/>
  <c r="C489" i="2" s="1" a="1"/>
  <c r="C489" i="2" s="1"/>
  <c r="S501" i="2"/>
  <c r="C501" i="2" s="1" a="1"/>
  <c r="C501" i="2" s="1"/>
  <c r="S513" i="2"/>
  <c r="S525" i="2"/>
  <c r="C525" i="2" s="1" a="1"/>
  <c r="C525" i="2" s="1"/>
  <c r="S537" i="2"/>
  <c r="C537" i="2" s="1" a="1"/>
  <c r="C537" i="2" s="1"/>
  <c r="S549" i="2"/>
  <c r="C549" i="2" s="1" a="1"/>
  <c r="C549" i="2" s="1"/>
  <c r="S561" i="2"/>
  <c r="C561" i="2" s="1" a="1"/>
  <c r="C561" i="2" s="1"/>
  <c r="S573" i="2"/>
  <c r="C573" i="2" s="1" a="1"/>
  <c r="C573" i="2" s="1"/>
  <c r="S585" i="2"/>
  <c r="C585" i="2" s="1" a="1"/>
  <c r="C585" i="2" s="1"/>
  <c r="S597" i="2"/>
  <c r="S609" i="2"/>
  <c r="S621" i="2"/>
  <c r="S633" i="2"/>
  <c r="C633" i="2" s="1" a="1"/>
  <c r="C633" i="2" s="1"/>
  <c r="S645" i="2"/>
  <c r="C645" i="2" s="1" a="1"/>
  <c r="C645" i="2" s="1"/>
  <c r="S657" i="2"/>
  <c r="C657" i="2" s="1" a="1"/>
  <c r="C657" i="2" s="1"/>
  <c r="S669" i="2"/>
  <c r="C669" i="2" s="1" a="1"/>
  <c r="C669" i="2" s="1"/>
  <c r="S681" i="2"/>
  <c r="C681" i="2" s="1" a="1"/>
  <c r="C681" i="2" s="1"/>
  <c r="S693" i="2"/>
  <c r="C693" i="2" s="1" a="1"/>
  <c r="C693" i="2" s="1"/>
  <c r="S705" i="2"/>
  <c r="C705" i="2" s="1" a="1"/>
  <c r="C705" i="2" s="1"/>
  <c r="S717" i="2"/>
  <c r="C717" i="2" s="1" a="1"/>
  <c r="C717" i="2" s="1"/>
  <c r="S729" i="2"/>
  <c r="C729" i="2" s="1" a="1"/>
  <c r="C729" i="2" s="1"/>
  <c r="S741" i="2"/>
  <c r="S753" i="2"/>
  <c r="S765" i="2"/>
  <c r="C765" i="2" s="1" a="1"/>
  <c r="C765" i="2" s="1"/>
  <c r="S777" i="2"/>
  <c r="S789" i="2"/>
  <c r="C789" i="2" s="1" a="1"/>
  <c r="C789" i="2" s="1"/>
  <c r="S801" i="2"/>
  <c r="C801" i="2" s="1" a="1"/>
  <c r="C801" i="2" s="1"/>
  <c r="S813" i="2"/>
  <c r="S825" i="2"/>
  <c r="C825" i="2" s="1" a="1"/>
  <c r="C825" i="2" s="1"/>
  <c r="S837" i="2"/>
  <c r="C837" i="2" s="1" a="1"/>
  <c r="C837" i="2" s="1"/>
  <c r="S849" i="2"/>
  <c r="C849" i="2" s="1" a="1"/>
  <c r="C849" i="2" s="1"/>
  <c r="S861" i="2"/>
  <c r="C861" i="2" s="1" a="1"/>
  <c r="C861" i="2" s="1"/>
  <c r="S873" i="2"/>
  <c r="C873" i="2" s="1" a="1"/>
  <c r="C873" i="2" s="1"/>
  <c r="S885" i="2"/>
  <c r="S897" i="2"/>
  <c r="S909" i="2"/>
  <c r="C909" i="2" s="1" a="1"/>
  <c r="C909" i="2" s="1"/>
  <c r="S921" i="2"/>
  <c r="C921" i="2" s="1" a="1"/>
  <c r="C921" i="2" s="1"/>
  <c r="S933" i="2"/>
  <c r="C933" i="2" s="1" a="1"/>
  <c r="C933" i="2" s="1"/>
  <c r="S945" i="2"/>
  <c r="S957" i="2"/>
  <c r="C957" i="2" s="1" a="1"/>
  <c r="C957" i="2" s="1"/>
  <c r="S969" i="2"/>
  <c r="C969" i="2" s="1" a="1"/>
  <c r="C969" i="2" s="1"/>
  <c r="S981" i="2"/>
  <c r="C981" i="2" s="1" a="1"/>
  <c r="C981" i="2" s="1"/>
  <c r="S993" i="2"/>
  <c r="C993" i="2" s="1" a="1"/>
  <c r="C993" i="2" s="1"/>
  <c r="S24" i="2"/>
  <c r="C24" i="2" s="1" a="1"/>
  <c r="C24" i="2" s="1"/>
  <c r="S36" i="2"/>
  <c r="C36" i="2" s="1" a="1"/>
  <c r="C36" i="2" s="1"/>
  <c r="S48" i="2"/>
  <c r="S60" i="2"/>
  <c r="S72" i="2"/>
  <c r="S84" i="2"/>
  <c r="C84" i="2" s="1" a="1"/>
  <c r="C84" i="2" s="1"/>
  <c r="S96" i="2"/>
  <c r="C96" i="2" s="1" a="1"/>
  <c r="C96" i="2" s="1"/>
  <c r="S108" i="2"/>
  <c r="C108" i="2" s="1" a="1"/>
  <c r="C108" i="2" s="1"/>
  <c r="S120" i="2"/>
  <c r="C120" i="2" s="1" a="1"/>
  <c r="C120" i="2" s="1"/>
  <c r="S132" i="2"/>
  <c r="C132" i="2" s="1" a="1"/>
  <c r="C132" i="2" s="1"/>
  <c r="S144" i="2"/>
  <c r="C144" i="2" s="1" a="1"/>
  <c r="C144" i="2" s="1"/>
  <c r="S156" i="2"/>
  <c r="C156" i="2" s="1" a="1"/>
  <c r="C156" i="2" s="1"/>
  <c r="S168" i="2"/>
  <c r="C168" i="2" s="1" a="1"/>
  <c r="C168" i="2" s="1"/>
  <c r="S180" i="2"/>
  <c r="C180" i="2" s="1" a="1"/>
  <c r="C180" i="2" s="1"/>
  <c r="S192" i="2"/>
  <c r="S204" i="2"/>
  <c r="S216" i="2"/>
  <c r="S228" i="2"/>
  <c r="C228" i="2" s="1" a="1"/>
  <c r="C228" i="2" s="1"/>
  <c r="S240" i="2"/>
  <c r="C240" i="2" s="1" a="1"/>
  <c r="C240" i="2" s="1"/>
  <c r="S252" i="2"/>
  <c r="C252" i="2" s="1" a="1"/>
  <c r="C252" i="2" s="1"/>
  <c r="S264" i="2"/>
  <c r="C264" i="2" s="1" a="1"/>
  <c r="C264" i="2" s="1"/>
  <c r="S276" i="2"/>
  <c r="C276" i="2" s="1" a="1"/>
  <c r="C276" i="2" s="1"/>
  <c r="S288" i="2"/>
  <c r="C288" i="2" s="1" a="1"/>
  <c r="C288" i="2" s="1"/>
  <c r="S300" i="2"/>
  <c r="C300" i="2" s="1" a="1"/>
  <c r="C300" i="2" s="1"/>
  <c r="S312" i="2"/>
  <c r="C312" i="2" s="1" a="1"/>
  <c r="C312" i="2" s="1"/>
  <c r="S324" i="2"/>
  <c r="C324" i="2" s="1" a="1"/>
  <c r="C324" i="2" s="1"/>
  <c r="S336" i="2"/>
  <c r="S348" i="2"/>
  <c r="S360" i="2"/>
  <c r="C360" i="2" s="1" a="1"/>
  <c r="C360" i="2" s="1"/>
  <c r="S372" i="2"/>
  <c r="S384" i="2"/>
  <c r="S396" i="2"/>
  <c r="C396" i="2" s="1" a="1"/>
  <c r="C396" i="2" s="1"/>
  <c r="S408" i="2"/>
  <c r="C408" i="2" s="1" a="1"/>
  <c r="C408" i="2" s="1"/>
  <c r="S420" i="2"/>
  <c r="C420" i="2" s="1" a="1"/>
  <c r="C420" i="2" s="1"/>
  <c r="S432" i="2"/>
  <c r="C432" i="2" s="1" a="1"/>
  <c r="C432" i="2" s="1"/>
  <c r="S444" i="2"/>
  <c r="C444" i="2" s="1" a="1"/>
  <c r="C444" i="2" s="1"/>
  <c r="S456" i="2"/>
  <c r="C456" i="2" s="1" a="1"/>
  <c r="C456" i="2" s="1"/>
  <c r="S468" i="2"/>
  <c r="C468" i="2" s="1" a="1"/>
  <c r="C468" i="2" s="1"/>
  <c r="S480" i="2"/>
  <c r="S492" i="2"/>
  <c r="S504" i="2"/>
  <c r="S516" i="2"/>
  <c r="C516" i="2" s="1" a="1"/>
  <c r="C516" i="2" s="1"/>
  <c r="S528" i="2"/>
  <c r="C528" i="2" s="1" a="1"/>
  <c r="C528" i="2" s="1"/>
  <c r="S540" i="2"/>
  <c r="C540" i="2" s="1" a="1"/>
  <c r="C540" i="2" s="1"/>
  <c r="S552" i="2"/>
  <c r="S564" i="2"/>
  <c r="C564" i="2" s="1" a="1"/>
  <c r="C564" i="2" s="1"/>
  <c r="S576" i="2"/>
  <c r="C576" i="2" s="1" a="1"/>
  <c r="C576" i="2" s="1"/>
  <c r="S588" i="2"/>
  <c r="C588" i="2" s="1" a="1"/>
  <c r="C588" i="2" s="1"/>
  <c r="S600" i="2"/>
  <c r="C600" i="2" s="1" a="1"/>
  <c r="C600" i="2" s="1"/>
  <c r="S612" i="2"/>
  <c r="C612" i="2" s="1" a="1"/>
  <c r="C612" i="2" s="1"/>
  <c r="S624" i="2"/>
  <c r="S636" i="2"/>
  <c r="S648" i="2"/>
  <c r="C648" i="2" s="1" a="1"/>
  <c r="C648" i="2" s="1"/>
  <c r="S660" i="2"/>
  <c r="S672" i="2"/>
  <c r="C672" i="2" s="1" a="1"/>
  <c r="C672" i="2" s="1"/>
  <c r="S684" i="2"/>
  <c r="S696" i="2"/>
  <c r="C696" i="2" s="1" a="1"/>
  <c r="C696" i="2" s="1"/>
  <c r="S708" i="2"/>
  <c r="C708" i="2" s="1" a="1"/>
  <c r="C708" i="2" s="1"/>
  <c r="S720" i="2"/>
  <c r="C720" i="2" s="1" a="1"/>
  <c r="C720" i="2" s="1"/>
  <c r="S732" i="2"/>
  <c r="C732" i="2" s="1" a="1"/>
  <c r="C732" i="2" s="1"/>
  <c r="S744" i="2"/>
  <c r="C744" i="2" s="1" a="1"/>
  <c r="C744" i="2" s="1"/>
  <c r="S756" i="2"/>
  <c r="C756" i="2" s="1" a="1"/>
  <c r="C756" i="2" s="1"/>
  <c r="S768" i="2"/>
  <c r="S780" i="2"/>
  <c r="S792" i="2"/>
  <c r="S804" i="2"/>
  <c r="C804" i="2" s="1" a="1"/>
  <c r="C804" i="2" s="1"/>
  <c r="S816" i="2"/>
  <c r="C816" i="2" s="1" a="1"/>
  <c r="C816" i="2" s="1"/>
  <c r="S828" i="2"/>
  <c r="C828" i="2" s="1" a="1"/>
  <c r="C828" i="2" s="1"/>
  <c r="S840" i="2"/>
  <c r="C840" i="2" s="1" a="1"/>
  <c r="C840" i="2" s="1"/>
  <c r="S852" i="2"/>
  <c r="C852" i="2" s="1" a="1"/>
  <c r="C852" i="2" s="1"/>
  <c r="S864" i="2"/>
  <c r="C864" i="2" s="1" a="1"/>
  <c r="C864" i="2" s="1"/>
  <c r="S876" i="2"/>
  <c r="C876" i="2" s="1" a="1"/>
  <c r="C876" i="2" s="1"/>
  <c r="S888" i="2"/>
  <c r="C888" i="2" s="1" a="1"/>
  <c r="C888" i="2" s="1"/>
  <c r="S900" i="2"/>
  <c r="C900" i="2" s="1" a="1"/>
  <c r="C900" i="2" s="1"/>
  <c r="S912" i="2"/>
  <c r="S924" i="2"/>
  <c r="S936" i="2"/>
  <c r="C936" i="2" s="1" a="1"/>
  <c r="C936" i="2" s="1"/>
  <c r="S948" i="2"/>
  <c r="C948" i="2" s="1" a="1"/>
  <c r="C948" i="2" s="1"/>
  <c r="S960" i="2"/>
  <c r="C960" i="2" s="1" a="1"/>
  <c r="C960" i="2" s="1"/>
  <c r="S972" i="2"/>
  <c r="C972" i="2" s="1" a="1"/>
  <c r="C972" i="2" s="1"/>
  <c r="S984" i="2"/>
  <c r="C984" i="2" s="1" a="1"/>
  <c r="C984" i="2" s="1"/>
  <c r="S996" i="2"/>
  <c r="C996" i="2" s="1" a="1"/>
  <c r="C996" i="2" s="1"/>
  <c r="S14" i="2"/>
  <c r="C14" i="2" s="1" a="1"/>
  <c r="C14" i="2" s="1"/>
  <c r="S30" i="2"/>
  <c r="C30" i="2" s="1" a="1"/>
  <c r="C30" i="2" s="1"/>
  <c r="S42" i="2"/>
  <c r="C42" i="2" s="1" a="1"/>
  <c r="C42" i="2" s="1"/>
  <c r="S54" i="2"/>
  <c r="C54" i="2" s="1" a="1"/>
  <c r="C54" i="2" s="1"/>
  <c r="S66" i="2"/>
  <c r="S78" i="2"/>
  <c r="S90" i="2"/>
  <c r="S102" i="2"/>
  <c r="S114" i="2"/>
  <c r="C114" i="2" s="1" a="1"/>
  <c r="C114" i="2" s="1"/>
  <c r="S126" i="2"/>
  <c r="C126" i="2" s="1" a="1"/>
  <c r="C126" i="2" s="1"/>
  <c r="S138" i="2"/>
  <c r="C138" i="2" s="1" a="1"/>
  <c r="C138" i="2" s="1"/>
  <c r="S150" i="2"/>
  <c r="C150" i="2" s="1" a="1"/>
  <c r="C150" i="2" s="1"/>
  <c r="S162" i="2"/>
  <c r="C162" i="2" s="1" a="1"/>
  <c r="C162" i="2" s="1"/>
  <c r="S174" i="2"/>
  <c r="C174" i="2" s="1" a="1"/>
  <c r="C174" i="2" s="1"/>
  <c r="S186" i="2"/>
  <c r="C186" i="2" s="1" a="1"/>
  <c r="C186" i="2" s="1"/>
  <c r="S198" i="2"/>
  <c r="C198" i="2" s="1" a="1"/>
  <c r="C198" i="2" s="1"/>
  <c r="S210" i="2"/>
  <c r="S222" i="2"/>
  <c r="S234" i="2"/>
  <c r="S246" i="2"/>
  <c r="S258" i="2"/>
  <c r="C258" i="2" s="1" a="1"/>
  <c r="C258" i="2" s="1"/>
  <c r="S270" i="2"/>
  <c r="C270" i="2" s="1" a="1"/>
  <c r="C270" i="2" s="1"/>
  <c r="S282" i="2"/>
  <c r="C282" i="2" s="1" a="1"/>
  <c r="C282" i="2" s="1"/>
  <c r="S294" i="2"/>
  <c r="C294" i="2" s="1" a="1"/>
  <c r="C294" i="2" s="1"/>
  <c r="S306" i="2"/>
  <c r="C306" i="2" s="1" a="1"/>
  <c r="C306" i="2" s="1"/>
  <c r="S318" i="2"/>
  <c r="C318" i="2" s="1" a="1"/>
  <c r="C318" i="2" s="1"/>
  <c r="S330" i="2"/>
  <c r="C330" i="2" s="1" a="1"/>
  <c r="C330" i="2" s="1"/>
  <c r="S342" i="2"/>
  <c r="C342" i="2" s="1" a="1"/>
  <c r="C342" i="2" s="1"/>
  <c r="S354" i="2"/>
  <c r="S366" i="2"/>
  <c r="S378" i="2"/>
  <c r="S390" i="2"/>
  <c r="C390" i="2" s="1" a="1"/>
  <c r="C390" i="2" s="1"/>
  <c r="S402" i="2"/>
  <c r="C402" i="2" s="1" a="1"/>
  <c r="C402" i="2" s="1"/>
  <c r="S414" i="2"/>
  <c r="C414" i="2" s="1" a="1"/>
  <c r="C414" i="2" s="1"/>
  <c r="S426" i="2"/>
  <c r="C426" i="2" s="1" a="1"/>
  <c r="C426" i="2" s="1"/>
  <c r="S438" i="2"/>
  <c r="C438" i="2" s="1" a="1"/>
  <c r="C438" i="2" s="1"/>
  <c r="S450" i="2"/>
  <c r="C450" i="2" s="1" a="1"/>
  <c r="C450" i="2" s="1"/>
  <c r="S462" i="2"/>
  <c r="C462" i="2" s="1" a="1"/>
  <c r="C462" i="2" s="1"/>
  <c r="S474" i="2"/>
  <c r="C474" i="2" s="1" a="1"/>
  <c r="C474" i="2" s="1"/>
  <c r="S486" i="2"/>
  <c r="C486" i="2" s="1" a="1"/>
  <c r="C486" i="2" s="1"/>
  <c r="S498" i="2"/>
  <c r="S510" i="2"/>
  <c r="S522" i="2"/>
  <c r="S534" i="2"/>
  <c r="C534" i="2" s="1" a="1"/>
  <c r="C534" i="2" s="1"/>
  <c r="S546" i="2"/>
  <c r="C546" i="2" s="1" a="1"/>
  <c r="C546" i="2" s="1"/>
  <c r="S558" i="2"/>
  <c r="C558" i="2" s="1" a="1"/>
  <c r="C558" i="2" s="1"/>
  <c r="S570" i="2"/>
  <c r="C570" i="2" s="1" a="1"/>
  <c r="C570" i="2" s="1"/>
  <c r="S582" i="2"/>
  <c r="C582" i="2" s="1" a="1"/>
  <c r="C582" i="2" s="1"/>
  <c r="S594" i="2"/>
  <c r="C594" i="2" s="1" a="1"/>
  <c r="C594" i="2" s="1"/>
  <c r="S606" i="2"/>
  <c r="C606" i="2" s="1" a="1"/>
  <c r="C606" i="2" s="1"/>
  <c r="S618" i="2"/>
  <c r="C618" i="2" s="1" a="1"/>
  <c r="C618" i="2" s="1"/>
  <c r="S630" i="2"/>
  <c r="C630" i="2" s="1" a="1"/>
  <c r="C630" i="2" s="1"/>
  <c r="S642" i="2"/>
  <c r="S654" i="2"/>
  <c r="S666" i="2"/>
  <c r="S678" i="2"/>
  <c r="C678" i="2" s="1" a="1"/>
  <c r="C678" i="2" s="1"/>
  <c r="S690" i="2"/>
  <c r="C690" i="2" s="1" a="1"/>
  <c r="C690" i="2" s="1"/>
  <c r="S702" i="2"/>
  <c r="C702" i="2" s="1" a="1"/>
  <c r="C702" i="2" s="1"/>
  <c r="S714" i="2"/>
  <c r="C714" i="2" s="1" a="1"/>
  <c r="C714" i="2" s="1"/>
  <c r="S726" i="2"/>
  <c r="C726" i="2" s="1" a="1"/>
  <c r="C726" i="2" s="1"/>
  <c r="S738" i="2"/>
  <c r="C738" i="2" s="1" a="1"/>
  <c r="C738" i="2" s="1"/>
  <c r="S750" i="2"/>
  <c r="C750" i="2" s="1" a="1"/>
  <c r="C750" i="2" s="1"/>
  <c r="S762" i="2"/>
  <c r="C762" i="2" s="1" a="1"/>
  <c r="C762" i="2" s="1"/>
  <c r="S774" i="2"/>
  <c r="C774" i="2" s="1" a="1"/>
  <c r="C774" i="2" s="1"/>
  <c r="S786" i="2"/>
  <c r="S798" i="2"/>
  <c r="S810" i="2"/>
  <c r="S822" i="2"/>
  <c r="C822" i="2" s="1" a="1"/>
  <c r="C822" i="2" s="1"/>
  <c r="S834" i="2"/>
  <c r="C834" i="2" s="1" a="1"/>
  <c r="C834" i="2" s="1"/>
  <c r="S846" i="2"/>
  <c r="S858" i="2"/>
  <c r="S870" i="2"/>
  <c r="C870" i="2" s="1" a="1"/>
  <c r="C870" i="2" s="1"/>
  <c r="S882" i="2"/>
  <c r="C882" i="2" s="1" a="1"/>
  <c r="C882" i="2" s="1"/>
  <c r="S894" i="2"/>
  <c r="C894" i="2" s="1" a="1"/>
  <c r="C894" i="2" s="1"/>
  <c r="S906" i="2"/>
  <c r="C906" i="2" s="1" a="1"/>
  <c r="C906" i="2" s="1"/>
  <c r="S918" i="2"/>
  <c r="C918" i="2" s="1" a="1"/>
  <c r="C918" i="2" s="1"/>
  <c r="S930" i="2"/>
  <c r="S942" i="2"/>
  <c r="S954" i="2"/>
  <c r="S966" i="2"/>
  <c r="C966" i="2" s="1" a="1"/>
  <c r="C966" i="2" s="1"/>
  <c r="S978" i="2"/>
  <c r="C978" i="2" s="1" a="1"/>
  <c r="C978" i="2" s="1"/>
  <c r="S990" i="2"/>
  <c r="C990" i="2" s="1" a="1"/>
  <c r="C990" i="2" s="1"/>
  <c r="S9" i="2"/>
  <c r="C9" i="2" s="1" a="1"/>
  <c r="C9" i="2" s="1"/>
  <c r="S12" i="2"/>
  <c r="C12" i="2" s="1" a="1"/>
  <c r="C12" i="2" s="1"/>
  <c r="S989" i="2"/>
  <c r="C989" i="2" s="1" a="1"/>
  <c r="C989" i="2" s="1"/>
  <c r="S971" i="2"/>
  <c r="C971" i="2" s="1" a="1"/>
  <c r="C971" i="2" s="1"/>
  <c r="S950" i="2"/>
  <c r="C950" i="2" s="1" a="1"/>
  <c r="C950" i="2" s="1"/>
  <c r="S928" i="2"/>
  <c r="C928" i="2" s="1" a="1"/>
  <c r="C928" i="2" s="1"/>
  <c r="S910" i="2"/>
  <c r="S889" i="2"/>
  <c r="S867" i="2"/>
  <c r="S845" i="2"/>
  <c r="S827" i="2"/>
  <c r="C827" i="2" s="1" a="1"/>
  <c r="C827" i="2" s="1"/>
  <c r="S806" i="2"/>
  <c r="C806" i="2" s="1" a="1"/>
  <c r="C806" i="2" s="1"/>
  <c r="S784" i="2"/>
  <c r="C784" i="2" s="1" a="1"/>
  <c r="C784" i="2" s="1"/>
  <c r="S766" i="2"/>
  <c r="C766" i="2" s="1" a="1"/>
  <c r="C766" i="2" s="1"/>
  <c r="S745" i="2"/>
  <c r="C745" i="2" s="1" a="1"/>
  <c r="C745" i="2" s="1"/>
  <c r="S723" i="2"/>
  <c r="C723" i="2" s="1" a="1"/>
  <c r="C723" i="2" s="1"/>
  <c r="S701" i="2"/>
  <c r="C701" i="2" s="1" a="1"/>
  <c r="C701" i="2" s="1"/>
  <c r="S683" i="2"/>
  <c r="C683" i="2" s="1" a="1"/>
  <c r="C683" i="2" s="1"/>
  <c r="S662" i="2"/>
  <c r="S640" i="2"/>
  <c r="S622" i="2"/>
  <c r="C622" i="2" s="1" a="1"/>
  <c r="C622" i="2" s="1"/>
  <c r="S601" i="2"/>
  <c r="C601" i="2" s="1" a="1"/>
  <c r="C601" i="2" s="1"/>
  <c r="S579" i="2"/>
  <c r="C579" i="2" s="1" a="1"/>
  <c r="C579" i="2" s="1"/>
  <c r="S557" i="2"/>
  <c r="C557" i="2" s="1" a="1"/>
  <c r="C557" i="2" s="1"/>
  <c r="S539" i="2"/>
  <c r="C539" i="2" s="1" a="1"/>
  <c r="C539" i="2" s="1"/>
  <c r="S518" i="2"/>
  <c r="C518" i="2" s="1" a="1"/>
  <c r="C518" i="2" s="1"/>
  <c r="S496" i="2"/>
  <c r="C496" i="2" s="1" a="1"/>
  <c r="C496" i="2" s="1"/>
  <c r="S478" i="2"/>
  <c r="C478" i="2" s="1" a="1"/>
  <c r="C478" i="2" s="1"/>
  <c r="S457" i="2"/>
  <c r="C457" i="2" s="1" a="1"/>
  <c r="C457" i="2" s="1"/>
  <c r="S435" i="2"/>
  <c r="C435" i="2" s="1" a="1"/>
  <c r="C435" i="2" s="1"/>
  <c r="S413" i="2"/>
  <c r="S395" i="2"/>
  <c r="S374" i="2"/>
  <c r="S352" i="2"/>
  <c r="C352" i="2" s="1" a="1"/>
  <c r="C352" i="2" s="1"/>
  <c r="S334" i="2"/>
  <c r="C334" i="2" s="1" a="1"/>
  <c r="C334" i="2" s="1"/>
  <c r="S313" i="2"/>
  <c r="S291" i="2"/>
  <c r="C291" i="2" s="1" a="1"/>
  <c r="C291" i="2" s="1"/>
  <c r="S269" i="2"/>
  <c r="C269" i="2" s="1" a="1"/>
  <c r="C269" i="2" s="1"/>
  <c r="S251" i="2"/>
  <c r="C251" i="2" s="1" a="1"/>
  <c r="C251" i="2" s="1"/>
  <c r="S230" i="2"/>
  <c r="C230" i="2" s="1" a="1"/>
  <c r="C230" i="2" s="1"/>
  <c r="S208" i="2"/>
  <c r="C208" i="2" s="1" a="1"/>
  <c r="C208" i="2" s="1"/>
  <c r="S190" i="2"/>
  <c r="C190" i="2" s="1" a="1"/>
  <c r="C190" i="2" s="1"/>
  <c r="S169" i="2"/>
  <c r="S147" i="2"/>
  <c r="S125" i="2"/>
  <c r="C125" i="2" s="1" a="1"/>
  <c r="C125" i="2" s="1"/>
  <c r="S107" i="2"/>
  <c r="S86" i="2"/>
  <c r="C86" i="2" s="1" a="1"/>
  <c r="C86" i="2" s="1"/>
  <c r="S64" i="2"/>
  <c r="C64" i="2" s="1" a="1"/>
  <c r="C64" i="2" s="1"/>
  <c r="S46" i="2"/>
  <c r="C46" i="2" s="1" a="1"/>
  <c r="C46" i="2" s="1"/>
  <c r="S25" i="2"/>
  <c r="C25" i="2" s="1" a="1"/>
  <c r="C25" i="2" s="1"/>
  <c r="S725" i="2"/>
  <c r="C725" i="2" s="1" a="1"/>
  <c r="C725" i="2" s="1"/>
  <c r="S707" i="2"/>
  <c r="C707" i="2" s="1" a="1"/>
  <c r="C707" i="2" s="1"/>
  <c r="S686" i="2"/>
  <c r="C686" i="2" s="1" a="1"/>
  <c r="C686" i="2" s="1"/>
  <c r="S664" i="2"/>
  <c r="C664" i="2" s="1" a="1"/>
  <c r="C664" i="2" s="1"/>
  <c r="S646" i="2"/>
  <c r="S625" i="2"/>
  <c r="S603" i="2"/>
  <c r="S581" i="2"/>
  <c r="C581" i="2" s="1" a="1"/>
  <c r="C581" i="2" s="1"/>
  <c r="S563" i="2"/>
  <c r="C563" i="2" s="1" a="1"/>
  <c r="C563" i="2" s="1"/>
  <c r="S542" i="2"/>
  <c r="C542" i="2" s="1" a="1"/>
  <c r="C542" i="2" s="1"/>
  <c r="S520" i="2"/>
  <c r="C520" i="2" s="1" a="1"/>
  <c r="C520" i="2" s="1"/>
  <c r="S502" i="2"/>
  <c r="C502" i="2" s="1" a="1"/>
  <c r="C502" i="2" s="1"/>
  <c r="S481" i="2"/>
  <c r="C481" i="2" s="1" a="1"/>
  <c r="C481" i="2" s="1"/>
  <c r="S459" i="2"/>
  <c r="C459" i="2" s="1" a="1"/>
  <c r="C459" i="2" s="1"/>
  <c r="S437" i="2"/>
  <c r="C437" i="2" s="1" a="1"/>
  <c r="C437" i="2" s="1"/>
  <c r="S419" i="2"/>
  <c r="C419" i="2" s="1" a="1"/>
  <c r="C419" i="2" s="1"/>
  <c r="S398" i="2"/>
  <c r="S376" i="2"/>
  <c r="S358" i="2"/>
  <c r="C358" i="2" s="1" a="1"/>
  <c r="C358" i="2" s="1"/>
  <c r="S337" i="2"/>
  <c r="C337" i="2" s="1" a="1"/>
  <c r="C337" i="2" s="1"/>
  <c r="S315" i="2"/>
  <c r="C315" i="2" s="1" a="1"/>
  <c r="C315" i="2" s="1"/>
  <c r="S293" i="2"/>
  <c r="S275" i="2"/>
  <c r="C275" i="2" s="1" a="1"/>
  <c r="C275" i="2" s="1"/>
  <c r="S254" i="2"/>
  <c r="C254" i="2" s="1" a="1"/>
  <c r="C254" i="2" s="1"/>
  <c r="S232" i="2"/>
  <c r="C232" i="2" s="1" a="1"/>
  <c r="C232" i="2" s="1"/>
  <c r="S214" i="2"/>
  <c r="C214" i="2" s="1" a="1"/>
  <c r="C214" i="2" s="1"/>
  <c r="S193" i="2"/>
  <c r="C193" i="2" s="1" a="1"/>
  <c r="C193" i="2" s="1"/>
  <c r="S171" i="2"/>
  <c r="C171" i="2" s="1" a="1"/>
  <c r="C171" i="2" s="1"/>
  <c r="S149" i="2"/>
  <c r="S131" i="2"/>
  <c r="S110" i="2"/>
  <c r="C110" i="2" s="1" a="1"/>
  <c r="C110" i="2" s="1"/>
  <c r="S88" i="2"/>
  <c r="C88" i="2" s="1" a="1"/>
  <c r="C88" i="2" s="1"/>
  <c r="S70" i="2"/>
  <c r="C70" i="2" s="1" a="1"/>
  <c r="C70" i="2" s="1"/>
  <c r="S49" i="2"/>
  <c r="C49" i="2" s="1" a="1"/>
  <c r="C49" i="2" s="1"/>
  <c r="S27" i="2"/>
  <c r="C27" i="2" s="1" a="1"/>
  <c r="C27" i="2" s="1"/>
  <c r="B598" i="2"/>
  <c r="S988" i="2"/>
  <c r="C988" i="2" s="1" a="1"/>
  <c r="C988" i="2" s="1"/>
  <c r="S970" i="2"/>
  <c r="C970" i="2" s="1" a="1"/>
  <c r="C970" i="2" s="1"/>
  <c r="S949" i="2"/>
  <c r="C949" i="2" s="1" a="1"/>
  <c r="C949" i="2" s="1"/>
  <c r="S927" i="2"/>
  <c r="C927" i="2" s="1" a="1"/>
  <c r="C927" i="2" s="1"/>
  <c r="S905" i="2"/>
  <c r="S887" i="2"/>
  <c r="S866" i="2"/>
  <c r="S844" i="2"/>
  <c r="S826" i="2"/>
  <c r="C826" i="2" s="1" a="1"/>
  <c r="C826" i="2" s="1"/>
  <c r="S805" i="2"/>
  <c r="S783" i="2"/>
  <c r="C783" i="2" s="1" a="1"/>
  <c r="C783" i="2" s="1"/>
  <c r="S761" i="2"/>
  <c r="C761" i="2" s="1" a="1"/>
  <c r="C761" i="2" s="1"/>
  <c r="S743" i="2"/>
  <c r="C743" i="2" s="1" a="1"/>
  <c r="C743" i="2" s="1"/>
  <c r="S722" i="2"/>
  <c r="C722" i="2" s="1" a="1"/>
  <c r="C722" i="2" s="1"/>
  <c r="S700" i="2"/>
  <c r="C700" i="2" s="1" a="1"/>
  <c r="C700" i="2" s="1"/>
  <c r="S682" i="2"/>
  <c r="C682" i="2" s="1" a="1"/>
  <c r="C682" i="2" s="1"/>
  <c r="S661" i="2"/>
  <c r="S639" i="2"/>
  <c r="S617" i="2"/>
  <c r="S599" i="2"/>
  <c r="C599" i="2" s="1" a="1"/>
  <c r="C599" i="2" s="1"/>
  <c r="S578" i="2"/>
  <c r="C578" i="2" s="1" a="1"/>
  <c r="C578" i="2" s="1"/>
  <c r="S556" i="2"/>
  <c r="S538" i="2"/>
  <c r="C538" i="2" s="1" a="1"/>
  <c r="C538" i="2" s="1"/>
  <c r="S517" i="2"/>
  <c r="C517" i="2" s="1" a="1"/>
  <c r="C517" i="2" s="1"/>
  <c r="S495" i="2"/>
  <c r="C495" i="2" s="1" a="1"/>
  <c r="C495" i="2" s="1"/>
  <c r="S473" i="2"/>
  <c r="C473" i="2" s="1" a="1"/>
  <c r="C473" i="2" s="1"/>
  <c r="S455" i="2"/>
  <c r="C455" i="2" s="1" a="1"/>
  <c r="C455" i="2" s="1"/>
  <c r="S434" i="2"/>
  <c r="C434" i="2" s="1" a="1"/>
  <c r="C434" i="2" s="1"/>
  <c r="S412" i="2"/>
  <c r="S394" i="2"/>
  <c r="S373" i="2"/>
  <c r="S351" i="2"/>
  <c r="C351" i="2" s="1" a="1"/>
  <c r="C351" i="2" s="1"/>
  <c r="S329" i="2"/>
  <c r="C329" i="2" s="1" a="1"/>
  <c r="C329" i="2" s="1"/>
  <c r="S311" i="2"/>
  <c r="C311" i="2" s="1" a="1"/>
  <c r="C311" i="2" s="1"/>
  <c r="S290" i="2"/>
  <c r="C290" i="2" s="1" a="1"/>
  <c r="C290" i="2" s="1"/>
  <c r="S268" i="2"/>
  <c r="C268" i="2" s="1" a="1"/>
  <c r="C268" i="2" s="1"/>
  <c r="S250" i="2"/>
  <c r="C250" i="2" s="1" a="1"/>
  <c r="C250" i="2" s="1"/>
  <c r="S229" i="2"/>
  <c r="C229" i="2" s="1" a="1"/>
  <c r="C229" i="2" s="1"/>
  <c r="S207" i="2"/>
  <c r="C207" i="2" s="1" a="1"/>
  <c r="C207" i="2" s="1"/>
  <c r="S185" i="2"/>
  <c r="C185" i="2" s="1" a="1"/>
  <c r="C185" i="2" s="1"/>
  <c r="S167" i="2"/>
  <c r="S146" i="2"/>
  <c r="S124" i="2"/>
  <c r="S106" i="2"/>
  <c r="C106" i="2" s="1" a="1"/>
  <c r="C106" i="2" s="1"/>
  <c r="S85" i="2"/>
  <c r="C85" i="2" s="1" a="1"/>
  <c r="C85" i="2" s="1"/>
  <c r="S63" i="2"/>
  <c r="C63" i="2" s="1" a="1"/>
  <c r="C63" i="2" s="1"/>
  <c r="S41" i="2"/>
  <c r="C41" i="2" s="1" a="1"/>
  <c r="C41" i="2" s="1"/>
  <c r="S23" i="2"/>
  <c r="C23" i="2" s="1" a="1"/>
  <c r="C23" i="2" s="1"/>
  <c r="B458" i="2"/>
  <c r="B886" i="2"/>
  <c r="S987" i="2"/>
  <c r="C987" i="2" s="1" a="1"/>
  <c r="C987" i="2" s="1"/>
  <c r="S965" i="2"/>
  <c r="C965" i="2" s="1" a="1"/>
  <c r="C965" i="2" s="1"/>
  <c r="S947" i="2"/>
  <c r="S926" i="2"/>
  <c r="S904" i="2"/>
  <c r="S886" i="2"/>
  <c r="C886" i="2" s="1" a="1"/>
  <c r="C886" i="2" s="1"/>
  <c r="S865" i="2"/>
  <c r="C865" i="2" s="1" a="1"/>
  <c r="C865" i="2" s="1"/>
  <c r="S843" i="2"/>
  <c r="C843" i="2" s="1" a="1"/>
  <c r="C843" i="2" s="1"/>
  <c r="S821" i="2"/>
  <c r="C821" i="2" s="1" a="1"/>
  <c r="C821" i="2" s="1"/>
  <c r="S803" i="2"/>
  <c r="C803" i="2" s="1" a="1"/>
  <c r="C803" i="2" s="1"/>
  <c r="S782" i="2"/>
  <c r="C782" i="2" s="1" a="1"/>
  <c r="C782" i="2" s="1"/>
  <c r="S760" i="2"/>
  <c r="C760" i="2" s="1" a="1"/>
  <c r="C760" i="2" s="1"/>
  <c r="S742" i="2"/>
  <c r="C742" i="2" s="1" a="1"/>
  <c r="C742" i="2" s="1"/>
  <c r="S721" i="2"/>
  <c r="C721" i="2" s="1" a="1"/>
  <c r="C721" i="2" s="1"/>
  <c r="S699" i="2"/>
  <c r="S677" i="2"/>
  <c r="S659" i="2"/>
  <c r="S638" i="2"/>
  <c r="C638" i="2" s="1" a="1"/>
  <c r="C638" i="2" s="1"/>
  <c r="S616" i="2"/>
  <c r="C616" i="2" s="1" a="1"/>
  <c r="C616" i="2" s="1"/>
  <c r="S598" i="2"/>
  <c r="S577" i="2"/>
  <c r="C577" i="2" s="1" a="1"/>
  <c r="C577" i="2" s="1"/>
  <c r="S555" i="2"/>
  <c r="C555" i="2" s="1" a="1"/>
  <c r="C555" i="2" s="1"/>
  <c r="S533" i="2"/>
  <c r="C533" i="2" s="1" a="1"/>
  <c r="C533" i="2" s="1"/>
  <c r="S515" i="2"/>
  <c r="C515" i="2" s="1" a="1"/>
  <c r="C515" i="2" s="1"/>
  <c r="S494" i="2"/>
  <c r="C494" i="2" s="1" a="1"/>
  <c r="C494" i="2" s="1"/>
  <c r="S472" i="2"/>
  <c r="C472" i="2" s="1" a="1"/>
  <c r="C472" i="2" s="1"/>
  <c r="S454" i="2"/>
  <c r="S433" i="2"/>
  <c r="S411" i="2"/>
  <c r="S389" i="2"/>
  <c r="C389" i="2" s="1" a="1"/>
  <c r="C389" i="2" s="1"/>
  <c r="S371" i="2"/>
  <c r="C371" i="2" s="1" a="1"/>
  <c r="C371" i="2" s="1"/>
  <c r="S350" i="2"/>
  <c r="S328" i="2"/>
  <c r="C328" i="2" s="1" a="1"/>
  <c r="C328" i="2" s="1"/>
  <c r="S310" i="2"/>
  <c r="C310" i="2" s="1" a="1"/>
  <c r="C310" i="2" s="1"/>
  <c r="S289" i="2"/>
  <c r="C289" i="2" s="1" a="1"/>
  <c r="C289" i="2" s="1"/>
  <c r="S267" i="2"/>
  <c r="C267" i="2" s="1" a="1"/>
  <c r="C267" i="2" s="1"/>
  <c r="S245" i="2"/>
  <c r="C245" i="2" s="1" a="1"/>
  <c r="C245" i="2" s="1"/>
  <c r="S227" i="2"/>
  <c r="C227" i="2" s="1" a="1"/>
  <c r="C227" i="2" s="1"/>
  <c r="S206" i="2"/>
  <c r="S184" i="2"/>
  <c r="S166" i="2"/>
  <c r="C166" i="2" s="1" a="1"/>
  <c r="C166" i="2" s="1"/>
  <c r="S145" i="2"/>
  <c r="C145" i="2" s="1" a="1"/>
  <c r="C145" i="2" s="1"/>
  <c r="S123" i="2"/>
  <c r="C123" i="2" s="1" a="1"/>
  <c r="C123" i="2" s="1"/>
  <c r="S101" i="2"/>
  <c r="C101" i="2" s="1" a="1"/>
  <c r="C101" i="2" s="1"/>
  <c r="S83" i="2"/>
  <c r="C83" i="2" s="1" a="1"/>
  <c r="C83" i="2" s="1"/>
  <c r="S62" i="2"/>
  <c r="C62" i="2" s="1" a="1"/>
  <c r="C62" i="2" s="1"/>
  <c r="S40" i="2"/>
  <c r="C40" i="2" s="1" a="1"/>
  <c r="C40" i="2" s="1"/>
  <c r="S22" i="2"/>
  <c r="C22" i="2" s="1" a="1"/>
  <c r="C22" i="2" s="1"/>
  <c r="A285" i="2"/>
  <c r="A651" i="2"/>
  <c r="A34" i="2"/>
  <c r="A286" i="2"/>
  <c r="A724" i="2"/>
  <c r="B202" i="2"/>
  <c r="A36" i="2"/>
  <c r="A288" i="2"/>
  <c r="A726" i="2"/>
  <c r="B314" i="2"/>
  <c r="G216" i="2" a="1"/>
  <c r="G216" i="2" s="1"/>
  <c r="G230" i="2" a="1"/>
  <c r="G230" i="2" s="1"/>
  <c r="G81" i="2" a="1"/>
  <c r="G81" i="2" s="1"/>
  <c r="G6" i="2" a="1"/>
  <c r="G6" i="2" s="1"/>
  <c r="G82" i="2" a="1"/>
  <c r="G82" i="2" s="1"/>
  <c r="G181" i="2" a="1"/>
  <c r="G181" i="2" s="1"/>
  <c r="G84" i="2" a="1"/>
  <c r="G84" i="2" s="1"/>
  <c r="G7" i="2" a="1"/>
  <c r="G7" i="2" s="1"/>
  <c r="G92" i="2" a="1"/>
  <c r="G92" i="2" s="1"/>
  <c r="G13" i="2" a="1"/>
  <c r="G13" i="2" s="1"/>
  <c r="G93" i="2" a="1"/>
  <c r="G93" i="2" s="1"/>
  <c r="G20" i="2" a="1"/>
  <c r="G20" i="2" s="1"/>
  <c r="G195" i="2" a="1"/>
  <c r="G195" i="2" s="1"/>
  <c r="G36" i="2" a="1"/>
  <c r="G36" i="2" s="1"/>
  <c r="G5" i="2" a="1"/>
  <c r="G5" i="2" s="1"/>
  <c r="G21" i="2" a="1"/>
  <c r="G21" i="2" s="1"/>
  <c r="O19" i="2" a="1"/>
  <c r="O19" i="2" s="1"/>
  <c r="G52" i="2" a="1"/>
  <c r="G52" i="2" s="1"/>
  <c r="G56" i="2" a="1"/>
  <c r="G56" i="2" s="1"/>
  <c r="G101" i="2" a="1"/>
  <c r="G101" i="2" s="1"/>
  <c r="G201" i="2" a="1"/>
  <c r="G201" i="2" s="1"/>
  <c r="G154" i="2" a="1"/>
  <c r="G154" i="2" s="1"/>
  <c r="O17" i="2" a="1"/>
  <c r="O17" i="2" s="1"/>
  <c r="G129" i="2" a="1"/>
  <c r="G129" i="2" s="1"/>
  <c r="G206" i="2" a="1"/>
  <c r="G206" i="2" s="1"/>
  <c r="G140" i="2" a="1"/>
  <c r="G140" i="2" s="1"/>
  <c r="G189" i="2" a="1"/>
  <c r="G189" i="2" s="1"/>
  <c r="G190" i="2" a="1"/>
  <c r="G190" i="2" s="1"/>
  <c r="G64" i="2" a="1"/>
  <c r="G64" i="2" s="1"/>
  <c r="G67" i="2" a="1"/>
  <c r="G67" i="2" s="1"/>
  <c r="G4" i="2" a="1"/>
  <c r="G4" i="2" s="1"/>
  <c r="S6" i="2"/>
  <c r="S7" i="2"/>
  <c r="S5" i="2"/>
  <c r="C5" i="2" s="1" a="1"/>
  <c r="C5" i="2" s="1"/>
  <c r="S4" i="2"/>
  <c r="C4" i="2" s="1" a="1"/>
  <c r="C4" i="2" s="1"/>
  <c r="S3" i="2"/>
  <c r="C3" i="2" s="1" a="1"/>
  <c r="C3" i="2" s="1"/>
  <c r="G141" i="2" a="1"/>
  <c r="G141" i="2" s="1"/>
  <c r="A45" i="2"/>
  <c r="A420" i="2"/>
  <c r="A737" i="2"/>
  <c r="B329" i="2"/>
  <c r="A46" i="2"/>
  <c r="A424" i="2"/>
  <c r="A738" i="2"/>
  <c r="B346" i="2"/>
  <c r="A84" i="2"/>
  <c r="A438" i="2"/>
  <c r="A870" i="2"/>
  <c r="B446" i="2"/>
  <c r="G130" i="2" a="1"/>
  <c r="G130" i="2" s="1"/>
  <c r="E919" i="2"/>
  <c r="E823" i="2"/>
  <c r="E562" i="2"/>
  <c r="E316" i="2"/>
  <c r="E124" i="2"/>
  <c r="E723" i="2"/>
  <c r="E466" i="2"/>
  <c r="E238" i="2"/>
  <c r="E57" i="2"/>
  <c r="E811" i="2"/>
  <c r="E521" i="2"/>
  <c r="E314" i="2"/>
  <c r="E116" i="2"/>
  <c r="E715" i="2"/>
  <c r="E457" i="2"/>
  <c r="E234" i="2"/>
  <c r="E56" i="2"/>
  <c r="E697" i="2"/>
  <c r="E434" i="2"/>
  <c r="E231" i="2"/>
  <c r="E54" i="2"/>
  <c r="E970" i="2"/>
  <c r="E569" i="2"/>
  <c r="E152" i="2"/>
  <c r="E946" i="2"/>
  <c r="E430" i="2"/>
  <c r="E127" i="2"/>
  <c r="E874" i="2"/>
  <c r="E428" i="2"/>
  <c r="E125" i="2"/>
  <c r="E871" i="2"/>
  <c r="E415" i="2"/>
  <c r="E38" i="2"/>
  <c r="E679" i="2"/>
  <c r="E317" i="2"/>
  <c r="E658" i="2"/>
  <c r="E230" i="2"/>
  <c r="E685" i="2"/>
  <c r="C908" i="2" a="1"/>
  <c r="C908" i="2" s="1"/>
  <c r="C777" i="2" a="1"/>
  <c r="C777" i="2" s="1"/>
  <c r="C651" i="2" a="1"/>
  <c r="C651" i="2" s="1"/>
  <c r="C624" i="2" a="1"/>
  <c r="C624" i="2" s="1"/>
  <c r="C872" i="2" a="1"/>
  <c r="C872" i="2" s="1"/>
  <c r="C484" i="2" a="1"/>
  <c r="C484" i="2" s="1"/>
  <c r="C292" i="2" a="1"/>
  <c r="C292" i="2" s="1"/>
  <c r="E570" i="2"/>
  <c r="C794" i="2" a="1"/>
  <c r="C794" i="2" s="1"/>
  <c r="C671" i="2" a="1"/>
  <c r="C671" i="2" s="1"/>
  <c r="E573" i="2"/>
  <c r="E577" i="2"/>
  <c r="C792" i="2" a="1"/>
  <c r="C792" i="2" s="1"/>
  <c r="E844" i="2"/>
  <c r="E160" i="2"/>
  <c r="E211" i="2"/>
  <c r="C620" i="2" a="1"/>
  <c r="C620" i="2" s="1"/>
  <c r="C483" i="2" a="1"/>
  <c r="C483" i="2" s="1"/>
  <c r="C99" i="2" a="1"/>
  <c r="C99" i="2" s="1"/>
  <c r="C697" i="2" a="1"/>
  <c r="C697" i="2" s="1"/>
  <c r="C20" i="2" a="1"/>
  <c r="C20" i="2" s="1"/>
  <c r="C48" i="2" a="1"/>
  <c r="C48" i="2" s="1"/>
  <c r="C146" i="2" a="1"/>
  <c r="C146" i="2" s="1"/>
  <c r="C177" i="2" a="1"/>
  <c r="C177" i="2" s="1"/>
  <c r="C467" i="2" a="1"/>
  <c r="C467" i="2" s="1"/>
  <c r="C608" i="2" a="1"/>
  <c r="C608" i="2" s="1"/>
  <c r="C752" i="2" a="1"/>
  <c r="C752" i="2" s="1"/>
  <c r="C778" i="2" a="1"/>
  <c r="C778" i="2" s="1"/>
  <c r="C874" i="2" a="1"/>
  <c r="C874" i="2" s="1"/>
  <c r="C896" i="2" a="1"/>
  <c r="C896" i="2" s="1"/>
  <c r="C922" i="2" a="1"/>
  <c r="C922" i="2" s="1"/>
  <c r="C192" i="2" a="1"/>
  <c r="C192" i="2" s="1"/>
  <c r="C255" i="2" a="1"/>
  <c r="C255" i="2" s="1"/>
  <c r="C280" i="2" a="1"/>
  <c r="C280" i="2" s="1"/>
  <c r="C321" i="2" a="1"/>
  <c r="C321" i="2" s="1"/>
  <c r="C346" i="2" a="1"/>
  <c r="C346" i="2" s="1"/>
  <c r="C384" i="2" a="1"/>
  <c r="C384" i="2" s="1"/>
  <c r="C409" i="2" a="1"/>
  <c r="C409" i="2" s="1"/>
  <c r="C447" i="2" a="1"/>
  <c r="C447" i="2" s="1"/>
  <c r="C21" i="2" a="1"/>
  <c r="C21" i="2" s="1"/>
  <c r="C147" i="2" a="1"/>
  <c r="C147" i="2" s="1"/>
  <c r="C241" i="2" a="1"/>
  <c r="C241" i="2" s="1"/>
  <c r="C433" i="2" a="1"/>
  <c r="C433" i="2" s="1"/>
  <c r="C586" i="2" a="1"/>
  <c r="C586" i="2" s="1"/>
  <c r="C609" i="2" a="1"/>
  <c r="C609" i="2" s="1"/>
  <c r="C753" i="2" a="1"/>
  <c r="C753" i="2" s="1"/>
  <c r="C897" i="2" a="1"/>
  <c r="C897" i="2" s="1"/>
  <c r="C945" i="2" a="1"/>
  <c r="C945" i="2" s="1"/>
  <c r="C183" i="2" a="1"/>
  <c r="C183" i="2" s="1"/>
  <c r="C469" i="2" a="1"/>
  <c r="C469" i="2" s="1"/>
  <c r="C504" i="2" a="1"/>
  <c r="C504" i="2" s="1"/>
  <c r="C587" i="2" a="1"/>
  <c r="C587" i="2" s="1"/>
  <c r="C614" i="2" a="1"/>
  <c r="C614" i="2" s="1"/>
  <c r="C636" i="2" a="1"/>
  <c r="C636" i="2" s="1"/>
  <c r="C662" i="2" a="1"/>
  <c r="C662" i="2" s="1"/>
  <c r="C684" i="2" a="1"/>
  <c r="C684" i="2" s="1"/>
  <c r="C710" i="2" a="1"/>
  <c r="C710" i="2" s="1"/>
  <c r="C758" i="2" a="1"/>
  <c r="C758" i="2" s="1"/>
  <c r="C780" i="2" a="1"/>
  <c r="C780" i="2" s="1"/>
  <c r="C854" i="2" a="1"/>
  <c r="C854" i="2" s="1"/>
  <c r="C902" i="2" a="1"/>
  <c r="C902" i="2" s="1"/>
  <c r="C924" i="2" a="1"/>
  <c r="C924" i="2" s="1"/>
  <c r="C58" i="2" a="1"/>
  <c r="C58" i="2" s="1"/>
  <c r="C152" i="2" a="1"/>
  <c r="C152" i="2" s="1"/>
  <c r="C184" i="2" a="1"/>
  <c r="C184" i="2" s="1"/>
  <c r="C278" i="2" a="1"/>
  <c r="C278" i="2" s="1"/>
  <c r="C313" i="2" a="1"/>
  <c r="C313" i="2" s="1"/>
  <c r="C376" i="2" a="1"/>
  <c r="C376" i="2" s="1"/>
  <c r="C615" i="2" a="1"/>
  <c r="C615" i="2" s="1"/>
  <c r="C637" i="2" a="1"/>
  <c r="C637" i="2" s="1"/>
  <c r="C711" i="2" a="1"/>
  <c r="C711" i="2" s="1"/>
  <c r="C781" i="2" a="1"/>
  <c r="C781" i="2" s="1"/>
  <c r="C855" i="2" a="1"/>
  <c r="C855" i="2" s="1"/>
  <c r="C951" i="2" a="1"/>
  <c r="C951" i="2" s="1"/>
  <c r="C999" i="2" a="1"/>
  <c r="C999" i="2" s="1"/>
  <c r="C216" i="2" a="1"/>
  <c r="C216" i="2" s="1"/>
  <c r="C279" i="2" a="1"/>
  <c r="C279" i="2" s="1"/>
  <c r="C320" i="2" a="1"/>
  <c r="C320" i="2" s="1"/>
  <c r="C510" i="2" a="1"/>
  <c r="C510" i="2" s="1"/>
  <c r="C589" i="2" a="1"/>
  <c r="C589" i="2" s="1"/>
  <c r="C715" i="2" a="1"/>
  <c r="C715" i="2" s="1"/>
  <c r="C734" i="2" a="1"/>
  <c r="C734" i="2" s="1"/>
  <c r="C859" i="2" a="1"/>
  <c r="C859" i="2" s="1"/>
  <c r="C926" i="2" a="1"/>
  <c r="C926" i="2" s="1"/>
  <c r="C955" i="2" a="1"/>
  <c r="C955" i="2" s="1"/>
  <c r="C974" i="2" a="1"/>
  <c r="C974" i="2" s="1"/>
  <c r="C39" i="2" a="1"/>
  <c r="C39" i="2" s="1"/>
  <c r="C423" i="2" a="1"/>
  <c r="C423" i="2" s="1"/>
  <c r="C764" i="2" a="1"/>
  <c r="C764" i="2" s="1"/>
  <c r="C841" i="2" a="1"/>
  <c r="C841" i="2" s="1"/>
  <c r="C887" i="2" a="1"/>
  <c r="C887" i="2" s="1"/>
  <c r="C169" i="2" a="1"/>
  <c r="C169" i="2" s="1"/>
  <c r="C424" i="2" a="1"/>
  <c r="C424" i="2" s="1"/>
  <c r="C639" i="2" a="1"/>
  <c r="C639" i="2" s="1"/>
  <c r="C368" i="2" a="1"/>
  <c r="C368" i="2" s="1"/>
  <c r="C647" i="2" a="1"/>
  <c r="C647" i="2" s="1"/>
  <c r="C889" i="2" a="1"/>
  <c r="C889" i="2" s="1"/>
  <c r="C513" i="2" a="1"/>
  <c r="C513" i="2" s="1"/>
  <c r="C728" i="2" a="1"/>
  <c r="C728" i="2" s="1"/>
  <c r="C813" i="2" a="1"/>
  <c r="C813" i="2" s="1"/>
  <c r="C975" i="2" a="1"/>
  <c r="C975" i="2" s="1"/>
  <c r="C68" i="2" a="1"/>
  <c r="C68" i="2" s="1"/>
  <c r="C131" i="2" a="1"/>
  <c r="C131" i="2" s="1"/>
  <c r="C323" i="2" a="1"/>
  <c r="C323" i="2" s="1"/>
  <c r="C386" i="2" a="1"/>
  <c r="C386" i="2" s="1"/>
  <c r="C452" i="2" a="1"/>
  <c r="C452" i="2" s="1"/>
  <c r="C514" i="2" a="1"/>
  <c r="C514" i="2" s="1"/>
  <c r="C768" i="2" a="1"/>
  <c r="C768" i="2" s="1"/>
  <c r="C814" i="2" a="1"/>
  <c r="C814" i="2" s="1"/>
  <c r="C891" i="2" a="1"/>
  <c r="C891" i="2" s="1"/>
  <c r="C937" i="2" a="1"/>
  <c r="C937" i="2" s="1"/>
  <c r="C983" i="2" a="1"/>
  <c r="C983" i="2" s="1"/>
  <c r="C47" i="2" a="1"/>
  <c r="C47" i="2" s="1"/>
  <c r="C767" i="2" a="1"/>
  <c r="C767" i="2" s="1"/>
  <c r="C195" i="2" a="1"/>
  <c r="C195" i="2" s="1"/>
  <c r="C387" i="2" a="1"/>
  <c r="C387" i="2" s="1"/>
  <c r="C453" i="2" a="1"/>
  <c r="C453" i="2" s="1"/>
  <c r="C607" i="2" a="1"/>
  <c r="C607" i="2" s="1"/>
  <c r="C735" i="2" a="1"/>
  <c r="C735" i="2" s="1"/>
  <c r="C815" i="2" a="1"/>
  <c r="C815" i="2" s="1"/>
  <c r="C81" i="2" a="1"/>
  <c r="C81" i="2" s="1"/>
  <c r="C336" i="2" a="1"/>
  <c r="C336" i="2" s="1"/>
  <c r="C399" i="2" a="1"/>
  <c r="C399" i="2" s="1"/>
  <c r="C465" i="2" a="1"/>
  <c r="C465" i="2" s="1"/>
  <c r="C621" i="2" a="1"/>
  <c r="C621" i="2" s="1"/>
  <c r="C863" i="2" a="1"/>
  <c r="C863" i="2" s="1"/>
  <c r="C274" i="2" a="1"/>
  <c r="C274" i="2" s="1"/>
  <c r="C400" i="2" a="1"/>
  <c r="C400" i="2" s="1"/>
  <c r="C466" i="2" a="1"/>
  <c r="C466" i="2" s="1"/>
  <c r="C527" i="2" a="1"/>
  <c r="C527" i="2" s="1"/>
  <c r="C574" i="2" a="1"/>
  <c r="C574" i="2" s="1"/>
  <c r="C699" i="2" a="1"/>
  <c r="C699" i="2" s="1"/>
  <c r="C910" i="2" a="1"/>
  <c r="C910" i="2" s="1"/>
  <c r="C912" i="2" a="1"/>
  <c r="C912" i="2" s="1"/>
  <c r="C359" i="2" a="1"/>
  <c r="C359" i="2" s="1"/>
  <c r="C167" i="2" a="1"/>
  <c r="C167" i="2" s="1"/>
  <c r="C839" i="2" a="1"/>
  <c r="C839" i="2" s="1"/>
  <c r="C196" i="2" a="1"/>
  <c r="C196" i="2" s="1"/>
  <c r="E22" i="2"/>
  <c r="E843" i="2"/>
  <c r="C879" i="2" a="1"/>
  <c r="C879" i="2" s="1"/>
  <c r="C751" i="2" a="1"/>
  <c r="C751" i="2" s="1"/>
  <c r="C325" i="2" a="1"/>
  <c r="C325" i="2" s="1"/>
  <c r="E30" i="2"/>
  <c r="C747" i="2" a="1"/>
  <c r="C747" i="2" s="1"/>
  <c r="E226" i="2"/>
  <c r="C603" i="2" a="1"/>
  <c r="C603" i="2" s="1"/>
  <c r="C454" i="2" a="1"/>
  <c r="C454" i="2" s="1"/>
  <c r="C262" i="2" a="1"/>
  <c r="C262" i="2" s="1"/>
  <c r="E340" i="2"/>
  <c r="E341" i="2"/>
  <c r="C831" i="2" a="1"/>
  <c r="C831" i="2" s="1"/>
  <c r="C584" i="2" a="1"/>
  <c r="C584" i="2" s="1"/>
  <c r="C37" i="2" a="1"/>
  <c r="C37" i="2" s="1"/>
  <c r="B600" i="2"/>
  <c r="A154" i="2"/>
  <c r="A335" i="2"/>
  <c r="A579" i="2"/>
  <c r="A795" i="2"/>
  <c r="B84" i="2"/>
  <c r="B712" i="2"/>
  <c r="A165" i="2"/>
  <c r="A348" i="2"/>
  <c r="A582" i="2"/>
  <c r="A798" i="2"/>
  <c r="B187" i="2"/>
  <c r="B742" i="2"/>
  <c r="A153" i="2"/>
  <c r="A297" i="2"/>
  <c r="A566" i="2"/>
  <c r="A741" i="2"/>
  <c r="A156" i="2"/>
  <c r="A338" i="2"/>
  <c r="A580" i="2"/>
  <c r="A796" i="2"/>
  <c r="B86" i="2"/>
  <c r="B728" i="2"/>
  <c r="A24" i="2"/>
  <c r="A168" i="2"/>
  <c r="A410" i="2"/>
  <c r="A593" i="2"/>
  <c r="A868" i="2"/>
  <c r="B199" i="2"/>
  <c r="B869" i="2"/>
  <c r="P2" i="2"/>
  <c r="G240" i="2" a="1"/>
  <c r="G240" i="2" s="1"/>
  <c r="G258" i="2" a="1"/>
  <c r="G258" i="2" s="1"/>
  <c r="G268" i="2" a="1"/>
  <c r="G268" i="2" s="1"/>
  <c r="G277" i="2" a="1"/>
  <c r="G277" i="2" s="1"/>
  <c r="G286" i="2" a="1"/>
  <c r="G286" i="2" s="1"/>
  <c r="G295" i="2" a="1"/>
  <c r="G295" i="2" s="1"/>
  <c r="G313" i="2" a="1"/>
  <c r="G313" i="2" s="1"/>
  <c r="G330" i="2" a="1"/>
  <c r="G330" i="2" s="1"/>
  <c r="G339" i="2" a="1"/>
  <c r="G339" i="2" s="1"/>
  <c r="G348" i="2" a="1"/>
  <c r="G348" i="2" s="1"/>
  <c r="G68" i="2" a="1"/>
  <c r="G68" i="2" s="1"/>
  <c r="G104" i="2" a="1"/>
  <c r="G104" i="2" s="1"/>
  <c r="G16" i="2" a="1"/>
  <c r="G16" i="2" s="1"/>
  <c r="G166" i="2" a="1"/>
  <c r="G166" i="2" s="1"/>
  <c r="G202" i="2" a="1"/>
  <c r="G202" i="2" s="1"/>
  <c r="G217" i="2" a="1"/>
  <c r="G217" i="2" s="1"/>
  <c r="G224" i="2" a="1"/>
  <c r="G224" i="2" s="1"/>
  <c r="G231" i="2" a="1"/>
  <c r="G231" i="2" s="1"/>
  <c r="G114" i="2" a="1"/>
  <c r="G114" i="2" s="1"/>
  <c r="G150" i="2" a="1"/>
  <c r="G150" i="2" s="1"/>
  <c r="G169" i="2" a="1"/>
  <c r="G169" i="2" s="1"/>
  <c r="G186" i="2" a="1"/>
  <c r="G186" i="2" s="1"/>
  <c r="G196" i="2" a="1"/>
  <c r="G196" i="2" s="1"/>
  <c r="G204" i="2" a="1"/>
  <c r="G204" i="2" s="1"/>
  <c r="G241" i="2" a="1"/>
  <c r="G241" i="2" s="1"/>
  <c r="G250" i="2" a="1"/>
  <c r="G250" i="2" s="1"/>
  <c r="G259" i="2" a="1"/>
  <c r="G259" i="2" s="1"/>
  <c r="G269" i="2" a="1"/>
  <c r="G269" i="2" s="1"/>
  <c r="G278" i="2" a="1"/>
  <c r="G278" i="2" s="1"/>
  <c r="G287" i="2" a="1"/>
  <c r="G287" i="2" s="1"/>
  <c r="G296" i="2" a="1"/>
  <c r="G296" i="2" s="1"/>
  <c r="G304" i="2" a="1"/>
  <c r="G304" i="2" s="1"/>
  <c r="G314" i="2" a="1"/>
  <c r="G314" i="2" s="1"/>
  <c r="G322" i="2" a="1"/>
  <c r="G322" i="2" s="1"/>
  <c r="G331" i="2" a="1"/>
  <c r="G331" i="2" s="1"/>
  <c r="G349" i="2" a="1"/>
  <c r="G349" i="2" s="1"/>
  <c r="G40" i="2" a="1"/>
  <c r="G40" i="2" s="1"/>
  <c r="G47" i="2" a="1"/>
  <c r="G47" i="2" s="1"/>
  <c r="G54" i="2" a="1"/>
  <c r="G54" i="2" s="1"/>
  <c r="G61" i="2" a="1"/>
  <c r="G61" i="2" s="1"/>
  <c r="G69" i="2" a="1"/>
  <c r="G69" i="2" s="1"/>
  <c r="G76" i="2" a="1"/>
  <c r="G76" i="2" s="1"/>
  <c r="G83" i="2" a="1"/>
  <c r="G83" i="2" s="1"/>
  <c r="G90" i="2" a="1"/>
  <c r="G90" i="2" s="1"/>
  <c r="G97" i="2" a="1"/>
  <c r="G97" i="2" s="1"/>
  <c r="G105" i="2" a="1"/>
  <c r="G105" i="2" s="1"/>
  <c r="G112" i="2" a="1"/>
  <c r="G112" i="2" s="1"/>
  <c r="G148" i="2" a="1"/>
  <c r="G148" i="2" s="1"/>
  <c r="G9" i="2" a="1"/>
  <c r="G9" i="2" s="1"/>
  <c r="G17" i="2" a="1"/>
  <c r="G17" i="2" s="1"/>
  <c r="G24" i="2" a="1"/>
  <c r="G24" i="2" s="1"/>
  <c r="G31" i="2" a="1"/>
  <c r="G31" i="2" s="1"/>
  <c r="G159" i="2" a="1"/>
  <c r="G159" i="2" s="1"/>
  <c r="G167" i="2" a="1"/>
  <c r="G167" i="2" s="1"/>
  <c r="G174" i="2" a="1"/>
  <c r="G174" i="2" s="1"/>
  <c r="G203" i="2" a="1"/>
  <c r="G203" i="2" s="1"/>
  <c r="G133" i="2" a="1"/>
  <c r="G133" i="2" s="1"/>
  <c r="G151" i="2" a="1"/>
  <c r="G151" i="2" s="1"/>
  <c r="G51" i="2" a="1"/>
  <c r="G51" i="2" s="1"/>
  <c r="G160" i="2" a="1"/>
  <c r="G160" i="2" s="1"/>
  <c r="G170" i="2" a="1"/>
  <c r="G170" i="2" s="1"/>
  <c r="G178" i="2" a="1"/>
  <c r="G178" i="2" s="1"/>
  <c r="G187" i="2" a="1"/>
  <c r="G187" i="2" s="1"/>
  <c r="G232" i="2" a="1"/>
  <c r="G232" i="2" s="1"/>
  <c r="G242" i="2" a="1"/>
  <c r="G242" i="2" s="1"/>
  <c r="G260" i="2" a="1"/>
  <c r="G260" i="2" s="1"/>
  <c r="G270" i="2" a="1"/>
  <c r="G270" i="2" s="1"/>
  <c r="G279" i="2" a="1"/>
  <c r="G279" i="2" s="1"/>
  <c r="G288" i="2" a="1"/>
  <c r="G288" i="2" s="1"/>
  <c r="G297" i="2" a="1"/>
  <c r="G297" i="2" s="1"/>
  <c r="G332" i="2" a="1"/>
  <c r="G332" i="2" s="1"/>
  <c r="G340" i="2" a="1"/>
  <c r="G340" i="2" s="1"/>
  <c r="G350" i="2" a="1"/>
  <c r="G350" i="2" s="1"/>
  <c r="G62" i="2" a="1"/>
  <c r="G62" i="2" s="1"/>
  <c r="G98" i="2" a="1"/>
  <c r="G98" i="2" s="1"/>
  <c r="G10" i="2" a="1"/>
  <c r="G10" i="2" s="1"/>
  <c r="G116" i="2" a="1"/>
  <c r="G116" i="2" s="1"/>
  <c r="G125" i="2" a="1"/>
  <c r="G125" i="2" s="1"/>
  <c r="G134" i="2" a="1"/>
  <c r="G134" i="2" s="1"/>
  <c r="G143" i="2" a="1"/>
  <c r="G143" i="2" s="1"/>
  <c r="G152" i="2" a="1"/>
  <c r="G152" i="2" s="1"/>
  <c r="G163" i="2" a="1"/>
  <c r="G163" i="2" s="1"/>
  <c r="G188" i="2" a="1"/>
  <c r="G188" i="2" s="1"/>
  <c r="G200" i="2" a="1"/>
  <c r="G200" i="2" s="1"/>
  <c r="G210" i="2" a="1"/>
  <c r="G210" i="2" s="1"/>
  <c r="G225" i="2" a="1"/>
  <c r="G225" i="2" s="1"/>
  <c r="G235" i="2" a="1"/>
  <c r="G235" i="2" s="1"/>
  <c r="G248" i="2" a="1"/>
  <c r="G248" i="2" s="1"/>
  <c r="G273" i="2" a="1"/>
  <c r="G273" i="2" s="1"/>
  <c r="G284" i="2" a="1"/>
  <c r="G284" i="2" s="1"/>
  <c r="G308" i="2" a="1"/>
  <c r="G308" i="2" s="1"/>
  <c r="G320" i="2" a="1"/>
  <c r="G320" i="2" s="1"/>
  <c r="G343" i="2" a="1"/>
  <c r="G343" i="2" s="1"/>
  <c r="G354" i="2" a="1"/>
  <c r="G354" i="2" s="1"/>
  <c r="G38" i="2" a="1"/>
  <c r="G38" i="2" s="1"/>
  <c r="G58" i="2" a="1"/>
  <c r="G58" i="2" s="1"/>
  <c r="G87" i="2" a="1"/>
  <c r="G87" i="2" s="1"/>
  <c r="G115" i="2" a="1"/>
  <c r="G115" i="2" s="1"/>
  <c r="G144" i="2" a="1"/>
  <c r="G144" i="2" s="1"/>
  <c r="G27" i="2" a="1"/>
  <c r="G27" i="2" s="1"/>
  <c r="G185" i="2" a="1"/>
  <c r="G185" i="2" s="1"/>
  <c r="G214" i="2" a="1"/>
  <c r="G214" i="2" s="1"/>
  <c r="G223" i="2" a="1"/>
  <c r="G223" i="2" s="1"/>
  <c r="G234" i="2" a="1"/>
  <c r="G234" i="2" s="1"/>
  <c r="G158" i="2" a="1"/>
  <c r="G158" i="2" s="1"/>
  <c r="O9" i="2" a="1"/>
  <c r="O9" i="2" s="1"/>
  <c r="G236" i="2" a="1"/>
  <c r="G236" i="2" s="1"/>
  <c r="G261" i="2" a="1"/>
  <c r="G261" i="2" s="1"/>
  <c r="G298" i="2" a="1"/>
  <c r="G298" i="2" s="1"/>
  <c r="G309" i="2" a="1"/>
  <c r="G309" i="2" s="1"/>
  <c r="G333" i="2" a="1"/>
  <c r="G333" i="2" s="1"/>
  <c r="G344" i="2" a="1"/>
  <c r="G344" i="2" s="1"/>
  <c r="G355" i="2" a="1"/>
  <c r="G355" i="2" s="1"/>
  <c r="G39" i="2" a="1"/>
  <c r="G39" i="2" s="1"/>
  <c r="G49" i="2" a="1"/>
  <c r="G49" i="2" s="1"/>
  <c r="G78" i="2" a="1"/>
  <c r="G78" i="2" s="1"/>
  <c r="G96" i="2" a="1"/>
  <c r="G96" i="2" s="1"/>
  <c r="G107" i="2" a="1"/>
  <c r="G107" i="2" s="1"/>
  <c r="G136" i="2" a="1"/>
  <c r="G136" i="2" s="1"/>
  <c r="G8" i="2" a="1"/>
  <c r="G8" i="2" s="1"/>
  <c r="G19" i="2" a="1"/>
  <c r="G19" i="2" s="1"/>
  <c r="G28" i="2" a="1"/>
  <c r="G28" i="2" s="1"/>
  <c r="G176" i="2" a="1"/>
  <c r="G176" i="2" s="1"/>
  <c r="G205" i="2" a="1"/>
  <c r="G205" i="2" s="1"/>
  <c r="G215" i="2" a="1"/>
  <c r="G215" i="2" s="1"/>
  <c r="O10" i="2" a="1"/>
  <c r="O10" i="2" s="1"/>
  <c r="O18" i="2" a="1"/>
  <c r="O18" i="2" s="1"/>
  <c r="G226" i="2" a="1"/>
  <c r="G226" i="2" s="1"/>
  <c r="G249" i="2" a="1"/>
  <c r="G249" i="2" s="1"/>
  <c r="G262" i="2" a="1"/>
  <c r="G262" i="2" s="1"/>
  <c r="G274" i="2" a="1"/>
  <c r="G274" i="2" s="1"/>
  <c r="G285" i="2" a="1"/>
  <c r="G285" i="2" s="1"/>
  <c r="G321" i="2" a="1"/>
  <c r="G321" i="2" s="1"/>
  <c r="G345" i="2" a="1"/>
  <c r="G345" i="2" s="1"/>
  <c r="G356" i="2" a="1"/>
  <c r="G356" i="2" s="1"/>
  <c r="G41" i="2" a="1"/>
  <c r="G41" i="2" s="1"/>
  <c r="G50" i="2" a="1"/>
  <c r="G50" i="2" s="1"/>
  <c r="G59" i="2" a="1"/>
  <c r="G59" i="2" s="1"/>
  <c r="G70" i="2" a="1"/>
  <c r="G70" i="2" s="1"/>
  <c r="G88" i="2" a="1"/>
  <c r="G88" i="2" s="1"/>
  <c r="G99" i="2" a="1"/>
  <c r="G99" i="2" s="1"/>
  <c r="G117" i="2" a="1"/>
  <c r="G117" i="2" s="1"/>
  <c r="G127" i="2" a="1"/>
  <c r="G127" i="2" s="1"/>
  <c r="G11" i="2" a="1"/>
  <c r="G11" i="2" s="1"/>
  <c r="G29" i="2" a="1"/>
  <c r="G29" i="2" s="1"/>
  <c r="G168" i="2" a="1"/>
  <c r="G168" i="2" s="1"/>
  <c r="O11" i="2" a="1"/>
  <c r="O11" i="2" s="1"/>
  <c r="G218" i="2" a="1"/>
  <c r="G218" i="2" s="1"/>
  <c r="G251" i="2" a="1"/>
  <c r="G251" i="2" s="1"/>
  <c r="G266" i="2" a="1"/>
  <c r="G266" i="2" s="1"/>
  <c r="G281" i="2" a="1"/>
  <c r="G281" i="2" s="1"/>
  <c r="G299" i="2" a="1"/>
  <c r="G299" i="2" s="1"/>
  <c r="G315" i="2" a="1"/>
  <c r="G315" i="2" s="1"/>
  <c r="G346" i="2" a="1"/>
  <c r="G346" i="2" s="1"/>
  <c r="G72" i="2" a="1"/>
  <c r="G72" i="2" s="1"/>
  <c r="G110" i="2" a="1"/>
  <c r="G110" i="2" s="1"/>
  <c r="G123" i="2" a="1"/>
  <c r="G123" i="2" s="1"/>
  <c r="G137" i="2" a="1"/>
  <c r="G137" i="2" s="1"/>
  <c r="G208" i="2" a="1"/>
  <c r="G208" i="2" s="1"/>
  <c r="G118" i="2" a="1"/>
  <c r="G118" i="2" s="1"/>
  <c r="G131" i="2" a="1"/>
  <c r="G131" i="2" s="1"/>
  <c r="G149" i="2" a="1"/>
  <c r="G149" i="2" s="1"/>
  <c r="G171" i="2" a="1"/>
  <c r="G171" i="2" s="1"/>
  <c r="G233" i="2" a="1"/>
  <c r="G233" i="2" s="1"/>
  <c r="G252" i="2" a="1"/>
  <c r="G252" i="2" s="1"/>
  <c r="G267" i="2" a="1"/>
  <c r="G267" i="2" s="1"/>
  <c r="G282" i="2" a="1"/>
  <c r="G282" i="2" s="1"/>
  <c r="G300" i="2" a="1"/>
  <c r="G300" i="2" s="1"/>
  <c r="G328" i="2" a="1"/>
  <c r="G328" i="2" s="1"/>
  <c r="G46" i="2" a="1"/>
  <c r="G46" i="2" s="1"/>
  <c r="G60" i="2" a="1"/>
  <c r="G60" i="2" s="1"/>
  <c r="G85" i="2" a="1"/>
  <c r="G85" i="2" s="1"/>
  <c r="G100" i="2" a="1"/>
  <c r="G100" i="2" s="1"/>
  <c r="G111" i="2" a="1"/>
  <c r="G111" i="2" s="1"/>
  <c r="G15" i="2" a="1"/>
  <c r="G15" i="2" s="1"/>
  <c r="G30" i="2" a="1"/>
  <c r="G30" i="2" s="1"/>
  <c r="G183" i="2" a="1"/>
  <c r="G183" i="2" s="1"/>
  <c r="G222" i="2" a="1"/>
  <c r="G222" i="2" s="1"/>
  <c r="O12" i="2" a="1"/>
  <c r="O12" i="2" s="1"/>
  <c r="G253" i="2" a="1"/>
  <c r="G253" i="2" s="1"/>
  <c r="G283" i="2" a="1"/>
  <c r="G283" i="2" s="1"/>
  <c r="G301" i="2" a="1"/>
  <c r="G301" i="2" s="1"/>
  <c r="G316" i="2" a="1"/>
  <c r="G316" i="2" s="1"/>
  <c r="G329" i="2" a="1"/>
  <c r="G329" i="2" s="1"/>
  <c r="G347" i="2" a="1"/>
  <c r="G347" i="2" s="1"/>
  <c r="G48" i="2" a="1"/>
  <c r="G48" i="2" s="1"/>
  <c r="G63" i="2" a="1"/>
  <c r="G63" i="2" s="1"/>
  <c r="G73" i="2" a="1"/>
  <c r="G73" i="2" s="1"/>
  <c r="G86" i="2" a="1"/>
  <c r="G86" i="2" s="1"/>
  <c r="G113" i="2" a="1"/>
  <c r="G113" i="2" s="1"/>
  <c r="G124" i="2" a="1"/>
  <c r="G124" i="2" s="1"/>
  <c r="G18" i="2" a="1"/>
  <c r="G18" i="2" s="1"/>
  <c r="G32" i="2" a="1"/>
  <c r="G32" i="2" s="1"/>
  <c r="G184" i="2" a="1"/>
  <c r="G184" i="2" s="1"/>
  <c r="G211" i="2" a="1"/>
  <c r="G211" i="2" s="1"/>
  <c r="G119" i="2" a="1"/>
  <c r="G119" i="2" s="1"/>
  <c r="G135" i="2" a="1"/>
  <c r="G135" i="2" s="1"/>
  <c r="G153" i="2" a="1"/>
  <c r="G153" i="2" s="1"/>
  <c r="G197" i="2" a="1"/>
  <c r="G197" i="2" s="1"/>
  <c r="G263" i="2" a="1"/>
  <c r="G263" i="2" s="1"/>
  <c r="G289" i="2" a="1"/>
  <c r="G289" i="2" s="1"/>
  <c r="G305" i="2" a="1"/>
  <c r="G305" i="2" s="1"/>
  <c r="G326" i="2" a="1"/>
  <c r="G326" i="2" s="1"/>
  <c r="G177" i="2" a="1"/>
  <c r="G177" i="2" s="1"/>
  <c r="G157" i="2" a="1"/>
  <c r="G157" i="2" s="1"/>
  <c r="G198" i="2" a="1"/>
  <c r="G198" i="2" s="1"/>
  <c r="G221" i="2" a="1"/>
  <c r="G221" i="2" s="1"/>
  <c r="G243" i="2" a="1"/>
  <c r="G243" i="2" s="1"/>
  <c r="G264" i="2" a="1"/>
  <c r="G264" i="2" s="1"/>
  <c r="G290" i="2" a="1"/>
  <c r="G290" i="2" s="1"/>
  <c r="G306" i="2" a="1"/>
  <c r="G306" i="2" s="1"/>
  <c r="G351" i="2" a="1"/>
  <c r="G351" i="2" s="1"/>
  <c r="G53" i="2" a="1"/>
  <c r="G53" i="2" s="1"/>
  <c r="G71" i="2" a="1"/>
  <c r="G71" i="2" s="1"/>
  <c r="G89" i="2" a="1"/>
  <c r="G89" i="2" s="1"/>
  <c r="G103" i="2" a="1"/>
  <c r="G103" i="2" s="1"/>
  <c r="G121" i="2" a="1"/>
  <c r="G121" i="2" s="1"/>
  <c r="G139" i="2" a="1"/>
  <c r="G139" i="2" s="1"/>
  <c r="G12" i="2" a="1"/>
  <c r="G12" i="2" s="1"/>
  <c r="G26" i="2" a="1"/>
  <c r="G26" i="2" s="1"/>
  <c r="G212" i="2" a="1"/>
  <c r="G212" i="2" s="1"/>
  <c r="G229" i="2" a="1"/>
  <c r="G229" i="2" s="1"/>
  <c r="G138" i="2" a="1"/>
  <c r="G138" i="2" s="1"/>
  <c r="G156" i="2" a="1"/>
  <c r="G156" i="2" s="1"/>
  <c r="G57" i="2" a="1"/>
  <c r="G57" i="2" s="1"/>
  <c r="O8" i="2" a="1"/>
  <c r="O8" i="2" s="1"/>
  <c r="G244" i="2" a="1"/>
  <c r="G244" i="2" s="1"/>
  <c r="G265" i="2" a="1"/>
  <c r="G265" i="2" s="1"/>
  <c r="G307" i="2" a="1"/>
  <c r="G307" i="2" s="1"/>
  <c r="G327" i="2" a="1"/>
  <c r="G327" i="2" s="1"/>
  <c r="G37" i="2" a="1"/>
  <c r="G37" i="2" s="1"/>
  <c r="G55" i="2" a="1"/>
  <c r="G55" i="2" s="1"/>
  <c r="G91" i="2" a="1"/>
  <c r="G91" i="2" s="1"/>
  <c r="G106" i="2" a="1"/>
  <c r="G106" i="2" s="1"/>
  <c r="G122" i="2" a="1"/>
  <c r="G122" i="2" s="1"/>
  <c r="G142" i="2" a="1"/>
  <c r="G142" i="2" s="1"/>
  <c r="G179" i="2" a="1"/>
  <c r="G179" i="2" s="1"/>
  <c r="G193" i="2" a="1"/>
  <c r="G193" i="2" s="1"/>
  <c r="G213" i="2" a="1"/>
  <c r="G213" i="2" s="1"/>
  <c r="G162" i="2" a="1"/>
  <c r="G162" i="2" s="1"/>
  <c r="G207" i="2" a="1"/>
  <c r="G207" i="2" s="1"/>
  <c r="G228" i="2" a="1"/>
  <c r="G228" i="2" s="1"/>
  <c r="G247" i="2" a="1"/>
  <c r="G247" i="2" s="1"/>
  <c r="G292" i="2" a="1"/>
  <c r="G292" i="2" s="1"/>
  <c r="G312" i="2" a="1"/>
  <c r="G312" i="2" s="1"/>
  <c r="G336" i="2" a="1"/>
  <c r="G336" i="2" s="1"/>
  <c r="G353" i="2" a="1"/>
  <c r="G353" i="2" s="1"/>
  <c r="G77" i="2" a="1"/>
  <c r="G77" i="2" s="1"/>
  <c r="G14" i="2" a="1"/>
  <c r="G14" i="2" s="1"/>
  <c r="G34" i="2" a="1"/>
  <c r="G34" i="2" s="1"/>
  <c r="G164" i="2" a="1"/>
  <c r="G164" i="2" s="1"/>
  <c r="G182" i="2" a="1"/>
  <c r="G182" i="2" s="1"/>
  <c r="G192" i="2" a="1"/>
  <c r="G192" i="2" s="1"/>
  <c r="G255" i="2" a="1"/>
  <c r="G255" i="2" s="1"/>
  <c r="G291" i="2" a="1"/>
  <c r="G291" i="2" s="1"/>
  <c r="G319" i="2" a="1"/>
  <c r="G319" i="2" s="1"/>
  <c r="G352" i="2" a="1"/>
  <c r="G352" i="2" s="1"/>
  <c r="G43" i="2" a="1"/>
  <c r="G43" i="2" s="1"/>
  <c r="G94" i="2" a="1"/>
  <c r="G94" i="2" s="1"/>
  <c r="G23" i="2" a="1"/>
  <c r="G23" i="2" s="1"/>
  <c r="G191" i="2" a="1"/>
  <c r="G191" i="2" s="1"/>
  <c r="G219" i="2" a="1"/>
  <c r="G219" i="2" s="1"/>
  <c r="G109" i="2" a="1"/>
  <c r="G109" i="2" s="1"/>
  <c r="G161" i="2" a="1"/>
  <c r="G161" i="2" s="1"/>
  <c r="G227" i="2" a="1"/>
  <c r="G227" i="2" s="1"/>
  <c r="G323" i="2" a="1"/>
  <c r="G323" i="2" s="1"/>
  <c r="G44" i="2" a="1"/>
  <c r="G44" i="2" s="1"/>
  <c r="G66" i="2" a="1"/>
  <c r="G66" i="2" s="1"/>
  <c r="G120" i="2" a="1"/>
  <c r="G120" i="2" s="1"/>
  <c r="G147" i="2" a="1"/>
  <c r="G147" i="2" s="1"/>
  <c r="G25" i="2" a="1"/>
  <c r="G25" i="2" s="1"/>
  <c r="G220" i="2" a="1"/>
  <c r="G220" i="2" s="1"/>
  <c r="G145" i="2" a="1"/>
  <c r="G145" i="2" s="1"/>
  <c r="O7" i="2" a="1"/>
  <c r="O7" i="2" s="1"/>
  <c r="G165" i="2" a="1"/>
  <c r="G165" i="2" s="1"/>
  <c r="G194" i="2" a="1"/>
  <c r="G194" i="2" s="1"/>
  <c r="G256" i="2" a="1"/>
  <c r="G256" i="2" s="1"/>
  <c r="G324" i="2" a="1"/>
  <c r="G324" i="2" s="1"/>
  <c r="G45" i="2" a="1"/>
  <c r="G45" i="2" s="1"/>
  <c r="G74" i="2" a="1"/>
  <c r="G74" i="2" s="1"/>
  <c r="G95" i="2" a="1"/>
  <c r="G95" i="2" s="1"/>
  <c r="G128" i="2" a="1"/>
  <c r="G128" i="2" s="1"/>
  <c r="G3" i="2" a="1"/>
  <c r="G3" i="2" s="1"/>
  <c r="G199" i="2" a="1"/>
  <c r="G199" i="2" s="1"/>
  <c r="G146" i="2" a="1"/>
  <c r="G146" i="2" s="1"/>
  <c r="O13" i="2" a="1"/>
  <c r="O13" i="2" s="1"/>
  <c r="G246" i="2" a="1"/>
  <c r="G246" i="2" s="1"/>
  <c r="G293" i="2" a="1"/>
  <c r="G293" i="2" s="1"/>
  <c r="G337" i="2" a="1"/>
  <c r="G337" i="2" s="1"/>
  <c r="G65" i="2" a="1"/>
  <c r="G65" i="2" s="1"/>
  <c r="G102" i="2" a="1"/>
  <c r="G102" i="2" s="1"/>
  <c r="G132" i="2" a="1"/>
  <c r="G132" i="2" s="1"/>
  <c r="G22" i="2" a="1"/>
  <c r="G22" i="2" s="1"/>
  <c r="G175" i="2" a="1"/>
  <c r="G175" i="2" s="1"/>
  <c r="G155" i="2" a="1"/>
  <c r="G155" i="2" s="1"/>
  <c r="G254" i="2" a="1"/>
  <c r="G254" i="2" s="1"/>
  <c r="G294" i="2" a="1"/>
  <c r="G294" i="2" s="1"/>
  <c r="G338" i="2" a="1"/>
  <c r="G338" i="2" s="1"/>
  <c r="G75" i="2" a="1"/>
  <c r="G75" i="2" s="1"/>
  <c r="G108" i="2" a="1"/>
  <c r="G108" i="2" s="1"/>
  <c r="G33" i="2" a="1"/>
  <c r="G33" i="2" s="1"/>
  <c r="O14" i="2" a="1"/>
  <c r="O14" i="2" s="1"/>
  <c r="G172" i="2" a="1"/>
  <c r="G172" i="2" s="1"/>
  <c r="G209" i="2" a="1"/>
  <c r="G209" i="2" s="1"/>
  <c r="G302" i="2" a="1"/>
  <c r="G302" i="2" s="1"/>
  <c r="G79" i="2" a="1"/>
  <c r="G79" i="2" s="1"/>
  <c r="G35" i="2" a="1"/>
  <c r="G35" i="2" s="1"/>
  <c r="G180" i="2" a="1"/>
  <c r="G180" i="2" s="1"/>
  <c r="G126" i="2" a="1"/>
  <c r="G126" i="2" s="1"/>
  <c r="O15" i="2" a="1"/>
  <c r="O15" i="2" s="1"/>
  <c r="G173" i="2" a="1"/>
  <c r="G173" i="2" s="1"/>
  <c r="G257" i="2" a="1"/>
  <c r="G257" i="2" s="1"/>
  <c r="G42" i="2" a="1"/>
  <c r="G42" i="2" s="1"/>
  <c r="G80" i="2" a="1"/>
  <c r="G80" i="2" s="1"/>
  <c r="O16" i="2" a="1"/>
  <c r="O16" i="2" s="1"/>
  <c r="A96" i="2"/>
  <c r="A226" i="2"/>
  <c r="A350" i="2"/>
  <c r="A508" i="2"/>
  <c r="A654" i="2"/>
  <c r="A809" i="2"/>
  <c r="A998" i="2"/>
  <c r="C871" i="2" a="1"/>
  <c r="C871" i="2" s="1"/>
  <c r="C805" i="2" a="1"/>
  <c r="C805" i="2" s="1"/>
  <c r="C775" i="2" a="1"/>
  <c r="C775" i="2" s="1"/>
  <c r="C727" i="2" a="1"/>
  <c r="C727" i="2" s="1"/>
  <c r="C661" i="2" a="1"/>
  <c r="C661" i="2" s="1"/>
  <c r="C646" i="2" a="1"/>
  <c r="C646" i="2" s="1"/>
  <c r="C598" i="2" a="1"/>
  <c r="C598" i="2" s="1"/>
  <c r="C440" i="2" a="1"/>
  <c r="C440" i="2" s="1"/>
  <c r="C398" i="2" a="1"/>
  <c r="C398" i="2" s="1"/>
  <c r="C374" i="2" a="1"/>
  <c r="C374" i="2" s="1"/>
  <c r="C356" i="2" a="1"/>
  <c r="C356" i="2" s="1"/>
  <c r="C206" i="2" a="1"/>
  <c r="C206" i="2" s="1"/>
  <c r="C164" i="2" a="1"/>
  <c r="C164" i="2" s="1"/>
  <c r="C143" i="2" a="1"/>
  <c r="C143" i="2" s="1"/>
  <c r="E62" i="2"/>
  <c r="E166" i="2"/>
  <c r="E257" i="2"/>
  <c r="E487" i="2"/>
  <c r="E594" i="2"/>
  <c r="E727" i="2"/>
  <c r="E877" i="2"/>
  <c r="E81" i="2"/>
  <c r="E169" i="2"/>
  <c r="E272" i="2"/>
  <c r="E368" i="2"/>
  <c r="E603" i="2"/>
  <c r="E760" i="2"/>
  <c r="E906" i="2"/>
  <c r="E85" i="2"/>
  <c r="E171" i="2"/>
  <c r="E273" i="2"/>
  <c r="E378" i="2"/>
  <c r="E493" i="2"/>
  <c r="E618" i="2"/>
  <c r="E775" i="2"/>
  <c r="E915" i="2"/>
  <c r="A105" i="2"/>
  <c r="A228" i="2"/>
  <c r="A352" i="2"/>
  <c r="A510" i="2"/>
  <c r="A666" i="2"/>
  <c r="A810" i="2"/>
  <c r="A1000" i="2"/>
  <c r="R2" i="2"/>
  <c r="C17" i="2" a="1"/>
  <c r="C17" i="2" s="1"/>
  <c r="C29" i="2" a="1"/>
  <c r="C29" i="2" s="1"/>
  <c r="C53" i="2" a="1"/>
  <c r="C53" i="2" s="1"/>
  <c r="C149" i="2" a="1"/>
  <c r="C149" i="2" s="1"/>
  <c r="C197" i="2" a="1"/>
  <c r="C197" i="2" s="1"/>
  <c r="C221" i="2" a="1"/>
  <c r="C221" i="2" s="1"/>
  <c r="C233" i="2" a="1"/>
  <c r="C233" i="2" s="1"/>
  <c r="C257" i="2" a="1"/>
  <c r="C257" i="2" s="1"/>
  <c r="C281" i="2" a="1"/>
  <c r="C281" i="2" s="1"/>
  <c r="C293" i="2" a="1"/>
  <c r="C293" i="2" s="1"/>
  <c r="C305" i="2" a="1"/>
  <c r="C305" i="2" s="1"/>
  <c r="C401" i="2" a="1"/>
  <c r="C401" i="2" s="1"/>
  <c r="C413" i="2" a="1"/>
  <c r="C413" i="2" s="1"/>
  <c r="C449" i="2" a="1"/>
  <c r="C449" i="2" s="1"/>
  <c r="C461" i="2" a="1"/>
  <c r="C461" i="2" s="1"/>
  <c r="C509" i="2" a="1"/>
  <c r="C509" i="2" s="1"/>
  <c r="C545" i="2" a="1"/>
  <c r="C545" i="2" s="1"/>
  <c r="C6" i="2" a="1"/>
  <c r="C6" i="2" s="1"/>
  <c r="C66" i="2" a="1"/>
  <c r="C66" i="2" s="1"/>
  <c r="C78" i="2" a="1"/>
  <c r="C78" i="2" s="1"/>
  <c r="C90" i="2" a="1"/>
  <c r="C90" i="2" s="1"/>
  <c r="C102" i="2" a="1"/>
  <c r="C102" i="2" s="1"/>
  <c r="C210" i="2" a="1"/>
  <c r="C210" i="2" s="1"/>
  <c r="C222" i="2" a="1"/>
  <c r="C222" i="2" s="1"/>
  <c r="C234" i="2" a="1"/>
  <c r="C234" i="2" s="1"/>
  <c r="C246" i="2" a="1"/>
  <c r="C246" i="2" s="1"/>
  <c r="C354" i="2" a="1"/>
  <c r="C354" i="2" s="1"/>
  <c r="C366" i="2" a="1"/>
  <c r="C366" i="2" s="1"/>
  <c r="C378" i="2" a="1"/>
  <c r="C378" i="2" s="1"/>
  <c r="C498" i="2" a="1"/>
  <c r="C498" i="2" s="1"/>
  <c r="C7" i="2" a="1"/>
  <c r="C7" i="2" s="1"/>
  <c r="C19" i="2" a="1"/>
  <c r="C19" i="2" s="1"/>
  <c r="C31" i="2" a="1"/>
  <c r="C31" i="2" s="1"/>
  <c r="C139" i="2" a="1"/>
  <c r="C139" i="2" s="1"/>
  <c r="C151" i="2" a="1"/>
  <c r="C151" i="2" s="1"/>
  <c r="C163" i="2" a="1"/>
  <c r="C163" i="2" s="1"/>
  <c r="C283" i="2" a="1"/>
  <c r="C283" i="2" s="1"/>
  <c r="C295" i="2" a="1"/>
  <c r="C295" i="2" s="1"/>
  <c r="C307" i="2" a="1"/>
  <c r="C307" i="2" s="1"/>
  <c r="C319" i="2" a="1"/>
  <c r="C319" i="2" s="1"/>
  <c r="C427" i="2" a="1"/>
  <c r="C427" i="2" s="1"/>
  <c r="C439" i="2" a="1"/>
  <c r="C439" i="2" s="1"/>
  <c r="C451" i="2" a="1"/>
  <c r="C451" i="2" s="1"/>
  <c r="C463" i="2" a="1"/>
  <c r="C463" i="2" s="1"/>
  <c r="C571" i="2" a="1"/>
  <c r="C571" i="2" s="1"/>
  <c r="C583" i="2" a="1"/>
  <c r="C583" i="2" s="1"/>
  <c r="C595" i="2" a="1"/>
  <c r="C595" i="2" s="1"/>
  <c r="C26" i="2" a="1"/>
  <c r="C26" i="2" s="1"/>
  <c r="C59" i="2" a="1"/>
  <c r="C59" i="2" s="1"/>
  <c r="C107" i="2" a="1"/>
  <c r="C107" i="2" s="1"/>
  <c r="C122" i="2" a="1"/>
  <c r="C122" i="2" s="1"/>
  <c r="C155" i="2" a="1"/>
  <c r="C155" i="2" s="1"/>
  <c r="C203" i="2" a="1"/>
  <c r="C203" i="2" s="1"/>
  <c r="C218" i="2" a="1"/>
  <c r="C218" i="2" s="1"/>
  <c r="C299" i="2" a="1"/>
  <c r="C299" i="2" s="1"/>
  <c r="C332" i="2" a="1"/>
  <c r="C332" i="2" s="1"/>
  <c r="C395" i="2" a="1"/>
  <c r="C395" i="2" s="1"/>
  <c r="C410" i="2" a="1"/>
  <c r="C410" i="2" s="1"/>
  <c r="C550" i="2" a="1"/>
  <c r="C550" i="2" s="1"/>
  <c r="C591" i="2" a="1"/>
  <c r="C591" i="2" s="1"/>
  <c r="C604" i="2" a="1"/>
  <c r="C604" i="2" s="1"/>
  <c r="C628" i="2" a="1"/>
  <c r="C628" i="2" s="1"/>
  <c r="C640" i="2" a="1"/>
  <c r="C640" i="2" s="1"/>
  <c r="C652" i="2" a="1"/>
  <c r="C652" i="2" s="1"/>
  <c r="C688" i="2" a="1"/>
  <c r="C688" i="2" s="1"/>
  <c r="C736" i="2" a="1"/>
  <c r="C736" i="2" s="1"/>
  <c r="C772" i="2" a="1"/>
  <c r="C772" i="2" s="1"/>
  <c r="C796" i="2" a="1"/>
  <c r="C796" i="2" s="1"/>
  <c r="C820" i="2" a="1"/>
  <c r="C820" i="2" s="1"/>
  <c r="C832" i="2" a="1"/>
  <c r="C832" i="2" s="1"/>
  <c r="C844" i="2" a="1"/>
  <c r="C844" i="2" s="1"/>
  <c r="C904" i="2" a="1"/>
  <c r="C904" i="2" s="1"/>
  <c r="C916" i="2" a="1"/>
  <c r="C916" i="2" s="1"/>
  <c r="C940" i="2" a="1"/>
  <c r="C940" i="2" s="1"/>
  <c r="C964" i="2" a="1"/>
  <c r="C964" i="2" s="1"/>
  <c r="C976" i="2" a="1"/>
  <c r="C976" i="2" s="1"/>
  <c r="C1000" i="2" a="1"/>
  <c r="C1000" i="2" s="1"/>
  <c r="C60" i="2" a="1"/>
  <c r="C60" i="2" s="1"/>
  <c r="C189" i="2" a="1"/>
  <c r="C189" i="2" s="1"/>
  <c r="C204" i="2" a="1"/>
  <c r="C204" i="2" s="1"/>
  <c r="C219" i="2" a="1"/>
  <c r="C219" i="2" s="1"/>
  <c r="C333" i="2" a="1"/>
  <c r="C333" i="2" s="1"/>
  <c r="C348" i="2" a="1"/>
  <c r="C348" i="2" s="1"/>
  <c r="C363" i="2" a="1"/>
  <c r="C363" i="2" s="1"/>
  <c r="C411" i="2" a="1"/>
  <c r="C411" i="2" s="1"/>
  <c r="C477" i="2" a="1"/>
  <c r="C477" i="2" s="1"/>
  <c r="C492" i="2" a="1"/>
  <c r="C492" i="2" s="1"/>
  <c r="C522" i="2" a="1"/>
  <c r="C522" i="2" s="1"/>
  <c r="C551" i="2" a="1"/>
  <c r="C551" i="2" s="1"/>
  <c r="C592" i="2" a="1"/>
  <c r="C592" i="2" s="1"/>
  <c r="C605" i="2" a="1"/>
  <c r="C605" i="2" s="1"/>
  <c r="C617" i="2" a="1"/>
  <c r="C617" i="2" s="1"/>
  <c r="C629" i="2" a="1"/>
  <c r="C629" i="2" s="1"/>
  <c r="C653" i="2" a="1"/>
  <c r="C653" i="2" s="1"/>
  <c r="C665" i="2" a="1"/>
  <c r="C665" i="2" s="1"/>
  <c r="C677" i="2" a="1"/>
  <c r="C677" i="2" s="1"/>
  <c r="C749" i="2" a="1"/>
  <c r="C749" i="2" s="1"/>
  <c r="C785" i="2" a="1"/>
  <c r="C785" i="2" s="1"/>
  <c r="C797" i="2" a="1"/>
  <c r="C797" i="2" s="1"/>
  <c r="C809" i="2" a="1"/>
  <c r="C809" i="2" s="1"/>
  <c r="C833" i="2" a="1"/>
  <c r="C833" i="2" s="1"/>
  <c r="C845" i="2" a="1"/>
  <c r="C845" i="2" s="1"/>
  <c r="C869" i="2" a="1"/>
  <c r="C869" i="2" s="1"/>
  <c r="C881" i="2" a="1"/>
  <c r="C881" i="2" s="1"/>
  <c r="C905" i="2" a="1"/>
  <c r="C905" i="2" s="1"/>
  <c r="C941" i="2" a="1"/>
  <c r="C941" i="2" s="1"/>
  <c r="C953" i="2" a="1"/>
  <c r="C953" i="2" s="1"/>
  <c r="C13" i="2" a="1"/>
  <c r="C13" i="2" s="1"/>
  <c r="C28" i="2" a="1"/>
  <c r="C28" i="2" s="1"/>
  <c r="C76" i="2" a="1"/>
  <c r="C76" i="2" s="1"/>
  <c r="C94" i="2" a="1"/>
  <c r="C94" i="2" s="1"/>
  <c r="C124" i="2" a="1"/>
  <c r="C124" i="2" s="1"/>
  <c r="C172" i="2" a="1"/>
  <c r="C172" i="2" s="1"/>
  <c r="C220" i="2" a="1"/>
  <c r="C220" i="2" s="1"/>
  <c r="C286" i="2" a="1"/>
  <c r="C286" i="2" s="1"/>
  <c r="C301" i="2" a="1"/>
  <c r="C301" i="2" s="1"/>
  <c r="C316" i="2" a="1"/>
  <c r="C316" i="2" s="1"/>
  <c r="C349" i="2" a="1"/>
  <c r="C349" i="2" s="1"/>
  <c r="C364" i="2" a="1"/>
  <c r="C364" i="2" s="1"/>
  <c r="C382" i="2" a="1"/>
  <c r="C382" i="2" s="1"/>
  <c r="C412" i="2" a="1"/>
  <c r="C412" i="2" s="1"/>
  <c r="C430" i="2" a="1"/>
  <c r="C430" i="2" s="1"/>
  <c r="C508" i="2" a="1"/>
  <c r="C508" i="2" s="1"/>
  <c r="C552" i="2" a="1"/>
  <c r="C552" i="2" s="1"/>
  <c r="C593" i="2" a="1"/>
  <c r="C593" i="2" s="1"/>
  <c r="C642" i="2" a="1"/>
  <c r="C642" i="2" s="1"/>
  <c r="C654" i="2" a="1"/>
  <c r="C654" i="2" s="1"/>
  <c r="C666" i="2" a="1"/>
  <c r="C666" i="2" s="1"/>
  <c r="C786" i="2" a="1"/>
  <c r="C786" i="2" s="1"/>
  <c r="C798" i="2" a="1"/>
  <c r="C798" i="2" s="1"/>
  <c r="C810" i="2" a="1"/>
  <c r="C810" i="2" s="1"/>
  <c r="C846" i="2" a="1"/>
  <c r="C846" i="2" s="1"/>
  <c r="C858" i="2" a="1"/>
  <c r="C858" i="2" s="1"/>
  <c r="C930" i="2" a="1"/>
  <c r="C930" i="2" s="1"/>
  <c r="C942" i="2" a="1"/>
  <c r="C942" i="2" s="1"/>
  <c r="C954" i="2" a="1"/>
  <c r="C954" i="2" s="1"/>
  <c r="C915" i="2" a="1"/>
  <c r="C915" i="2" s="1"/>
  <c r="C885" i="2" a="1"/>
  <c r="C885" i="2" s="1"/>
  <c r="C867" i="2" a="1"/>
  <c r="C867" i="2" s="1"/>
  <c r="C771" i="2" a="1"/>
  <c r="C771" i="2" s="1"/>
  <c r="C741" i="2" a="1"/>
  <c r="C741" i="2" s="1"/>
  <c r="C660" i="2" a="1"/>
  <c r="C660" i="2" s="1"/>
  <c r="C627" i="2" a="1"/>
  <c r="C627" i="2" s="1"/>
  <c r="C597" i="2" a="1"/>
  <c r="C597" i="2" s="1"/>
  <c r="C541" i="2" a="1"/>
  <c r="C541" i="2" s="1"/>
  <c r="C519" i="2" a="1"/>
  <c r="C519" i="2" s="1"/>
  <c r="C394" i="2" a="1"/>
  <c r="C394" i="2" s="1"/>
  <c r="C373" i="2" a="1"/>
  <c r="C373" i="2" s="1"/>
  <c r="C226" i="2" a="1"/>
  <c r="C226" i="2" s="1"/>
  <c r="C202" i="2" a="1"/>
  <c r="C202" i="2" s="1"/>
  <c r="C181" i="2" a="1"/>
  <c r="C181" i="2" s="1"/>
  <c r="C160" i="2" a="1"/>
  <c r="C160" i="2" s="1"/>
  <c r="C118" i="2" a="1"/>
  <c r="C118" i="2" s="1"/>
  <c r="C97" i="2" a="1"/>
  <c r="C97" i="2" s="1"/>
  <c r="C34" i="2" a="1"/>
  <c r="C34" i="2" s="1"/>
  <c r="C10" i="2" a="1"/>
  <c r="C10" i="2" s="1"/>
  <c r="E98" i="2"/>
  <c r="E184" i="2"/>
  <c r="E278" i="2"/>
  <c r="E385" i="2"/>
  <c r="E508" i="2"/>
  <c r="E631" i="2"/>
  <c r="E778" i="2"/>
  <c r="E937" i="2"/>
  <c r="B461" i="2"/>
  <c r="E14" i="2"/>
  <c r="E101" i="2"/>
  <c r="E186" i="2"/>
  <c r="E296" i="2"/>
  <c r="E390" i="2"/>
  <c r="E511" i="2"/>
  <c r="E651" i="2"/>
  <c r="E781" i="2"/>
  <c r="E939" i="2"/>
  <c r="C995" i="2" a="1"/>
  <c r="C995" i="2" s="1"/>
  <c r="C947" i="2" a="1"/>
  <c r="C947" i="2" s="1"/>
  <c r="C899" i="2" a="1"/>
  <c r="C899" i="2" s="1"/>
  <c r="C884" i="2" a="1"/>
  <c r="C884" i="2" s="1"/>
  <c r="C866" i="2" a="1"/>
  <c r="C866" i="2" s="1"/>
  <c r="C770" i="2" a="1"/>
  <c r="C770" i="2" s="1"/>
  <c r="C740" i="2" a="1"/>
  <c r="C740" i="2" s="1"/>
  <c r="C674" i="2" a="1"/>
  <c r="C674" i="2" s="1"/>
  <c r="C659" i="2" a="1"/>
  <c r="C659" i="2" s="1"/>
  <c r="C644" i="2" a="1"/>
  <c r="C644" i="2" s="1"/>
  <c r="C626" i="2" a="1"/>
  <c r="C626" i="2" s="1"/>
  <c r="C611" i="2" a="1"/>
  <c r="C611" i="2" s="1"/>
  <c r="C596" i="2" a="1"/>
  <c r="C596" i="2" s="1"/>
  <c r="C480" i="2" a="1"/>
  <c r="C480" i="2" s="1"/>
  <c r="C372" i="2" a="1"/>
  <c r="C372" i="2" s="1"/>
  <c r="C327" i="2" a="1"/>
  <c r="C327" i="2" s="1"/>
  <c r="C309" i="2" a="1"/>
  <c r="C309" i="2" s="1"/>
  <c r="C243" i="2" a="1"/>
  <c r="C243" i="2" s="1"/>
  <c r="C225" i="2" a="1"/>
  <c r="C225" i="2" s="1"/>
  <c r="C159" i="2" a="1"/>
  <c r="C159" i="2" s="1"/>
  <c r="C72" i="2" a="1"/>
  <c r="C72" i="2" s="1"/>
  <c r="C51" i="2" a="1"/>
  <c r="C51" i="2" s="1"/>
  <c r="C33" i="2" a="1"/>
  <c r="C33" i="2" s="1"/>
  <c r="E356" i="2"/>
  <c r="E489" i="2"/>
  <c r="A106" i="2"/>
  <c r="A237" i="2"/>
  <c r="A366" i="2"/>
  <c r="A521" i="2"/>
  <c r="A669" i="2"/>
  <c r="A813" i="2"/>
  <c r="A21" i="2"/>
  <c r="A144" i="2"/>
  <c r="A274" i="2"/>
  <c r="A407" i="2"/>
  <c r="A564" i="2"/>
  <c r="A712" i="2"/>
  <c r="A867" i="2"/>
  <c r="B72" i="2"/>
  <c r="B581" i="2"/>
  <c r="E18" i="2"/>
  <c r="E104" i="2"/>
  <c r="E187" i="2"/>
  <c r="E301" i="2"/>
  <c r="E402" i="2"/>
  <c r="E514" i="2"/>
  <c r="E652" i="2"/>
  <c r="E786" i="2"/>
  <c r="E940" i="2"/>
  <c r="C961" i="2" a="1"/>
  <c r="C961" i="2" s="1"/>
  <c r="C913" i="2" a="1"/>
  <c r="C913" i="2" s="1"/>
  <c r="C883" i="2" a="1"/>
  <c r="C883" i="2" s="1"/>
  <c r="C817" i="2" a="1"/>
  <c r="C817" i="2" s="1"/>
  <c r="C802" i="2" a="1"/>
  <c r="C802" i="2" s="1"/>
  <c r="C769" i="2" a="1"/>
  <c r="C769" i="2" s="1"/>
  <c r="C754" i="2" a="1"/>
  <c r="C754" i="2" s="1"/>
  <c r="C739" i="2" a="1"/>
  <c r="C739" i="2" s="1"/>
  <c r="C625" i="2" a="1"/>
  <c r="C625" i="2" s="1"/>
  <c r="C556" i="2" a="1"/>
  <c r="C556" i="2" s="1"/>
  <c r="C350" i="2" a="1"/>
  <c r="C350" i="2" s="1"/>
  <c r="C326" i="2" a="1"/>
  <c r="C326" i="2" s="1"/>
  <c r="C308" i="2" a="1"/>
  <c r="C308" i="2" s="1"/>
  <c r="C287" i="2" a="1"/>
  <c r="C287" i="2" s="1"/>
  <c r="C263" i="2" a="1"/>
  <c r="C263" i="2" s="1"/>
  <c r="C95" i="2" a="1"/>
  <c r="C95" i="2" s="1"/>
  <c r="C32" i="2" a="1"/>
  <c r="C32" i="2" s="1"/>
  <c r="D369" i="2"/>
  <c r="D169" i="2"/>
  <c r="D487" i="2"/>
  <c r="D525" i="2"/>
  <c r="D710" i="2"/>
  <c r="D409" i="2"/>
  <c r="D974" i="2"/>
  <c r="D984" i="2"/>
  <c r="D997" i="2"/>
  <c r="D955" i="2"/>
  <c r="D911" i="2"/>
  <c r="D872" i="2"/>
  <c r="D836" i="2"/>
  <c r="D797" i="2"/>
  <c r="D763" i="2"/>
  <c r="D727" i="2"/>
  <c r="D694" i="2"/>
  <c r="D668" i="2"/>
  <c r="D637" i="2"/>
  <c r="D607" i="2"/>
  <c r="D578" i="2"/>
  <c r="D557" i="2"/>
  <c r="D529" i="2"/>
  <c r="D503" i="2"/>
  <c r="D481" i="2"/>
  <c r="D456" i="2"/>
  <c r="D430" i="2"/>
  <c r="D405" i="2"/>
  <c r="D383" i="2"/>
  <c r="D357" i="2"/>
  <c r="D331" i="2"/>
  <c r="D309" i="2"/>
  <c r="D284" i="2"/>
  <c r="D258" i="2"/>
  <c r="D233" i="2"/>
  <c r="D211" i="2"/>
  <c r="D185" i="2"/>
  <c r="D157" i="2"/>
  <c r="D137" i="2"/>
  <c r="D114" i="2"/>
  <c r="D92" i="2"/>
  <c r="D71" i="2"/>
  <c r="D53" i="2"/>
  <c r="D31" i="2"/>
  <c r="D9" i="2"/>
  <c r="D994" i="2"/>
  <c r="D950" i="2"/>
  <c r="D908" i="2"/>
  <c r="D869" i="2"/>
  <c r="D828" i="2"/>
  <c r="D792" i="2"/>
  <c r="D756" i="2"/>
  <c r="D722" i="2"/>
  <c r="D692" i="2"/>
  <c r="D660" i="2"/>
  <c r="D634" i="2"/>
  <c r="D605" i="2"/>
  <c r="D575" i="2"/>
  <c r="D549" i="2"/>
  <c r="D527" i="2"/>
  <c r="D501" i="2"/>
  <c r="D475" i="2"/>
  <c r="D453" i="2"/>
  <c r="D428" i="2"/>
  <c r="D402" i="2"/>
  <c r="D377" i="2"/>
  <c r="D355" i="2"/>
  <c r="D329" i="2"/>
  <c r="D301" i="2"/>
  <c r="D281" i="2"/>
  <c r="D254" i="2"/>
  <c r="D228" i="2"/>
  <c r="D203" i="2"/>
  <c r="D181" i="2"/>
  <c r="D155" i="2"/>
  <c r="D129" i="2"/>
  <c r="D111" i="2"/>
  <c r="D90" i="2"/>
  <c r="D68" i="2"/>
  <c r="D47" i="2"/>
  <c r="D29" i="2"/>
  <c r="D7" i="2"/>
  <c r="D968" i="2"/>
  <c r="D912" i="2"/>
  <c r="D865" i="2"/>
  <c r="D816" i="2"/>
  <c r="D777" i="2"/>
  <c r="D738" i="2"/>
  <c r="D696" i="2"/>
  <c r="D658" i="2"/>
  <c r="D953" i="2"/>
  <c r="D895" i="2"/>
  <c r="D850" i="2"/>
  <c r="D798" i="2"/>
  <c r="D750" i="2"/>
  <c r="D708" i="2"/>
  <c r="D672" i="2"/>
  <c r="D626" i="2"/>
  <c r="D595" i="2"/>
  <c r="D563" i="2"/>
  <c r="D535" i="2"/>
  <c r="D505" i="2"/>
  <c r="D474" i="2"/>
  <c r="D444" i="2"/>
  <c r="D416" i="2"/>
  <c r="D386" i="2"/>
  <c r="D358" i="2"/>
  <c r="D326" i="2"/>
  <c r="D298" i="2"/>
  <c r="D270" i="2"/>
  <c r="D240" i="2"/>
  <c r="D212" i="2"/>
  <c r="D179" i="2"/>
  <c r="D151" i="2"/>
  <c r="D123" i="2"/>
  <c r="D99" i="2"/>
  <c r="D75" i="2"/>
  <c r="D45" i="2"/>
  <c r="D21" i="2"/>
  <c r="D944" i="2"/>
  <c r="D894" i="2"/>
  <c r="D846" i="2"/>
  <c r="D793" i="2"/>
  <c r="D746" i="2"/>
  <c r="D707" i="2"/>
  <c r="D670" i="2"/>
  <c r="D624" i="2"/>
  <c r="D593" i="2"/>
  <c r="D561" i="2"/>
  <c r="D533" i="2"/>
  <c r="D502" i="2"/>
  <c r="D473" i="2"/>
  <c r="D443" i="2"/>
  <c r="D415" i="2"/>
  <c r="D385" i="2"/>
  <c r="D356" i="2"/>
  <c r="D325" i="2"/>
  <c r="D297" i="2"/>
  <c r="D269" i="2"/>
  <c r="D239" i="2"/>
  <c r="D209" i="2"/>
  <c r="D175" i="2"/>
  <c r="D145" i="2"/>
  <c r="D119" i="2"/>
  <c r="D95" i="2"/>
  <c r="D69" i="2"/>
  <c r="D44" i="2"/>
  <c r="D20" i="2"/>
  <c r="D980" i="2"/>
  <c r="D926" i="2"/>
  <c r="D874" i="2"/>
  <c r="D822" i="2"/>
  <c r="D776" i="2"/>
  <c r="D728" i="2"/>
  <c r="D690" i="2"/>
  <c r="D650" i="2"/>
  <c r="D618" i="2"/>
  <c r="D584" i="2"/>
  <c r="D547" i="2"/>
  <c r="D517" i="2"/>
  <c r="D489" i="2"/>
  <c r="D461" i="2"/>
  <c r="D431" i="2"/>
  <c r="D401" i="2"/>
  <c r="D371" i="2"/>
  <c r="D343" i="2"/>
  <c r="D313" i="2"/>
  <c r="D285" i="2"/>
  <c r="D253" i="2"/>
  <c r="D225" i="2"/>
  <c r="D197" i="2"/>
  <c r="D167" i="2"/>
  <c r="D139" i="2"/>
  <c r="D107" i="2"/>
  <c r="D83" i="2"/>
  <c r="D59" i="2"/>
  <c r="D35" i="2"/>
  <c r="D11" i="2"/>
  <c r="D970" i="2"/>
  <c r="D888" i="2"/>
  <c r="D826" i="2"/>
  <c r="D764" i="2"/>
  <c r="D706" i="2"/>
  <c r="D654" i="2"/>
  <c r="D606" i="2"/>
  <c r="D560" i="2"/>
  <c r="D521" i="2"/>
  <c r="D486" i="2"/>
  <c r="D442" i="2"/>
  <c r="D403" i="2"/>
  <c r="D367" i="2"/>
  <c r="D323" i="2"/>
  <c r="D286" i="2"/>
  <c r="D245" i="2"/>
  <c r="D201" i="2"/>
  <c r="D168" i="2"/>
  <c r="D127" i="2"/>
  <c r="D93" i="2"/>
  <c r="D63" i="2"/>
  <c r="D30" i="2"/>
  <c r="D754" i="2"/>
  <c r="D642" i="2"/>
  <c r="D558" i="2"/>
  <c r="D477" i="2"/>
  <c r="D397" i="2"/>
  <c r="D317" i="2"/>
  <c r="D241" i="2"/>
  <c r="D161" i="2"/>
  <c r="D89" i="2"/>
  <c r="D23" i="2"/>
  <c r="D936" i="2"/>
  <c r="D870" i="2"/>
  <c r="D809" i="2"/>
  <c r="D741" i="2"/>
  <c r="D684" i="2"/>
  <c r="D589" i="2"/>
  <c r="D546" i="2"/>
  <c r="D513" i="2"/>
  <c r="D429" i="2"/>
  <c r="D391" i="2"/>
  <c r="D347" i="2"/>
  <c r="D312" i="2"/>
  <c r="D272" i="2"/>
  <c r="D229" i="2"/>
  <c r="D193" i="2"/>
  <c r="D116" i="2"/>
  <c r="D81" i="2"/>
  <c r="D54" i="2"/>
  <c r="D18" i="2"/>
  <c r="D932" i="2"/>
  <c r="D858" i="2"/>
  <c r="D800" i="2"/>
  <c r="D740" i="2"/>
  <c r="D680" i="2"/>
  <c r="D636" i="2"/>
  <c r="D588" i="2"/>
  <c r="D545" i="2"/>
  <c r="D511" i="2"/>
  <c r="D467" i="2"/>
  <c r="D427" i="2"/>
  <c r="D389" i="2"/>
  <c r="D311" i="2"/>
  <c r="D227" i="2"/>
  <c r="D189" i="2"/>
  <c r="D153" i="2"/>
  <c r="D115" i="2"/>
  <c r="D80" i="2"/>
  <c r="D51" i="2"/>
  <c r="D17" i="2"/>
  <c r="D491" i="2"/>
  <c r="D67" i="2"/>
  <c r="D837" i="2"/>
  <c r="D656" i="2"/>
  <c r="D572" i="2"/>
  <c r="D488" i="2"/>
  <c r="D413" i="2"/>
  <c r="D958" i="2"/>
  <c r="D886" i="2"/>
  <c r="D814" i="2"/>
  <c r="D758" i="2"/>
  <c r="D704" i="2"/>
  <c r="D646" i="2"/>
  <c r="D602" i="2"/>
  <c r="D559" i="2"/>
  <c r="D516" i="2"/>
  <c r="D485" i="2"/>
  <c r="D441" i="2"/>
  <c r="D398" i="2"/>
  <c r="D361" i="2"/>
  <c r="D319" i="2"/>
  <c r="D283" i="2"/>
  <c r="D242" i="2"/>
  <c r="D200" i="2"/>
  <c r="D165" i="2"/>
  <c r="D126" i="2"/>
  <c r="D91" i="2"/>
  <c r="D57" i="2"/>
  <c r="D27" i="2"/>
  <c r="D956" i="2"/>
  <c r="D812" i="2"/>
  <c r="D693" i="2"/>
  <c r="D600" i="2"/>
  <c r="D515" i="2"/>
  <c r="D439" i="2"/>
  <c r="D359" i="2"/>
  <c r="D275" i="2"/>
  <c r="D199" i="2"/>
  <c r="D125" i="2"/>
  <c r="D56" i="2"/>
  <c r="D372" i="2"/>
  <c r="D39" i="2"/>
  <c r="D902" i="2"/>
  <c r="D770" i="2"/>
  <c r="D610" i="2"/>
  <c r="D528" i="2"/>
  <c r="D449" i="2"/>
  <c r="D370" i="2"/>
  <c r="D289" i="2"/>
  <c r="D884" i="2"/>
  <c r="D469" i="2"/>
  <c r="D929" i="2"/>
  <c r="D732" i="2"/>
  <c r="D623" i="2"/>
  <c r="D542" i="2"/>
  <c r="D463" i="2"/>
  <c r="D384" i="2"/>
  <c r="D305" i="2"/>
  <c r="D226" i="2"/>
  <c r="D113" i="2"/>
  <c r="D43" i="2"/>
  <c r="D924" i="2"/>
  <c r="D782" i="2"/>
  <c r="D677" i="2"/>
  <c r="D576" i="2"/>
  <c r="D499" i="2"/>
  <c r="D381" i="2"/>
  <c r="D300" i="2"/>
  <c r="D223" i="2"/>
  <c r="D142" i="2"/>
  <c r="D78" i="2"/>
  <c r="D8" i="2"/>
  <c r="D914" i="2"/>
  <c r="D720" i="2"/>
  <c r="D621" i="2"/>
  <c r="D539" i="2"/>
  <c r="D417" i="2"/>
  <c r="D341" i="2"/>
  <c r="D259" i="2"/>
  <c r="D182" i="2"/>
  <c r="D77" i="2"/>
  <c r="D6" i="2"/>
  <c r="D909" i="2"/>
  <c r="D573" i="2"/>
  <c r="D337" i="2"/>
  <c r="D140" i="2"/>
  <c r="D938" i="2"/>
  <c r="D878" i="2"/>
  <c r="D811" i="2"/>
  <c r="D744" i="2"/>
  <c r="D691" i="2"/>
  <c r="D641" i="2"/>
  <c r="D590" i="2"/>
  <c r="D553" i="2"/>
  <c r="D514" i="2"/>
  <c r="D470" i="2"/>
  <c r="D433" i="2"/>
  <c r="D395" i="2"/>
  <c r="D353" i="2"/>
  <c r="D314" i="2"/>
  <c r="D273" i="2"/>
  <c r="D237" i="2"/>
  <c r="D198" i="2"/>
  <c r="D156" i="2"/>
  <c r="D117" i="2"/>
  <c r="D87" i="2"/>
  <c r="D55" i="2"/>
  <c r="D19" i="2"/>
  <c r="D638" i="2"/>
  <c r="D154" i="2"/>
  <c r="D345" i="2"/>
  <c r="D790" i="2"/>
  <c r="D187" i="2"/>
  <c r="D995" i="2"/>
  <c r="D419" i="2"/>
  <c r="D851" i="2"/>
  <c r="D457" i="2"/>
  <c r="D104" i="2"/>
  <c r="D839" i="2"/>
  <c r="D662" i="2"/>
  <c r="D455" i="2"/>
  <c r="D295" i="2"/>
  <c r="D173" i="2"/>
  <c r="D5" i="2"/>
  <c r="D215" i="2"/>
  <c r="D271" i="2"/>
  <c r="D998" i="2"/>
  <c r="D854" i="2"/>
  <c r="D678" i="2"/>
  <c r="D587" i="2"/>
  <c r="D500" i="2"/>
  <c r="D425" i="2"/>
  <c r="D344" i="2"/>
  <c r="D265" i="2"/>
  <c r="D143" i="2"/>
  <c r="D79" i="2"/>
  <c r="D15" i="2"/>
  <c r="D853" i="2"/>
  <c r="D725" i="2"/>
  <c r="D622" i="2"/>
  <c r="D541" i="2"/>
  <c r="D458" i="2"/>
  <c r="D342" i="2"/>
  <c r="D261" i="2"/>
  <c r="D186" i="2"/>
  <c r="D105" i="2"/>
  <c r="D42" i="2"/>
  <c r="D986" i="2"/>
  <c r="D780" i="2"/>
  <c r="D674" i="2"/>
  <c r="D574" i="2"/>
  <c r="D497" i="2"/>
  <c r="D373" i="2"/>
  <c r="D299" i="2"/>
  <c r="D217" i="2"/>
  <c r="D141" i="2"/>
  <c r="D41" i="2"/>
  <c r="D982" i="2"/>
  <c r="D779" i="2"/>
  <c r="D714" i="2"/>
  <c r="D620" i="2"/>
  <c r="D530" i="2"/>
  <c r="D414" i="2"/>
  <c r="D257" i="2"/>
  <c r="D103" i="2"/>
  <c r="D213" i="2"/>
  <c r="D3" i="2"/>
  <c r="D214" i="2"/>
  <c r="D608" i="2"/>
  <c r="D655" i="2"/>
  <c r="D65" i="2"/>
  <c r="D287" i="2"/>
  <c r="D66" i="2"/>
  <c r="D330" i="2"/>
  <c r="D766" i="2"/>
  <c r="D101" i="2"/>
  <c r="D333" i="2"/>
  <c r="D830" i="2"/>
  <c r="D102" i="2"/>
  <c r="D897" i="2"/>
  <c r="D128" i="2"/>
  <c r="D971" i="2"/>
  <c r="D131" i="2"/>
  <c r="D445" i="2"/>
  <c r="D569" i="2"/>
  <c r="D32" i="2"/>
  <c r="D247" i="2"/>
  <c r="D33" i="2"/>
  <c r="D251" i="2"/>
  <c r="D709" i="2"/>
  <c r="B214" i="2"/>
  <c r="B473" i="2"/>
  <c r="B917" i="2"/>
  <c r="B245" i="2"/>
  <c r="B487" i="2"/>
  <c r="B757" i="2"/>
  <c r="B257" i="2"/>
  <c r="B502" i="2"/>
  <c r="B792" i="2"/>
  <c r="B98" i="2"/>
  <c r="B744" i="2"/>
  <c r="B920" i="2"/>
  <c r="A450" i="2"/>
  <c r="A117" i="2"/>
  <c r="A453" i="2"/>
  <c r="A827" i="2"/>
  <c r="B517" i="2"/>
  <c r="A755" i="2"/>
  <c r="B158" i="2"/>
  <c r="B401" i="2"/>
  <c r="B520" i="2"/>
  <c r="B677" i="2"/>
  <c r="B821" i="2"/>
  <c r="B982" i="2"/>
  <c r="B358" i="2"/>
  <c r="B613" i="2"/>
  <c r="B101" i="2"/>
  <c r="B360" i="2"/>
  <c r="B616" i="2"/>
  <c r="B113" i="2"/>
  <c r="B372" i="2"/>
  <c r="B629" i="2"/>
  <c r="B934" i="2"/>
  <c r="A911" i="2"/>
  <c r="B271" i="2"/>
  <c r="B793" i="2"/>
  <c r="B968" i="2"/>
  <c r="B872" i="2"/>
  <c r="B776" i="2"/>
  <c r="B680" i="2"/>
  <c r="B584" i="2"/>
  <c r="B490" i="2"/>
  <c r="B403" i="2"/>
  <c r="B317" i="2"/>
  <c r="B230" i="2"/>
  <c r="B144" i="2"/>
  <c r="B58" i="2"/>
  <c r="B952" i="2"/>
  <c r="B856" i="2"/>
  <c r="B760" i="2"/>
  <c r="B664" i="2"/>
  <c r="B568" i="2"/>
  <c r="B475" i="2"/>
  <c r="B389" i="2"/>
  <c r="B302" i="2"/>
  <c r="B216" i="2"/>
  <c r="B130" i="2"/>
  <c r="B43" i="2"/>
  <c r="B901" i="2"/>
  <c r="B790" i="2"/>
  <c r="B661" i="2"/>
  <c r="B550" i="2"/>
  <c r="B444" i="2"/>
  <c r="B343" i="2"/>
  <c r="B242" i="2"/>
  <c r="B127" i="2"/>
  <c r="B26" i="2"/>
  <c r="B1000" i="2"/>
  <c r="B888" i="2"/>
  <c r="B773" i="2"/>
  <c r="B648" i="2"/>
  <c r="B536" i="2"/>
  <c r="B432" i="2"/>
  <c r="B331" i="2"/>
  <c r="B228" i="2"/>
  <c r="B115" i="2"/>
  <c r="B949" i="2"/>
  <c r="B838" i="2"/>
  <c r="B725" i="2"/>
  <c r="A992" i="2"/>
  <c r="A983" i="2"/>
  <c r="A897" i="2"/>
  <c r="A838" i="2"/>
  <c r="A780" i="2"/>
  <c r="A723" i="2"/>
  <c r="A665" i="2"/>
  <c r="A608" i="2"/>
  <c r="A550" i="2"/>
  <c r="A492" i="2"/>
  <c r="A435" i="2"/>
  <c r="A377" i="2"/>
  <c r="A321" i="2"/>
  <c r="A273" i="2"/>
  <c r="A225" i="2"/>
  <c r="A177" i="2"/>
  <c r="A129" i="2"/>
  <c r="A81" i="2"/>
  <c r="A33" i="2"/>
  <c r="A969" i="2"/>
  <c r="A882" i="2"/>
  <c r="A825" i="2"/>
  <c r="A767" i="2"/>
  <c r="A710" i="2"/>
  <c r="A652" i="2"/>
  <c r="A594" i="2"/>
  <c r="A537" i="2"/>
  <c r="A479" i="2"/>
  <c r="A422" i="2"/>
  <c r="A364" i="2"/>
  <c r="A310" i="2"/>
  <c r="A262" i="2"/>
  <c r="A214" i="2"/>
  <c r="A166" i="2"/>
  <c r="A118" i="2"/>
  <c r="A70" i="2"/>
  <c r="A22" i="2"/>
  <c r="A928" i="2"/>
  <c r="A852" i="2"/>
  <c r="A782" i="2"/>
  <c r="A708" i="2"/>
  <c r="A638" i="2"/>
  <c r="A568" i="2"/>
  <c r="A507" i="2"/>
  <c r="A436" i="2"/>
  <c r="A363" i="2"/>
  <c r="A298" i="2"/>
  <c r="A240" i="2"/>
  <c r="A189" i="2"/>
  <c r="A130" i="2"/>
  <c r="A69" i="2"/>
  <c r="A10" i="2"/>
  <c r="A132" i="2"/>
  <c r="A252" i="2"/>
  <c r="A393" i="2"/>
  <c r="A539" i="2"/>
  <c r="A694" i="2"/>
  <c r="A842" i="2"/>
  <c r="B41" i="2"/>
  <c r="B286" i="2"/>
  <c r="B694" i="2"/>
  <c r="B984" i="2"/>
  <c r="A9" i="2"/>
  <c r="A72" i="2"/>
  <c r="A141" i="2"/>
  <c r="A201" i="2"/>
  <c r="A261" i="2"/>
  <c r="A324" i="2"/>
  <c r="A395" i="2"/>
  <c r="A467" i="2"/>
  <c r="A551" i="2"/>
  <c r="A623" i="2"/>
  <c r="A695" i="2"/>
  <c r="A770" i="2"/>
  <c r="A854" i="2"/>
  <c r="A942" i="2"/>
  <c r="B55" i="2"/>
  <c r="B173" i="2"/>
  <c r="B288" i="2"/>
  <c r="B418" i="2"/>
  <c r="B552" i="2"/>
  <c r="B696" i="2"/>
  <c r="B840" i="2"/>
  <c r="B997" i="2"/>
  <c r="A48" i="2"/>
  <c r="A108" i="2"/>
  <c r="A178" i="2"/>
  <c r="A238" i="2"/>
  <c r="A300" i="2"/>
  <c r="A378" i="2"/>
  <c r="A522" i="2"/>
  <c r="A597" i="2"/>
  <c r="A680" i="2"/>
  <c r="A752" i="2"/>
  <c r="A824" i="2"/>
  <c r="B12" i="2"/>
  <c r="B142" i="2"/>
  <c r="B259" i="2"/>
  <c r="B374" i="2"/>
  <c r="B504" i="2"/>
  <c r="B632" i="2"/>
  <c r="B805" i="2"/>
  <c r="B936" i="2"/>
  <c r="A57" i="2"/>
  <c r="A249" i="2"/>
  <c r="A309" i="2"/>
  <c r="A381" i="2"/>
  <c r="A525" i="2"/>
  <c r="A609" i="2"/>
  <c r="A681" i="2"/>
  <c r="A753" i="2"/>
  <c r="A914" i="2"/>
  <c r="B14" i="2"/>
  <c r="B156" i="2"/>
  <c r="B386" i="2"/>
  <c r="B646" i="2"/>
  <c r="B808" i="2"/>
  <c r="B965" i="2"/>
  <c r="A58" i="2"/>
  <c r="A120" i="2"/>
  <c r="A190" i="2"/>
  <c r="A250" i="2"/>
  <c r="A312" i="2"/>
  <c r="A392" i="2"/>
  <c r="A464" i="2"/>
  <c r="A536" i="2"/>
  <c r="A611" i="2"/>
  <c r="A683" i="2"/>
  <c r="A839" i="2"/>
  <c r="A926" i="2"/>
  <c r="B29" i="2"/>
  <c r="B274" i="2"/>
  <c r="A60" i="2"/>
  <c r="A192" i="2"/>
  <c r="A322" i="2"/>
  <c r="A465" i="2"/>
  <c r="A622" i="2"/>
  <c r="A766" i="2"/>
  <c r="A940" i="2"/>
  <c r="B170" i="2"/>
  <c r="B415" i="2"/>
  <c r="B824" i="2"/>
  <c r="A12" i="2"/>
  <c r="A82" i="2"/>
  <c r="A142" i="2"/>
  <c r="A202" i="2"/>
  <c r="A264" i="2"/>
  <c r="A334" i="2"/>
  <c r="A406" i="2"/>
  <c r="A478" i="2"/>
  <c r="A554" i="2"/>
  <c r="A626" i="2"/>
  <c r="A698" i="2"/>
  <c r="A784" i="2"/>
  <c r="A856" i="2"/>
  <c r="A954" i="2"/>
  <c r="B70" i="2"/>
  <c r="B185" i="2"/>
  <c r="B300" i="2"/>
  <c r="B430" i="2"/>
  <c r="B565" i="2"/>
  <c r="B709" i="2"/>
  <c r="B853" i="2"/>
  <c r="E41" i="2"/>
  <c r="E110" i="2"/>
  <c r="E172" i="2"/>
  <c r="E254" i="2"/>
  <c r="E332" i="2"/>
  <c r="E412" i="2"/>
  <c r="E494" i="2"/>
  <c r="E590" i="2"/>
  <c r="E690" i="2"/>
  <c r="E810" i="2"/>
  <c r="E986" i="2"/>
  <c r="E985" i="2"/>
  <c r="E907" i="2"/>
  <c r="E841" i="2"/>
  <c r="E754" i="2"/>
  <c r="E682" i="2"/>
  <c r="E604" i="2"/>
  <c r="E542" i="2"/>
  <c r="E481" i="2"/>
  <c r="E414" i="2"/>
  <c r="E358" i="2"/>
  <c r="E302" i="2"/>
  <c r="E255" i="2"/>
  <c r="E202" i="2"/>
  <c r="E148" i="2"/>
  <c r="E100" i="2"/>
  <c r="E42" i="2"/>
  <c r="E973" i="2"/>
  <c r="E904" i="2"/>
  <c r="E819" i="2"/>
  <c r="E747" i="2"/>
  <c r="E664" i="2"/>
  <c r="E601" i="2"/>
  <c r="E537" i="2"/>
  <c r="E463" i="2"/>
  <c r="E406" i="2"/>
  <c r="E344" i="2"/>
  <c r="E297" i="2"/>
  <c r="E246" i="2"/>
  <c r="E190" i="2"/>
  <c r="E142" i="2"/>
  <c r="E86" i="2"/>
  <c r="E39" i="2"/>
  <c r="E1000" i="2"/>
  <c r="E889" i="2"/>
  <c r="E808" i="2"/>
  <c r="E714" i="2"/>
  <c r="E625" i="2"/>
  <c r="E546" i="2"/>
  <c r="E460" i="2"/>
  <c r="E388" i="2"/>
  <c r="E326" i="2"/>
  <c r="E270" i="2"/>
  <c r="E210" i="2"/>
  <c r="E140" i="2"/>
  <c r="E80" i="2"/>
  <c r="E15" i="2"/>
  <c r="E978" i="2"/>
  <c r="E882" i="2"/>
  <c r="E793" i="2"/>
  <c r="E712" i="2"/>
  <c r="E621" i="2"/>
  <c r="E541" i="2"/>
  <c r="E459" i="2"/>
  <c r="E386" i="2"/>
  <c r="E320" i="2"/>
  <c r="E258" i="2"/>
  <c r="E196" i="2"/>
  <c r="E66" i="2"/>
  <c r="E128" i="2"/>
  <c r="E213" i="2"/>
  <c r="E282" i="2"/>
  <c r="E361" i="2"/>
  <c r="E440" i="2"/>
  <c r="E522" i="2"/>
  <c r="E633" i="2"/>
  <c r="E745" i="2"/>
  <c r="E850" i="2"/>
  <c r="E952" i="2"/>
  <c r="E10" i="2"/>
  <c r="E74" i="2"/>
  <c r="E145" i="2"/>
  <c r="E214" i="2"/>
  <c r="E290" i="2"/>
  <c r="E364" i="2"/>
  <c r="E441" i="2"/>
  <c r="E553" i="2"/>
  <c r="E649" i="2"/>
  <c r="E748" i="2"/>
  <c r="E856" i="2"/>
  <c r="E967" i="2"/>
  <c r="F11" i="2"/>
  <c r="F507" i="2"/>
  <c r="F96" i="2"/>
  <c r="F586" i="2"/>
  <c r="F165" i="2"/>
  <c r="F671" i="2"/>
  <c r="F228" i="2"/>
  <c r="F743" i="2"/>
  <c r="F658" i="2"/>
  <c r="F765" i="2"/>
  <c r="F579" i="2"/>
  <c r="F159" i="2"/>
  <c r="F311" i="2"/>
  <c r="F838" i="2"/>
  <c r="F333" i="2"/>
  <c r="F844" i="2"/>
  <c r="F74" i="2"/>
  <c r="F240" i="2"/>
  <c r="F405" i="2"/>
  <c r="F923" i="2"/>
  <c r="F411" i="2"/>
  <c r="F992" i="2"/>
  <c r="F980" i="2"/>
  <c r="F968" i="2"/>
  <c r="F956" i="2"/>
  <c r="F944" i="2"/>
  <c r="F932" i="2"/>
  <c r="F920" i="2"/>
  <c r="F908" i="2"/>
  <c r="F896" i="2"/>
  <c r="F884" i="2"/>
  <c r="F872" i="2"/>
  <c r="F860" i="2"/>
  <c r="F848" i="2"/>
  <c r="F836" i="2"/>
  <c r="F994" i="2"/>
  <c r="F981" i="2"/>
  <c r="F967" i="2"/>
  <c r="F954" i="2"/>
  <c r="F941" i="2"/>
  <c r="F928" i="2"/>
  <c r="F915" i="2"/>
  <c r="F902" i="2"/>
  <c r="F889" i="2"/>
  <c r="F876" i="2"/>
  <c r="F863" i="2"/>
  <c r="F850" i="2"/>
  <c r="F837" i="2"/>
  <c r="F824" i="2"/>
  <c r="F812" i="2"/>
  <c r="F800" i="2"/>
  <c r="F788" i="2"/>
  <c r="F776" i="2"/>
  <c r="F764" i="2"/>
  <c r="F752" i="2"/>
  <c r="F740" i="2"/>
  <c r="F728" i="2"/>
  <c r="F716" i="2"/>
  <c r="F704" i="2"/>
  <c r="F692" i="2"/>
  <c r="F680" i="2"/>
  <c r="F668" i="2"/>
  <c r="F656" i="2"/>
  <c r="F644" i="2"/>
  <c r="F632" i="2"/>
  <c r="F620" i="2"/>
  <c r="F608" i="2"/>
  <c r="F596" i="2"/>
  <c r="F584" i="2"/>
  <c r="F572" i="2"/>
  <c r="F560" i="2"/>
  <c r="F548" i="2"/>
  <c r="F536" i="2"/>
  <c r="F524" i="2"/>
  <c r="F512" i="2"/>
  <c r="F500" i="2"/>
  <c r="F488" i="2"/>
  <c r="F476" i="2"/>
  <c r="F464" i="2"/>
  <c r="F452" i="2"/>
  <c r="F440" i="2"/>
  <c r="F428" i="2"/>
  <c r="F416" i="2"/>
  <c r="F404" i="2"/>
  <c r="F392" i="2"/>
  <c r="F380" i="2"/>
  <c r="F368" i="2"/>
  <c r="F356" i="2"/>
  <c r="F344" i="2"/>
  <c r="F332" i="2"/>
  <c r="F320" i="2"/>
  <c r="F308" i="2"/>
  <c r="F296" i="2"/>
  <c r="F284" i="2"/>
  <c r="F272" i="2"/>
  <c r="F260" i="2"/>
  <c r="F248" i="2"/>
  <c r="F236" i="2"/>
  <c r="F224" i="2"/>
  <c r="F212" i="2"/>
  <c r="F200" i="2"/>
  <c r="F188" i="2"/>
  <c r="F176" i="2"/>
  <c r="F164" i="2"/>
  <c r="F152" i="2"/>
  <c r="F140" i="2"/>
  <c r="F128" i="2"/>
  <c r="F116" i="2"/>
  <c r="F104" i="2"/>
  <c r="F92" i="2"/>
  <c r="F80" i="2"/>
  <c r="F68" i="2"/>
  <c r="F56" i="2"/>
  <c r="F44" i="2"/>
  <c r="F32" i="2"/>
  <c r="F20" i="2"/>
  <c r="F8" i="2"/>
  <c r="F993" i="2"/>
  <c r="F979" i="2"/>
  <c r="F966" i="2"/>
  <c r="F953" i="2"/>
  <c r="F940" i="2"/>
  <c r="F927" i="2"/>
  <c r="F914" i="2"/>
  <c r="F901" i="2"/>
  <c r="F888" i="2"/>
  <c r="F875" i="2"/>
  <c r="F862" i="2"/>
  <c r="F849" i="2"/>
  <c r="F835" i="2"/>
  <c r="F823" i="2"/>
  <c r="F811" i="2"/>
  <c r="F799" i="2"/>
  <c r="F787" i="2"/>
  <c r="F775" i="2"/>
  <c r="F763" i="2"/>
  <c r="F751" i="2"/>
  <c r="F739" i="2"/>
  <c r="F727" i="2"/>
  <c r="F715" i="2"/>
  <c r="F703" i="2"/>
  <c r="F691" i="2"/>
  <c r="F679" i="2"/>
  <c r="F667" i="2"/>
  <c r="F655" i="2"/>
  <c r="F643" i="2"/>
  <c r="F631" i="2"/>
  <c r="F619" i="2"/>
  <c r="F607" i="2"/>
  <c r="F595" i="2"/>
  <c r="F583" i="2"/>
  <c r="F571" i="2"/>
  <c r="F559" i="2"/>
  <c r="F547" i="2"/>
  <c r="F535" i="2"/>
  <c r="F523" i="2"/>
  <c r="F511" i="2"/>
  <c r="F499" i="2"/>
  <c r="F487" i="2"/>
  <c r="F475" i="2"/>
  <c r="F463" i="2"/>
  <c r="F451" i="2"/>
  <c r="F439" i="2"/>
  <c r="F427" i="2"/>
  <c r="F415" i="2"/>
  <c r="F403" i="2"/>
  <c r="F391" i="2"/>
  <c r="F379" i="2"/>
  <c r="F367" i="2"/>
  <c r="F355" i="2"/>
  <c r="F343" i="2"/>
  <c r="F331" i="2"/>
  <c r="F319" i="2"/>
  <c r="F307" i="2"/>
  <c r="F295" i="2"/>
  <c r="F283" i="2"/>
  <c r="F271" i="2"/>
  <c r="F259" i="2"/>
  <c r="F247" i="2"/>
  <c r="F235" i="2"/>
  <c r="F223" i="2"/>
  <c r="F211" i="2"/>
  <c r="F199" i="2"/>
  <c r="F187" i="2"/>
  <c r="F175" i="2"/>
  <c r="F163" i="2"/>
  <c r="F151" i="2"/>
  <c r="F139" i="2"/>
  <c r="F127" i="2"/>
  <c r="F115" i="2"/>
  <c r="F103" i="2"/>
  <c r="F91" i="2"/>
  <c r="F79" i="2"/>
  <c r="F67" i="2"/>
  <c r="F55" i="2"/>
  <c r="F43" i="2"/>
  <c r="F31" i="2"/>
  <c r="F19" i="2"/>
  <c r="F7" i="2"/>
  <c r="F991" i="2"/>
  <c r="F978" i="2"/>
  <c r="F965" i="2"/>
  <c r="F952" i="2"/>
  <c r="F939" i="2"/>
  <c r="F926" i="2"/>
  <c r="F913" i="2"/>
  <c r="F900" i="2"/>
  <c r="F887" i="2"/>
  <c r="F874" i="2"/>
  <c r="F861" i="2"/>
  <c r="F847" i="2"/>
  <c r="F834" i="2"/>
  <c r="F822" i="2"/>
  <c r="F810" i="2"/>
  <c r="F798" i="2"/>
  <c r="F786" i="2"/>
  <c r="F774" i="2"/>
  <c r="F762" i="2"/>
  <c r="F750" i="2"/>
  <c r="F738" i="2"/>
  <c r="F726" i="2"/>
  <c r="F714" i="2"/>
  <c r="F702" i="2"/>
  <c r="F690" i="2"/>
  <c r="F678" i="2"/>
  <c r="F666" i="2"/>
  <c r="F654" i="2"/>
  <c r="F642" i="2"/>
  <c r="F630" i="2"/>
  <c r="F618" i="2"/>
  <c r="F606" i="2"/>
  <c r="F594" i="2"/>
  <c r="F582" i="2"/>
  <c r="F570" i="2"/>
  <c r="F558" i="2"/>
  <c r="F546" i="2"/>
  <c r="F534" i="2"/>
  <c r="F522" i="2"/>
  <c r="F510" i="2"/>
  <c r="F498" i="2"/>
  <c r="F486" i="2"/>
  <c r="F474" i="2"/>
  <c r="F462" i="2"/>
  <c r="F450" i="2"/>
  <c r="F438" i="2"/>
  <c r="F426" i="2"/>
  <c r="F414" i="2"/>
  <c r="F402" i="2"/>
  <c r="F390" i="2"/>
  <c r="F378" i="2"/>
  <c r="F366" i="2"/>
  <c r="F354" i="2"/>
  <c r="F342" i="2"/>
  <c r="F330" i="2"/>
  <c r="F318" i="2"/>
  <c r="F306" i="2"/>
  <c r="F294" i="2"/>
  <c r="F282" i="2"/>
  <c r="F270" i="2"/>
  <c r="F258" i="2"/>
  <c r="F989" i="2"/>
  <c r="F976" i="2"/>
  <c r="F963" i="2"/>
  <c r="F950" i="2"/>
  <c r="F937" i="2"/>
  <c r="F924" i="2"/>
  <c r="F911" i="2"/>
  <c r="F898" i="2"/>
  <c r="F885" i="2"/>
  <c r="F871" i="2"/>
  <c r="F858" i="2"/>
  <c r="F845" i="2"/>
  <c r="F832" i="2"/>
  <c r="F820" i="2"/>
  <c r="F808" i="2"/>
  <c r="F796" i="2"/>
  <c r="F784" i="2"/>
  <c r="F772" i="2"/>
  <c r="F760" i="2"/>
  <c r="F748" i="2"/>
  <c r="F736" i="2"/>
  <c r="F724" i="2"/>
  <c r="F712" i="2"/>
  <c r="F700" i="2"/>
  <c r="F688" i="2"/>
  <c r="F676" i="2"/>
  <c r="F664" i="2"/>
  <c r="F652" i="2"/>
  <c r="F640" i="2"/>
  <c r="F628" i="2"/>
  <c r="F616" i="2"/>
  <c r="F604" i="2"/>
  <c r="F592" i="2"/>
  <c r="F580" i="2"/>
  <c r="F568" i="2"/>
  <c r="F556" i="2"/>
  <c r="F544" i="2"/>
  <c r="F532" i="2"/>
  <c r="F520" i="2"/>
  <c r="F508" i="2"/>
  <c r="F496" i="2"/>
  <c r="F484" i="2"/>
  <c r="F472" i="2"/>
  <c r="F460" i="2"/>
  <c r="F448" i="2"/>
  <c r="F436" i="2"/>
  <c r="F424" i="2"/>
  <c r="F412" i="2"/>
  <c r="F400" i="2"/>
  <c r="F388" i="2"/>
  <c r="F376" i="2"/>
  <c r="F364" i="2"/>
  <c r="F352" i="2"/>
  <c r="F340" i="2"/>
  <c r="F328" i="2"/>
  <c r="F316" i="2"/>
  <c r="F304" i="2"/>
  <c r="F292" i="2"/>
  <c r="F280" i="2"/>
  <c r="F268" i="2"/>
  <c r="F256" i="2"/>
  <c r="F244" i="2"/>
  <c r="F232" i="2"/>
  <c r="F220" i="2"/>
  <c r="F208" i="2"/>
  <c r="F196" i="2"/>
  <c r="F184" i="2"/>
  <c r="F172" i="2"/>
  <c r="F160" i="2"/>
  <c r="F148" i="2"/>
  <c r="F136" i="2"/>
  <c r="F124" i="2"/>
  <c r="F112" i="2"/>
  <c r="F100" i="2"/>
  <c r="F88" i="2"/>
  <c r="F76" i="2"/>
  <c r="F64" i="2"/>
  <c r="F52" i="2"/>
  <c r="F40" i="2"/>
  <c r="F28" i="2"/>
  <c r="F16" i="2"/>
  <c r="F4" i="2"/>
  <c r="F987" i="2"/>
  <c r="F970" i="2"/>
  <c r="F948" i="2"/>
  <c r="F930" i="2"/>
  <c r="F909" i="2"/>
  <c r="F891" i="2"/>
  <c r="F869" i="2"/>
  <c r="F852" i="2"/>
  <c r="F830" i="2"/>
  <c r="F814" i="2"/>
  <c r="F794" i="2"/>
  <c r="F778" i="2"/>
  <c r="F758" i="2"/>
  <c r="F742" i="2"/>
  <c r="F722" i="2"/>
  <c r="F706" i="2"/>
  <c r="F686" i="2"/>
  <c r="F670" i="2"/>
  <c r="F650" i="2"/>
  <c r="F634" i="2"/>
  <c r="F614" i="2"/>
  <c r="F598" i="2"/>
  <c r="F578" i="2"/>
  <c r="F562" i="2"/>
  <c r="F542" i="2"/>
  <c r="F526" i="2"/>
  <c r="F506" i="2"/>
  <c r="F490" i="2"/>
  <c r="F470" i="2"/>
  <c r="F454" i="2"/>
  <c r="F434" i="2"/>
  <c r="F418" i="2"/>
  <c r="F398" i="2"/>
  <c r="F382" i="2"/>
  <c r="F362" i="2"/>
  <c r="F346" i="2"/>
  <c r="F326" i="2"/>
  <c r="F310" i="2"/>
  <c r="F290" i="2"/>
  <c r="F274" i="2"/>
  <c r="F254" i="2"/>
  <c r="F239" i="2"/>
  <c r="F222" i="2"/>
  <c r="F206" i="2"/>
  <c r="F191" i="2"/>
  <c r="F174" i="2"/>
  <c r="F158" i="2"/>
  <c r="F143" i="2"/>
  <c r="F126" i="2"/>
  <c r="F110" i="2"/>
  <c r="F95" i="2"/>
  <c r="F78" i="2"/>
  <c r="F62" i="2"/>
  <c r="F47" i="2"/>
  <c r="F30" i="2"/>
  <c r="F14" i="2"/>
  <c r="F986" i="2"/>
  <c r="F969" i="2"/>
  <c r="F947" i="2"/>
  <c r="F929" i="2"/>
  <c r="F907" i="2"/>
  <c r="F890" i="2"/>
  <c r="F868" i="2"/>
  <c r="F851" i="2"/>
  <c r="F829" i="2"/>
  <c r="F813" i="2"/>
  <c r="F793" i="2"/>
  <c r="F777" i="2"/>
  <c r="F757" i="2"/>
  <c r="F741" i="2"/>
  <c r="F721" i="2"/>
  <c r="F705" i="2"/>
  <c r="F685" i="2"/>
  <c r="F669" i="2"/>
  <c r="F649" i="2"/>
  <c r="F633" i="2"/>
  <c r="F613" i="2"/>
  <c r="F597" i="2"/>
  <c r="F577" i="2"/>
  <c r="F561" i="2"/>
  <c r="F541" i="2"/>
  <c r="F525" i="2"/>
  <c r="F505" i="2"/>
  <c r="F489" i="2"/>
  <c r="F469" i="2"/>
  <c r="F453" i="2"/>
  <c r="F433" i="2"/>
  <c r="F417" i="2"/>
  <c r="F397" i="2"/>
  <c r="F381" i="2"/>
  <c r="F361" i="2"/>
  <c r="F345" i="2"/>
  <c r="F325" i="2"/>
  <c r="F309" i="2"/>
  <c r="F289" i="2"/>
  <c r="F273" i="2"/>
  <c r="F253" i="2"/>
  <c r="F238" i="2"/>
  <c r="F221" i="2"/>
  <c r="F205" i="2"/>
  <c r="F190" i="2"/>
  <c r="F173" i="2"/>
  <c r="F157" i="2"/>
  <c r="F142" i="2"/>
  <c r="F125" i="2"/>
  <c r="F109" i="2"/>
  <c r="F94" i="2"/>
  <c r="F77" i="2"/>
  <c r="F61" i="2"/>
  <c r="F46" i="2"/>
  <c r="F29" i="2"/>
  <c r="F13" i="2"/>
  <c r="F985" i="2"/>
  <c r="F964" i="2"/>
  <c r="F946" i="2"/>
  <c r="F925" i="2"/>
  <c r="F906" i="2"/>
  <c r="F886" i="2"/>
  <c r="F867" i="2"/>
  <c r="F846" i="2"/>
  <c r="F828" i="2"/>
  <c r="F809" i="2"/>
  <c r="F792" i="2"/>
  <c r="F773" i="2"/>
  <c r="F756" i="2"/>
  <c r="F737" i="2"/>
  <c r="F720" i="2"/>
  <c r="F701" i="2"/>
  <c r="F684" i="2"/>
  <c r="F665" i="2"/>
  <c r="F648" i="2"/>
  <c r="F629" i="2"/>
  <c r="F612" i="2"/>
  <c r="F593" i="2"/>
  <c r="F576" i="2"/>
  <c r="F557" i="2"/>
  <c r="F540" i="2"/>
  <c r="F521" i="2"/>
  <c r="F504" i="2"/>
  <c r="F485" i="2"/>
  <c r="F468" i="2"/>
  <c r="F449" i="2"/>
  <c r="F432" i="2"/>
  <c r="F413" i="2"/>
  <c r="F396" i="2"/>
  <c r="F377" i="2"/>
  <c r="F360" i="2"/>
  <c r="F341" i="2"/>
  <c r="F324" i="2"/>
  <c r="F305" i="2"/>
  <c r="F288" i="2"/>
  <c r="F269" i="2"/>
  <c r="F252" i="2"/>
  <c r="F237" i="2"/>
  <c r="F219" i="2"/>
  <c r="F204" i="2"/>
  <c r="F189" i="2"/>
  <c r="F171" i="2"/>
  <c r="F156" i="2"/>
  <c r="F141" i="2"/>
  <c r="F123" i="2"/>
  <c r="F108" i="2"/>
  <c r="F93" i="2"/>
  <c r="F75" i="2"/>
  <c r="F60" i="2"/>
  <c r="F45" i="2"/>
  <c r="F27" i="2"/>
  <c r="F12" i="2"/>
  <c r="F1000" i="2"/>
  <c r="F983" i="2"/>
  <c r="F961" i="2"/>
  <c r="F943" i="2"/>
  <c r="F922" i="2"/>
  <c r="F904" i="2"/>
  <c r="F882" i="2"/>
  <c r="F865" i="2"/>
  <c r="F843" i="2"/>
  <c r="F826" i="2"/>
  <c r="F806" i="2"/>
  <c r="F790" i="2"/>
  <c r="F770" i="2"/>
  <c r="F754" i="2"/>
  <c r="F734" i="2"/>
  <c r="F718" i="2"/>
  <c r="F698" i="2"/>
  <c r="F682" i="2"/>
  <c r="F662" i="2"/>
  <c r="F646" i="2"/>
  <c r="F626" i="2"/>
  <c r="F610" i="2"/>
  <c r="F590" i="2"/>
  <c r="F574" i="2"/>
  <c r="F554" i="2"/>
  <c r="F538" i="2"/>
  <c r="F518" i="2"/>
  <c r="F502" i="2"/>
  <c r="F482" i="2"/>
  <c r="F466" i="2"/>
  <c r="F446" i="2"/>
  <c r="F430" i="2"/>
  <c r="F410" i="2"/>
  <c r="F394" i="2"/>
  <c r="F374" i="2"/>
  <c r="F358" i="2"/>
  <c r="F338" i="2"/>
  <c r="F322" i="2"/>
  <c r="F302" i="2"/>
  <c r="F286" i="2"/>
  <c r="F266" i="2"/>
  <c r="F250" i="2"/>
  <c r="F233" i="2"/>
  <c r="F217" i="2"/>
  <c r="F202" i="2"/>
  <c r="F185" i="2"/>
  <c r="F169" i="2"/>
  <c r="F154" i="2"/>
  <c r="F137" i="2"/>
  <c r="F121" i="2"/>
  <c r="F106" i="2"/>
  <c r="F89" i="2"/>
  <c r="F73" i="2"/>
  <c r="F58" i="2"/>
  <c r="F41" i="2"/>
  <c r="F25" i="2"/>
  <c r="F10" i="2"/>
  <c r="F999" i="2"/>
  <c r="F982" i="2"/>
  <c r="F960" i="2"/>
  <c r="F942" i="2"/>
  <c r="F921" i="2"/>
  <c r="F903" i="2"/>
  <c r="F881" i="2"/>
  <c r="F864" i="2"/>
  <c r="F842" i="2"/>
  <c r="F825" i="2"/>
  <c r="F805" i="2"/>
  <c r="F789" i="2"/>
  <c r="F769" i="2"/>
  <c r="F753" i="2"/>
  <c r="F733" i="2"/>
  <c r="F717" i="2"/>
  <c r="F697" i="2"/>
  <c r="F681" i="2"/>
  <c r="F661" i="2"/>
  <c r="F645" i="2"/>
  <c r="F625" i="2"/>
  <c r="F609" i="2"/>
  <c r="F589" i="2"/>
  <c r="F573" i="2"/>
  <c r="F553" i="2"/>
  <c r="F537" i="2"/>
  <c r="F517" i="2"/>
  <c r="F501" i="2"/>
  <c r="F481" i="2"/>
  <c r="F465" i="2"/>
  <c r="F445" i="2"/>
  <c r="F429" i="2"/>
  <c r="F409" i="2"/>
  <c r="F393" i="2"/>
  <c r="F373" i="2"/>
  <c r="F357" i="2"/>
  <c r="F337" i="2"/>
  <c r="F321" i="2"/>
  <c r="F301" i="2"/>
  <c r="F285" i="2"/>
  <c r="F265" i="2"/>
  <c r="F249" i="2"/>
  <c r="F231" i="2"/>
  <c r="F216" i="2"/>
  <c r="F201" i="2"/>
  <c r="F183" i="2"/>
  <c r="F168" i="2"/>
  <c r="F153" i="2"/>
  <c r="F135" i="2"/>
  <c r="F120" i="2"/>
  <c r="F105" i="2"/>
  <c r="F87" i="2"/>
  <c r="F72" i="2"/>
  <c r="F57" i="2"/>
  <c r="F39" i="2"/>
  <c r="F24" i="2"/>
  <c r="F9" i="2"/>
  <c r="F998" i="2"/>
  <c r="F977" i="2"/>
  <c r="F959" i="2"/>
  <c r="F938" i="2"/>
  <c r="F919" i="2"/>
  <c r="F899" i="2"/>
  <c r="F880" i="2"/>
  <c r="F859" i="2"/>
  <c r="F841" i="2"/>
  <c r="F821" i="2"/>
  <c r="F804" i="2"/>
  <c r="F785" i="2"/>
  <c r="F768" i="2"/>
  <c r="F749" i="2"/>
  <c r="F732" i="2"/>
  <c r="F713" i="2"/>
  <c r="F696" i="2"/>
  <c r="F677" i="2"/>
  <c r="F660" i="2"/>
  <c r="F641" i="2"/>
  <c r="F624" i="2"/>
  <c r="F605" i="2"/>
  <c r="F588" i="2"/>
  <c r="F569" i="2"/>
  <c r="F552" i="2"/>
  <c r="F533" i="2"/>
  <c r="F516" i="2"/>
  <c r="F497" i="2"/>
  <c r="F480" i="2"/>
  <c r="F461" i="2"/>
  <c r="F444" i="2"/>
  <c r="F425" i="2"/>
  <c r="F408" i="2"/>
  <c r="F389" i="2"/>
  <c r="F372" i="2"/>
  <c r="F353" i="2"/>
  <c r="F336" i="2"/>
  <c r="F317" i="2"/>
  <c r="F300" i="2"/>
  <c r="F281" i="2"/>
  <c r="F264" i="2"/>
  <c r="F246" i="2"/>
  <c r="F230" i="2"/>
  <c r="F215" i="2"/>
  <c r="F198" i="2"/>
  <c r="F182" i="2"/>
  <c r="F167" i="2"/>
  <c r="F150" i="2"/>
  <c r="F134" i="2"/>
  <c r="F119" i="2"/>
  <c r="F102" i="2"/>
  <c r="F86" i="2"/>
  <c r="F71" i="2"/>
  <c r="F54" i="2"/>
  <c r="F38" i="2"/>
  <c r="F23" i="2"/>
  <c r="F6" i="2"/>
  <c r="F990" i="2"/>
  <c r="F951" i="2"/>
  <c r="F912" i="2"/>
  <c r="F873" i="2"/>
  <c r="F833" i="2"/>
  <c r="F797" i="2"/>
  <c r="F761" i="2"/>
  <c r="F725" i="2"/>
  <c r="F689" i="2"/>
  <c r="F653" i="2"/>
  <c r="F617" i="2"/>
  <c r="F581" i="2"/>
  <c r="F545" i="2"/>
  <c r="F509" i="2"/>
  <c r="F473" i="2"/>
  <c r="F437" i="2"/>
  <c r="F401" i="2"/>
  <c r="F365" i="2"/>
  <c r="F329" i="2"/>
  <c r="F293" i="2"/>
  <c r="F257" i="2"/>
  <c r="F226" i="2"/>
  <c r="F193" i="2"/>
  <c r="F161" i="2"/>
  <c r="F130" i="2"/>
  <c r="F97" i="2"/>
  <c r="F65" i="2"/>
  <c r="F34" i="2"/>
  <c r="F2" i="2"/>
  <c r="F984" i="2"/>
  <c r="F945" i="2"/>
  <c r="F905" i="2"/>
  <c r="F866" i="2"/>
  <c r="F827" i="2"/>
  <c r="F791" i="2"/>
  <c r="F755" i="2"/>
  <c r="F719" i="2"/>
  <c r="F683" i="2"/>
  <c r="F647" i="2"/>
  <c r="F611" i="2"/>
  <c r="F575" i="2"/>
  <c r="F539" i="2"/>
  <c r="F503" i="2"/>
  <c r="F467" i="2"/>
  <c r="F431" i="2"/>
  <c r="F395" i="2"/>
  <c r="F359" i="2"/>
  <c r="F323" i="2"/>
  <c r="F287" i="2"/>
  <c r="F251" i="2"/>
  <c r="F218" i="2"/>
  <c r="F186" i="2"/>
  <c r="F155" i="2"/>
  <c r="F122" i="2"/>
  <c r="F90" i="2"/>
  <c r="F59" i="2"/>
  <c r="F26" i="2"/>
  <c r="F975" i="2"/>
  <c r="F936" i="2"/>
  <c r="F897" i="2"/>
  <c r="F857" i="2"/>
  <c r="F819" i="2"/>
  <c r="F783" i="2"/>
  <c r="F747" i="2"/>
  <c r="F711" i="2"/>
  <c r="F675" i="2"/>
  <c r="F639" i="2"/>
  <c r="F603" i="2"/>
  <c r="F567" i="2"/>
  <c r="F531" i="2"/>
  <c r="F495" i="2"/>
  <c r="F459" i="2"/>
  <c r="F423" i="2"/>
  <c r="F387" i="2"/>
  <c r="F351" i="2"/>
  <c r="F315" i="2"/>
  <c r="F279" i="2"/>
  <c r="F245" i="2"/>
  <c r="F214" i="2"/>
  <c r="F181" i="2"/>
  <c r="F149" i="2"/>
  <c r="F118" i="2"/>
  <c r="F85" i="2"/>
  <c r="F53" i="2"/>
  <c r="F22" i="2"/>
  <c r="F974" i="2"/>
  <c r="F935" i="2"/>
  <c r="F895" i="2"/>
  <c r="F856" i="2"/>
  <c r="F818" i="2"/>
  <c r="F782" i="2"/>
  <c r="F746" i="2"/>
  <c r="F710" i="2"/>
  <c r="F674" i="2"/>
  <c r="F638" i="2"/>
  <c r="F602" i="2"/>
  <c r="F566" i="2"/>
  <c r="F530" i="2"/>
  <c r="F494" i="2"/>
  <c r="F458" i="2"/>
  <c r="F422" i="2"/>
  <c r="F386" i="2"/>
  <c r="F350" i="2"/>
  <c r="F314" i="2"/>
  <c r="F278" i="2"/>
  <c r="F243" i="2"/>
  <c r="F213" i="2"/>
  <c r="F180" i="2"/>
  <c r="F147" i="2"/>
  <c r="F117" i="2"/>
  <c r="F84" i="2"/>
  <c r="F51" i="2"/>
  <c r="F21" i="2"/>
  <c r="F973" i="2"/>
  <c r="F934" i="2"/>
  <c r="F894" i="2"/>
  <c r="F855" i="2"/>
  <c r="F817" i="2"/>
  <c r="F781" i="2"/>
  <c r="F745" i="2"/>
  <c r="F709" i="2"/>
  <c r="F673" i="2"/>
  <c r="F637" i="2"/>
  <c r="F601" i="2"/>
  <c r="F565" i="2"/>
  <c r="F529" i="2"/>
  <c r="F493" i="2"/>
  <c r="F457" i="2"/>
  <c r="F421" i="2"/>
  <c r="F385" i="2"/>
  <c r="F349" i="2"/>
  <c r="F313" i="2"/>
  <c r="F277" i="2"/>
  <c r="F242" i="2"/>
  <c r="F210" i="2"/>
  <c r="F179" i="2"/>
  <c r="F146" i="2"/>
  <c r="F114" i="2"/>
  <c r="F83" i="2"/>
  <c r="F50" i="2"/>
  <c r="F18" i="2"/>
  <c r="F972" i="2"/>
  <c r="F933" i="2"/>
  <c r="F893" i="2"/>
  <c r="F854" i="2"/>
  <c r="F816" i="2"/>
  <c r="F780" i="2"/>
  <c r="F744" i="2"/>
  <c r="F708" i="2"/>
  <c r="F672" i="2"/>
  <c r="F636" i="2"/>
  <c r="F600" i="2"/>
  <c r="F564" i="2"/>
  <c r="F528" i="2"/>
  <c r="F492" i="2"/>
  <c r="F456" i="2"/>
  <c r="F420" i="2"/>
  <c r="F384" i="2"/>
  <c r="F348" i="2"/>
  <c r="F312" i="2"/>
  <c r="F276" i="2"/>
  <c r="F241" i="2"/>
  <c r="F209" i="2"/>
  <c r="F178" i="2"/>
  <c r="F145" i="2"/>
  <c r="F113" i="2"/>
  <c r="F82" i="2"/>
  <c r="F49" i="2"/>
  <c r="F17" i="2"/>
  <c r="F997" i="2"/>
  <c r="F958" i="2"/>
  <c r="F918" i="2"/>
  <c r="F879" i="2"/>
  <c r="F840" i="2"/>
  <c r="F803" i="2"/>
  <c r="F767" i="2"/>
  <c r="F731" i="2"/>
  <c r="F695" i="2"/>
  <c r="F659" i="2"/>
  <c r="F623" i="2"/>
  <c r="F587" i="2"/>
  <c r="F551" i="2"/>
  <c r="F515" i="2"/>
  <c r="F479" i="2"/>
  <c r="F443" i="2"/>
  <c r="F407" i="2"/>
  <c r="F371" i="2"/>
  <c r="F335" i="2"/>
  <c r="F299" i="2"/>
  <c r="F263" i="2"/>
  <c r="F229" i="2"/>
  <c r="F197" i="2"/>
  <c r="F166" i="2"/>
  <c r="F133" i="2"/>
  <c r="F101" i="2"/>
  <c r="F70" i="2"/>
  <c r="F37" i="2"/>
  <c r="F5" i="2"/>
  <c r="F916" i="2"/>
  <c r="F815" i="2"/>
  <c r="F730" i="2"/>
  <c r="F651" i="2"/>
  <c r="F555" i="2"/>
  <c r="F477" i="2"/>
  <c r="F383" i="2"/>
  <c r="F298" i="2"/>
  <c r="F225" i="2"/>
  <c r="F138" i="2"/>
  <c r="F66" i="2"/>
  <c r="F996" i="2"/>
  <c r="F910" i="2"/>
  <c r="F807" i="2"/>
  <c r="F729" i="2"/>
  <c r="F635" i="2"/>
  <c r="F550" i="2"/>
  <c r="F471" i="2"/>
  <c r="F375" i="2"/>
  <c r="F297" i="2"/>
  <c r="F207" i="2"/>
  <c r="F132" i="2"/>
  <c r="F63" i="2"/>
  <c r="F419" i="2"/>
  <c r="F995" i="2"/>
  <c r="F892" i="2"/>
  <c r="F802" i="2"/>
  <c r="F723" i="2"/>
  <c r="F627" i="2"/>
  <c r="F549" i="2"/>
  <c r="F455" i="2"/>
  <c r="F370" i="2"/>
  <c r="F291" i="2"/>
  <c r="F203" i="2"/>
  <c r="F131" i="2"/>
  <c r="F48" i="2"/>
  <c r="F988" i="2"/>
  <c r="F883" i="2"/>
  <c r="F801" i="2"/>
  <c r="F707" i="2"/>
  <c r="F622" i="2"/>
  <c r="F543" i="2"/>
  <c r="F447" i="2"/>
  <c r="F369" i="2"/>
  <c r="F275" i="2"/>
  <c r="F195" i="2"/>
  <c r="F129" i="2"/>
  <c r="F42" i="2"/>
  <c r="F971" i="2"/>
  <c r="F878" i="2"/>
  <c r="F795" i="2"/>
  <c r="F699" i="2"/>
  <c r="F621" i="2"/>
  <c r="F527" i="2"/>
  <c r="F442" i="2"/>
  <c r="F363" i="2"/>
  <c r="F267" i="2"/>
  <c r="F194" i="2"/>
  <c r="F111" i="2"/>
  <c r="F36" i="2"/>
  <c r="F955" i="2"/>
  <c r="F766" i="2"/>
  <c r="F687" i="2"/>
  <c r="F591" i="2"/>
  <c r="F513" i="2"/>
  <c r="F255" i="2"/>
  <c r="F170" i="2"/>
  <c r="F98" i="2"/>
  <c r="F15" i="2"/>
  <c r="F962" i="2"/>
  <c r="F877" i="2"/>
  <c r="F779" i="2"/>
  <c r="F694" i="2"/>
  <c r="F615" i="2"/>
  <c r="F519" i="2"/>
  <c r="F441" i="2"/>
  <c r="F347" i="2"/>
  <c r="F262" i="2"/>
  <c r="F192" i="2"/>
  <c r="F107" i="2"/>
  <c r="F35" i="2"/>
  <c r="F853" i="2"/>
  <c r="F957" i="2"/>
  <c r="F870" i="2"/>
  <c r="F771" i="2"/>
  <c r="F693" i="2"/>
  <c r="F599" i="2"/>
  <c r="F514" i="2"/>
  <c r="F435" i="2"/>
  <c r="F339" i="2"/>
  <c r="F261" i="2"/>
  <c r="F177" i="2"/>
  <c r="F99" i="2"/>
  <c r="F33" i="2"/>
  <c r="F334" i="2"/>
  <c r="F931" i="2"/>
  <c r="F839" i="2"/>
  <c r="F759" i="2"/>
  <c r="F663" i="2"/>
  <c r="F585" i="2"/>
  <c r="F491" i="2"/>
  <c r="F406" i="2"/>
  <c r="F327" i="2"/>
  <c r="F234" i="2"/>
  <c r="F162" i="2"/>
  <c r="F81" i="2"/>
  <c r="F3" i="2"/>
  <c r="F917" i="2"/>
  <c r="F831" i="2"/>
  <c r="F735" i="2"/>
  <c r="F657" i="2"/>
  <c r="F563" i="2"/>
  <c r="F478" i="2"/>
  <c r="F399" i="2"/>
  <c r="F303" i="2"/>
  <c r="F227" i="2"/>
  <c r="F144" i="2"/>
  <c r="F69" i="2"/>
  <c r="F483" i="2"/>
  <c r="A896" i="2"/>
  <c r="A910" i="2"/>
  <c r="A924" i="2"/>
  <c r="A939" i="2"/>
  <c r="A953" i="2"/>
  <c r="A968" i="2"/>
  <c r="A982" i="2"/>
  <c r="A996" i="2"/>
  <c r="B11" i="2"/>
  <c r="B25" i="2"/>
  <c r="B40" i="2"/>
  <c r="B54" i="2"/>
  <c r="B68" i="2"/>
  <c r="B83" i="2"/>
  <c r="B97" i="2"/>
  <c r="B112" i="2"/>
  <c r="B126" i="2"/>
  <c r="B140" i="2"/>
  <c r="B155" i="2"/>
  <c r="B169" i="2"/>
  <c r="B184" i="2"/>
  <c r="B198" i="2"/>
  <c r="B212" i="2"/>
  <c r="B227" i="2"/>
  <c r="B241" i="2"/>
  <c r="B256" i="2"/>
  <c r="B270" i="2"/>
  <c r="B284" i="2"/>
  <c r="B299" i="2"/>
  <c r="B313" i="2"/>
  <c r="B328" i="2"/>
  <c r="B342" i="2"/>
  <c r="B356" i="2"/>
  <c r="B371" i="2"/>
  <c r="B385" i="2"/>
  <c r="B400" i="2"/>
  <c r="B414" i="2"/>
  <c r="B428" i="2"/>
  <c r="B443" i="2"/>
  <c r="B457" i="2"/>
  <c r="B472" i="2"/>
  <c r="B486" i="2"/>
  <c r="B500" i="2"/>
  <c r="B516" i="2"/>
  <c r="B532" i="2"/>
  <c r="B548" i="2"/>
  <c r="B564" i="2"/>
  <c r="B580" i="2"/>
  <c r="B596" i="2"/>
  <c r="B612" i="2"/>
  <c r="B628" i="2"/>
  <c r="B644" i="2"/>
  <c r="B660" i="2"/>
  <c r="B676" i="2"/>
  <c r="B692" i="2"/>
  <c r="B708" i="2"/>
  <c r="B724" i="2"/>
  <c r="B740" i="2"/>
  <c r="B756" i="2"/>
  <c r="B772" i="2"/>
  <c r="B788" i="2"/>
  <c r="B804" i="2"/>
  <c r="B820" i="2"/>
  <c r="B836" i="2"/>
  <c r="B852" i="2"/>
  <c r="B868" i="2"/>
  <c r="B884" i="2"/>
  <c r="B900" i="2"/>
  <c r="B916" i="2"/>
  <c r="B932" i="2"/>
  <c r="B948" i="2"/>
  <c r="B964" i="2"/>
  <c r="B980" i="2"/>
  <c r="B996" i="2"/>
  <c r="A11" i="2"/>
  <c r="A23" i="2"/>
  <c r="A35" i="2"/>
  <c r="A47" i="2"/>
  <c r="A59" i="2"/>
  <c r="A71" i="2"/>
  <c r="A83" i="2"/>
  <c r="A95" i="2"/>
  <c r="A107" i="2"/>
  <c r="A119" i="2"/>
  <c r="A131" i="2"/>
  <c r="A143" i="2"/>
  <c r="A155" i="2"/>
  <c r="A167" i="2"/>
  <c r="A179" i="2"/>
  <c r="A191" i="2"/>
  <c r="A203" i="2"/>
  <c r="A215" i="2"/>
  <c r="A227" i="2"/>
  <c r="A239" i="2"/>
  <c r="A251" i="2"/>
  <c r="A263" i="2"/>
  <c r="A275" i="2"/>
  <c r="A287" i="2"/>
  <c r="A299" i="2"/>
  <c r="A311" i="2"/>
  <c r="A323" i="2"/>
  <c r="A336" i="2"/>
  <c r="A351" i="2"/>
  <c r="A365" i="2"/>
  <c r="A380" i="2"/>
  <c r="A394" i="2"/>
  <c r="A408" i="2"/>
  <c r="A423" i="2"/>
  <c r="A437" i="2"/>
  <c r="A452" i="2"/>
  <c r="A466" i="2"/>
  <c r="A480" i="2"/>
  <c r="A495" i="2"/>
  <c r="A509" i="2"/>
  <c r="A524" i="2"/>
  <c r="A538" i="2"/>
  <c r="A552" i="2"/>
  <c r="A567" i="2"/>
  <c r="A581" i="2"/>
  <c r="A596" i="2"/>
  <c r="A610" i="2"/>
  <c r="A624" i="2"/>
  <c r="A639" i="2"/>
  <c r="A653" i="2"/>
  <c r="A668" i="2"/>
  <c r="A682" i="2"/>
  <c r="A696" i="2"/>
  <c r="A711" i="2"/>
  <c r="A725" i="2"/>
  <c r="A740" i="2"/>
  <c r="A754" i="2"/>
  <c r="A768" i="2"/>
  <c r="A783" i="2"/>
  <c r="A797" i="2"/>
  <c r="A812" i="2"/>
  <c r="A826" i="2"/>
  <c r="A840" i="2"/>
  <c r="A855" i="2"/>
  <c r="A869" i="2"/>
  <c r="A884" i="2"/>
  <c r="A898" i="2"/>
  <c r="A912" i="2"/>
  <c r="A927" i="2"/>
  <c r="A941" i="2"/>
  <c r="A956" i="2"/>
  <c r="A970" i="2"/>
  <c r="A984" i="2"/>
  <c r="A999" i="2"/>
  <c r="B13" i="2"/>
  <c r="B28" i="2"/>
  <c r="B42" i="2"/>
  <c r="B56" i="2"/>
  <c r="B71" i="2"/>
  <c r="B85" i="2"/>
  <c r="B100" i="2"/>
  <c r="B114" i="2"/>
  <c r="B128" i="2"/>
  <c r="B143" i="2"/>
  <c r="B157" i="2"/>
  <c r="B172" i="2"/>
  <c r="B186" i="2"/>
  <c r="B200" i="2"/>
  <c r="B215" i="2"/>
  <c r="B229" i="2"/>
  <c r="B244" i="2"/>
  <c r="B258" i="2"/>
  <c r="B272" i="2"/>
  <c r="B287" i="2"/>
  <c r="B301" i="2"/>
  <c r="B316" i="2"/>
  <c r="B330" i="2"/>
  <c r="B344" i="2"/>
  <c r="B359" i="2"/>
  <c r="B373" i="2"/>
  <c r="B388" i="2"/>
  <c r="B402" i="2"/>
  <c r="B416" i="2"/>
  <c r="B431" i="2"/>
  <c r="B445" i="2"/>
  <c r="B460" i="2"/>
  <c r="B474" i="2"/>
  <c r="B488" i="2"/>
  <c r="B503" i="2"/>
  <c r="B518" i="2"/>
  <c r="B535" i="2"/>
  <c r="B551" i="2"/>
  <c r="B566" i="2"/>
  <c r="B583" i="2"/>
  <c r="B599" i="2"/>
  <c r="B614" i="2"/>
  <c r="B631" i="2"/>
  <c r="B647" i="2"/>
  <c r="B662" i="2"/>
  <c r="B679" i="2"/>
  <c r="B695" i="2"/>
  <c r="B710" i="2"/>
  <c r="B727" i="2"/>
  <c r="B743" i="2"/>
  <c r="B758" i="2"/>
  <c r="B775" i="2"/>
  <c r="B791" i="2"/>
  <c r="B806" i="2"/>
  <c r="B823" i="2"/>
  <c r="B839" i="2"/>
  <c r="B854" i="2"/>
  <c r="B871" i="2"/>
  <c r="B887" i="2"/>
  <c r="B902" i="2"/>
  <c r="B919" i="2"/>
  <c r="B935" i="2"/>
  <c r="B950" i="2"/>
  <c r="B967" i="2"/>
  <c r="B983" i="2"/>
  <c r="B998" i="2"/>
  <c r="A2" i="2"/>
  <c r="A181" i="2"/>
  <c r="A411" i="2"/>
  <c r="A958" i="2"/>
  <c r="B993" i="2"/>
  <c r="B981" i="2"/>
  <c r="B969" i="2"/>
  <c r="B957" i="2"/>
  <c r="B945" i="2"/>
  <c r="B933" i="2"/>
  <c r="B921" i="2"/>
  <c r="B909" i="2"/>
  <c r="B897" i="2"/>
  <c r="B885" i="2"/>
  <c r="B873" i="2"/>
  <c r="B861" i="2"/>
  <c r="B849" i="2"/>
  <c r="B837" i="2"/>
  <c r="B825" i="2"/>
  <c r="B813" i="2"/>
  <c r="B801" i="2"/>
  <c r="B789" i="2"/>
  <c r="B777" i="2"/>
  <c r="B765" i="2"/>
  <c r="B753" i="2"/>
  <c r="B741" i="2"/>
  <c r="B729" i="2"/>
  <c r="B717" i="2"/>
  <c r="B705" i="2"/>
  <c r="B693" i="2"/>
  <c r="B681" i="2"/>
  <c r="B669" i="2"/>
  <c r="B657" i="2"/>
  <c r="B645" i="2"/>
  <c r="B633" i="2"/>
  <c r="B621" i="2"/>
  <c r="B609" i="2"/>
  <c r="B597" i="2"/>
  <c r="B585" i="2"/>
  <c r="B573" i="2"/>
  <c r="B561" i="2"/>
  <c r="B549" i="2"/>
  <c r="B537" i="2"/>
  <c r="B525" i="2"/>
  <c r="B513" i="2"/>
  <c r="B501" i="2"/>
  <c r="B489" i="2"/>
  <c r="B477" i="2"/>
  <c r="B465" i="2"/>
  <c r="B453" i="2"/>
  <c r="B441" i="2"/>
  <c r="B429" i="2"/>
  <c r="B417" i="2"/>
  <c r="B405" i="2"/>
  <c r="B393" i="2"/>
  <c r="B381" i="2"/>
  <c r="B369" i="2"/>
  <c r="B357" i="2"/>
  <c r="B345" i="2"/>
  <c r="B333" i="2"/>
  <c r="B321" i="2"/>
  <c r="B309" i="2"/>
  <c r="B297" i="2"/>
  <c r="B285" i="2"/>
  <c r="B273" i="2"/>
  <c r="B261" i="2"/>
  <c r="B249" i="2"/>
  <c r="B237" i="2"/>
  <c r="B225" i="2"/>
  <c r="B213" i="2"/>
  <c r="B201" i="2"/>
  <c r="B189" i="2"/>
  <c r="B177" i="2"/>
  <c r="B165" i="2"/>
  <c r="B153" i="2"/>
  <c r="B141" i="2"/>
  <c r="B129" i="2"/>
  <c r="B117" i="2"/>
  <c r="B105" i="2"/>
  <c r="B93" i="2"/>
  <c r="B81" i="2"/>
  <c r="B69" i="2"/>
  <c r="B57" i="2"/>
  <c r="B45" i="2"/>
  <c r="B33" i="2"/>
  <c r="B21" i="2"/>
  <c r="B9" i="2"/>
  <c r="B990" i="2"/>
  <c r="B978" i="2"/>
  <c r="B966" i="2"/>
  <c r="B954" i="2"/>
  <c r="B942" i="2"/>
  <c r="B930" i="2"/>
  <c r="B918" i="2"/>
  <c r="B906" i="2"/>
  <c r="B894" i="2"/>
  <c r="B882" i="2"/>
  <c r="B870" i="2"/>
  <c r="B858" i="2"/>
  <c r="B846" i="2"/>
  <c r="B834" i="2"/>
  <c r="B822" i="2"/>
  <c r="B810" i="2"/>
  <c r="B798" i="2"/>
  <c r="B786" i="2"/>
  <c r="B774" i="2"/>
  <c r="B762" i="2"/>
  <c r="B750" i="2"/>
  <c r="B738" i="2"/>
  <c r="B726" i="2"/>
  <c r="B714" i="2"/>
  <c r="B702" i="2"/>
  <c r="B690" i="2"/>
  <c r="B678" i="2"/>
  <c r="B666" i="2"/>
  <c r="B654" i="2"/>
  <c r="B642" i="2"/>
  <c r="B630" i="2"/>
  <c r="B618" i="2"/>
  <c r="B606" i="2"/>
  <c r="B594" i="2"/>
  <c r="B582" i="2"/>
  <c r="B570" i="2"/>
  <c r="B558" i="2"/>
  <c r="B546" i="2"/>
  <c r="B534" i="2"/>
  <c r="B522" i="2"/>
  <c r="B510" i="2"/>
  <c r="B999" i="2"/>
  <c r="B987" i="2"/>
  <c r="B975" i="2"/>
  <c r="B963" i="2"/>
  <c r="B951" i="2"/>
  <c r="B939" i="2"/>
  <c r="B927" i="2"/>
  <c r="B915" i="2"/>
  <c r="B903" i="2"/>
  <c r="B891" i="2"/>
  <c r="B879" i="2"/>
  <c r="B867" i="2"/>
  <c r="B855" i="2"/>
  <c r="B843" i="2"/>
  <c r="B831" i="2"/>
  <c r="B819" i="2"/>
  <c r="B807" i="2"/>
  <c r="B795" i="2"/>
  <c r="B783" i="2"/>
  <c r="B771" i="2"/>
  <c r="B759" i="2"/>
  <c r="B747" i="2"/>
  <c r="B735" i="2"/>
  <c r="B723" i="2"/>
  <c r="B711" i="2"/>
  <c r="B699" i="2"/>
  <c r="B687" i="2"/>
  <c r="B675" i="2"/>
  <c r="B663" i="2"/>
  <c r="B651" i="2"/>
  <c r="B639" i="2"/>
  <c r="B627" i="2"/>
  <c r="B615" i="2"/>
  <c r="B603" i="2"/>
  <c r="B591" i="2"/>
  <c r="B579" i="2"/>
  <c r="B567" i="2"/>
  <c r="B555" i="2"/>
  <c r="B543" i="2"/>
  <c r="B531" i="2"/>
  <c r="B519" i="2"/>
  <c r="B507" i="2"/>
  <c r="B495" i="2"/>
  <c r="B483" i="2"/>
  <c r="B471" i="2"/>
  <c r="B459" i="2"/>
  <c r="B447" i="2"/>
  <c r="B435" i="2"/>
  <c r="B423" i="2"/>
  <c r="B411" i="2"/>
  <c r="B399" i="2"/>
  <c r="B387" i="2"/>
  <c r="B375" i="2"/>
  <c r="B363" i="2"/>
  <c r="B351" i="2"/>
  <c r="B339" i="2"/>
  <c r="B327" i="2"/>
  <c r="B315" i="2"/>
  <c r="B303" i="2"/>
  <c r="B291" i="2"/>
  <c r="B279" i="2"/>
  <c r="B267" i="2"/>
  <c r="B255" i="2"/>
  <c r="B243" i="2"/>
  <c r="B231" i="2"/>
  <c r="B219" i="2"/>
  <c r="B207" i="2"/>
  <c r="B195" i="2"/>
  <c r="B183" i="2"/>
  <c r="B171" i="2"/>
  <c r="B159" i="2"/>
  <c r="B147" i="2"/>
  <c r="B135" i="2"/>
  <c r="B123" i="2"/>
  <c r="B111" i="2"/>
  <c r="B99" i="2"/>
  <c r="B87" i="2"/>
  <c r="B75" i="2"/>
  <c r="B63" i="2"/>
  <c r="B51" i="2"/>
  <c r="B39" i="2"/>
  <c r="B27" i="2"/>
  <c r="B15" i="2"/>
  <c r="B3" i="2"/>
  <c r="B17" i="2"/>
  <c r="B31" i="2"/>
  <c r="B46" i="2"/>
  <c r="B60" i="2"/>
  <c r="B74" i="2"/>
  <c r="B89" i="2"/>
  <c r="B103" i="2"/>
  <c r="B118" i="2"/>
  <c r="B132" i="2"/>
  <c r="B146" i="2"/>
  <c r="B161" i="2"/>
  <c r="B175" i="2"/>
  <c r="B190" i="2"/>
  <c r="B204" i="2"/>
  <c r="B218" i="2"/>
  <c r="B233" i="2"/>
  <c r="B247" i="2"/>
  <c r="B262" i="2"/>
  <c r="B276" i="2"/>
  <c r="B290" i="2"/>
  <c r="B305" i="2"/>
  <c r="B319" i="2"/>
  <c r="B334" i="2"/>
  <c r="B348" i="2"/>
  <c r="B362" i="2"/>
  <c r="B377" i="2"/>
  <c r="B391" i="2"/>
  <c r="B406" i="2"/>
  <c r="B420" i="2"/>
  <c r="B434" i="2"/>
  <c r="B449" i="2"/>
  <c r="B463" i="2"/>
  <c r="B478" i="2"/>
  <c r="B492" i="2"/>
  <c r="B506" i="2"/>
  <c r="B523" i="2"/>
  <c r="B539" i="2"/>
  <c r="B554" i="2"/>
  <c r="B571" i="2"/>
  <c r="B587" i="2"/>
  <c r="B602" i="2"/>
  <c r="B619" i="2"/>
  <c r="B635" i="2"/>
  <c r="B650" i="2"/>
  <c r="B667" i="2"/>
  <c r="B683" i="2"/>
  <c r="B698" i="2"/>
  <c r="B715" i="2"/>
  <c r="B731" i="2"/>
  <c r="B746" i="2"/>
  <c r="B763" i="2"/>
  <c r="B779" i="2"/>
  <c r="B794" i="2"/>
  <c r="B811" i="2"/>
  <c r="B827" i="2"/>
  <c r="B842" i="2"/>
  <c r="B859" i="2"/>
  <c r="B875" i="2"/>
  <c r="B890" i="2"/>
  <c r="B907" i="2"/>
  <c r="B923" i="2"/>
  <c r="B938" i="2"/>
  <c r="B955" i="2"/>
  <c r="B971" i="2"/>
  <c r="B986" i="2"/>
  <c r="A13" i="2"/>
  <c r="A109" i="2"/>
  <c r="A277" i="2"/>
  <c r="A771" i="2"/>
  <c r="B569" i="2"/>
  <c r="A254" i="2"/>
  <c r="A945" i="2"/>
  <c r="A63" i="2"/>
  <c r="A279" i="2"/>
  <c r="A615" i="2"/>
  <c r="B104" i="2"/>
  <c r="B700" i="2"/>
  <c r="A25" i="2"/>
  <c r="A49" i="2"/>
  <c r="A61" i="2"/>
  <c r="A73" i="2"/>
  <c r="A85" i="2"/>
  <c r="A97" i="2"/>
  <c r="A121" i="2"/>
  <c r="A145" i="2"/>
  <c r="A157" i="2"/>
  <c r="A169" i="2"/>
  <c r="A193" i="2"/>
  <c r="A205" i="2"/>
  <c r="A217" i="2"/>
  <c r="A229" i="2"/>
  <c r="A241" i="2"/>
  <c r="A253" i="2"/>
  <c r="A265" i="2"/>
  <c r="A289" i="2"/>
  <c r="A301" i="2"/>
  <c r="A313" i="2"/>
  <c r="A326" i="2"/>
  <c r="A339" i="2"/>
  <c r="A353" i="2"/>
  <c r="A368" i="2"/>
  <c r="A382" i="2"/>
  <c r="A396" i="2"/>
  <c r="A425" i="2"/>
  <c r="A440" i="2"/>
  <c r="A454" i="2"/>
  <c r="A483" i="2"/>
  <c r="A512" i="2"/>
  <c r="A526" i="2"/>
  <c r="A540" i="2"/>
  <c r="A569" i="2"/>
  <c r="A584" i="2"/>
  <c r="A612" i="2"/>
  <c r="A627" i="2"/>
  <c r="A656" i="2"/>
  <c r="A699" i="2"/>
  <c r="A742" i="2"/>
  <c r="A800" i="2"/>
  <c r="A843" i="2"/>
  <c r="A886" i="2"/>
  <c r="A929" i="2"/>
  <c r="A987" i="2"/>
  <c r="B30" i="2"/>
  <c r="B73" i="2"/>
  <c r="B116" i="2"/>
  <c r="B174" i="2"/>
  <c r="B232" i="2"/>
  <c r="B289" i="2"/>
  <c r="B347" i="2"/>
  <c r="B404" i="2"/>
  <c r="B462" i="2"/>
  <c r="B505" i="2"/>
  <c r="B553" i="2"/>
  <c r="B617" i="2"/>
  <c r="B665" i="2"/>
  <c r="B713" i="2"/>
  <c r="B761" i="2"/>
  <c r="B826" i="2"/>
  <c r="B874" i="2"/>
  <c r="B922" i="2"/>
  <c r="B970" i="2"/>
  <c r="A26" i="2"/>
  <c r="A50" i="2"/>
  <c r="A74" i="2"/>
  <c r="A122" i="2"/>
  <c r="A146" i="2"/>
  <c r="A182" i="2"/>
  <c r="A230" i="2"/>
  <c r="A278" i="2"/>
  <c r="A302" i="2"/>
  <c r="A340" i="2"/>
  <c r="A369" i="2"/>
  <c r="A412" i="2"/>
  <c r="A441" i="2"/>
  <c r="A470" i="2"/>
  <c r="A513" i="2"/>
  <c r="A542" i="2"/>
  <c r="A585" i="2"/>
  <c r="A628" i="2"/>
  <c r="A657" i="2"/>
  <c r="A700" i="2"/>
  <c r="A758" i="2"/>
  <c r="A786" i="2"/>
  <c r="A844" i="2"/>
  <c r="A873" i="2"/>
  <c r="A916" i="2"/>
  <c r="A959" i="2"/>
  <c r="A51" i="2"/>
  <c r="A123" i="2"/>
  <c r="A195" i="2"/>
  <c r="A243" i="2"/>
  <c r="A303" i="2"/>
  <c r="A370" i="2"/>
  <c r="A442" i="2"/>
  <c r="A514" i="2"/>
  <c r="A572" i="2"/>
  <c r="A672" i="2"/>
  <c r="A744" i="2"/>
  <c r="A816" i="2"/>
  <c r="A888" i="2"/>
  <c r="A946" i="2"/>
  <c r="A989" i="2"/>
  <c r="B61" i="2"/>
  <c r="B148" i="2"/>
  <c r="B234" i="2"/>
  <c r="B306" i="2"/>
  <c r="B364" i="2"/>
  <c r="B450" i="2"/>
  <c r="B508" i="2"/>
  <c r="B572" i="2"/>
  <c r="B636" i="2"/>
  <c r="B716" i="2"/>
  <c r="B780" i="2"/>
  <c r="B844" i="2"/>
  <c r="B892" i="2"/>
  <c r="A4" i="2"/>
  <c r="A40" i="2"/>
  <c r="A52" i="2"/>
  <c r="A88" i="2"/>
  <c r="A100" i="2"/>
  <c r="A112" i="2"/>
  <c r="A124" i="2"/>
  <c r="A136" i="2"/>
  <c r="A148" i="2"/>
  <c r="A160" i="2"/>
  <c r="A172" i="2"/>
  <c r="A184" i="2"/>
  <c r="A196" i="2"/>
  <c r="A208" i="2"/>
  <c r="A220" i="2"/>
  <c r="A232" i="2"/>
  <c r="A244" i="2"/>
  <c r="A256" i="2"/>
  <c r="A268" i="2"/>
  <c r="A280" i="2"/>
  <c r="A292" i="2"/>
  <c r="A304" i="2"/>
  <c r="A316" i="2"/>
  <c r="A329" i="2"/>
  <c r="A342" i="2"/>
  <c r="A357" i="2"/>
  <c r="A371" i="2"/>
  <c r="A386" i="2"/>
  <c r="A400" i="2"/>
  <c r="A414" i="2"/>
  <c r="A429" i="2"/>
  <c r="A443" i="2"/>
  <c r="A458" i="2"/>
  <c r="A472" i="2"/>
  <c r="A486" i="2"/>
  <c r="A501" i="2"/>
  <c r="A515" i="2"/>
  <c r="A530" i="2"/>
  <c r="A544" i="2"/>
  <c r="A558" i="2"/>
  <c r="A573" i="2"/>
  <c r="A587" i="2"/>
  <c r="A602" i="2"/>
  <c r="A616" i="2"/>
  <c r="A630" i="2"/>
  <c r="A645" i="2"/>
  <c r="A659" i="2"/>
  <c r="A674" i="2"/>
  <c r="A688" i="2"/>
  <c r="A702" i="2"/>
  <c r="A717" i="2"/>
  <c r="A731" i="2"/>
  <c r="A746" i="2"/>
  <c r="A760" i="2"/>
  <c r="A774" i="2"/>
  <c r="A789" i="2"/>
  <c r="A803" i="2"/>
  <c r="A818" i="2"/>
  <c r="A832" i="2"/>
  <c r="A846" i="2"/>
  <c r="A861" i="2"/>
  <c r="A875" i="2"/>
  <c r="A890" i="2"/>
  <c r="A904" i="2"/>
  <c r="A918" i="2"/>
  <c r="A933" i="2"/>
  <c r="A947" i="2"/>
  <c r="A962" i="2"/>
  <c r="A976" i="2"/>
  <c r="A990" i="2"/>
  <c r="B5" i="2"/>
  <c r="B19" i="2"/>
  <c r="B34" i="2"/>
  <c r="B48" i="2"/>
  <c r="B62" i="2"/>
  <c r="B77" i="2"/>
  <c r="B91" i="2"/>
  <c r="B106" i="2"/>
  <c r="B120" i="2"/>
  <c r="B134" i="2"/>
  <c r="B149" i="2"/>
  <c r="B163" i="2"/>
  <c r="B178" i="2"/>
  <c r="B192" i="2"/>
  <c r="B206" i="2"/>
  <c r="B221" i="2"/>
  <c r="B235" i="2"/>
  <c r="B250" i="2"/>
  <c r="B264" i="2"/>
  <c r="B278" i="2"/>
  <c r="B293" i="2"/>
  <c r="B307" i="2"/>
  <c r="B322" i="2"/>
  <c r="B336" i="2"/>
  <c r="B350" i="2"/>
  <c r="B365" i="2"/>
  <c r="B379" i="2"/>
  <c r="B394" i="2"/>
  <c r="B408" i="2"/>
  <c r="B422" i="2"/>
  <c r="B437" i="2"/>
  <c r="B451" i="2"/>
  <c r="B466" i="2"/>
  <c r="B480" i="2"/>
  <c r="B494" i="2"/>
  <c r="B509" i="2"/>
  <c r="B526" i="2"/>
  <c r="B541" i="2"/>
  <c r="B557" i="2"/>
  <c r="B574" i="2"/>
  <c r="B589" i="2"/>
  <c r="B605" i="2"/>
  <c r="B622" i="2"/>
  <c r="B637" i="2"/>
  <c r="B653" i="2"/>
  <c r="B670" i="2"/>
  <c r="B685" i="2"/>
  <c r="B701" i="2"/>
  <c r="B718" i="2"/>
  <c r="B733" i="2"/>
  <c r="B749" i="2"/>
  <c r="B766" i="2"/>
  <c r="B781" i="2"/>
  <c r="B797" i="2"/>
  <c r="B814" i="2"/>
  <c r="B829" i="2"/>
  <c r="B845" i="2"/>
  <c r="B862" i="2"/>
  <c r="B877" i="2"/>
  <c r="B893" i="2"/>
  <c r="B910" i="2"/>
  <c r="B925" i="2"/>
  <c r="B941" i="2"/>
  <c r="B958" i="2"/>
  <c r="B973" i="2"/>
  <c r="B989" i="2"/>
  <c r="A133" i="2"/>
  <c r="A468" i="2"/>
  <c r="B275" i="2"/>
  <c r="A206" i="2"/>
  <c r="A714" i="2"/>
  <c r="A485" i="2"/>
  <c r="B796" i="2"/>
  <c r="A16" i="2"/>
  <c r="A64" i="2"/>
  <c r="A5" i="2"/>
  <c r="A17" i="2"/>
  <c r="A29" i="2"/>
  <c r="A41" i="2"/>
  <c r="A53" i="2"/>
  <c r="A65" i="2"/>
  <c r="A77" i="2"/>
  <c r="A89" i="2"/>
  <c r="A101" i="2"/>
  <c r="A113" i="2"/>
  <c r="A125" i="2"/>
  <c r="A137" i="2"/>
  <c r="A149" i="2"/>
  <c r="A161" i="2"/>
  <c r="A173" i="2"/>
  <c r="A185" i="2"/>
  <c r="A197" i="2"/>
  <c r="A209" i="2"/>
  <c r="A221" i="2"/>
  <c r="A233" i="2"/>
  <c r="A245" i="2"/>
  <c r="A257" i="2"/>
  <c r="A269" i="2"/>
  <c r="A281" i="2"/>
  <c r="A293" i="2"/>
  <c r="A305" i="2"/>
  <c r="A317" i="2"/>
  <c r="A330" i="2"/>
  <c r="A344" i="2"/>
  <c r="A358" i="2"/>
  <c r="A372" i="2"/>
  <c r="A387" i="2"/>
  <c r="A401" i="2"/>
  <c r="A416" i="2"/>
  <c r="A430" i="2"/>
  <c r="A444" i="2"/>
  <c r="A459" i="2"/>
  <c r="A473" i="2"/>
  <c r="A488" i="2"/>
  <c r="A502" i="2"/>
  <c r="A516" i="2"/>
  <c r="A531" i="2"/>
  <c r="A545" i="2"/>
  <c r="A560" i="2"/>
  <c r="A574" i="2"/>
  <c r="A588" i="2"/>
  <c r="A603" i="2"/>
  <c r="A617" i="2"/>
  <c r="A632" i="2"/>
  <c r="A646" i="2"/>
  <c r="A660" i="2"/>
  <c r="A675" i="2"/>
  <c r="A689" i="2"/>
  <c r="A704" i="2"/>
  <c r="A718" i="2"/>
  <c r="A732" i="2"/>
  <c r="A747" i="2"/>
  <c r="A761" i="2"/>
  <c r="A776" i="2"/>
  <c r="A790" i="2"/>
  <c r="A804" i="2"/>
  <c r="A819" i="2"/>
  <c r="A833" i="2"/>
  <c r="A848" i="2"/>
  <c r="A862" i="2"/>
  <c r="A876" i="2"/>
  <c r="A891" i="2"/>
  <c r="A905" i="2"/>
  <c r="A920" i="2"/>
  <c r="A934" i="2"/>
  <c r="A948" i="2"/>
  <c r="A963" i="2"/>
  <c r="A977" i="2"/>
  <c r="B6" i="2"/>
  <c r="B20" i="2"/>
  <c r="B35" i="2"/>
  <c r="B49" i="2"/>
  <c r="B64" i="2"/>
  <c r="B78" i="2"/>
  <c r="B92" i="2"/>
  <c r="B107" i="2"/>
  <c r="B121" i="2"/>
  <c r="B136" i="2"/>
  <c r="B150" i="2"/>
  <c r="B164" i="2"/>
  <c r="B179" i="2"/>
  <c r="B193" i="2"/>
  <c r="B208" i="2"/>
  <c r="B222" i="2"/>
  <c r="B236" i="2"/>
  <c r="B251" i="2"/>
  <c r="B265" i="2"/>
  <c r="B280" i="2"/>
  <c r="B294" i="2"/>
  <c r="B308" i="2"/>
  <c r="B323" i="2"/>
  <c r="B337" i="2"/>
  <c r="B352" i="2"/>
  <c r="B366" i="2"/>
  <c r="B380" i="2"/>
  <c r="B395" i="2"/>
  <c r="B409" i="2"/>
  <c r="B424" i="2"/>
  <c r="B438" i="2"/>
  <c r="B452" i="2"/>
  <c r="B467" i="2"/>
  <c r="B481" i="2"/>
  <c r="B496" i="2"/>
  <c r="B511" i="2"/>
  <c r="B527" i="2"/>
  <c r="B542" i="2"/>
  <c r="B559" i="2"/>
  <c r="B575" i="2"/>
  <c r="B590" i="2"/>
  <c r="B607" i="2"/>
  <c r="B623" i="2"/>
  <c r="B638" i="2"/>
  <c r="B655" i="2"/>
  <c r="B671" i="2"/>
  <c r="B686" i="2"/>
  <c r="B703" i="2"/>
  <c r="B719" i="2"/>
  <c r="B734" i="2"/>
  <c r="B751" i="2"/>
  <c r="B767" i="2"/>
  <c r="B782" i="2"/>
  <c r="B799" i="2"/>
  <c r="B815" i="2"/>
  <c r="B830" i="2"/>
  <c r="B847" i="2"/>
  <c r="B863" i="2"/>
  <c r="B878" i="2"/>
  <c r="B895" i="2"/>
  <c r="B911" i="2"/>
  <c r="B926" i="2"/>
  <c r="B943" i="2"/>
  <c r="B959" i="2"/>
  <c r="B974" i="2"/>
  <c r="B991" i="2"/>
  <c r="A997" i="2"/>
  <c r="A985" i="2"/>
  <c r="A973" i="2"/>
  <c r="A961" i="2"/>
  <c r="A949" i="2"/>
  <c r="A937" i="2"/>
  <c r="A925" i="2"/>
  <c r="A913" i="2"/>
  <c r="A901" i="2"/>
  <c r="A889" i="2"/>
  <c r="A877" i="2"/>
  <c r="A865" i="2"/>
  <c r="A853" i="2"/>
  <c r="A841" i="2"/>
  <c r="A829" i="2"/>
  <c r="A817" i="2"/>
  <c r="A805" i="2"/>
  <c r="A793" i="2"/>
  <c r="A781" i="2"/>
  <c r="A769" i="2"/>
  <c r="A757" i="2"/>
  <c r="A745" i="2"/>
  <c r="A733" i="2"/>
  <c r="A721" i="2"/>
  <c r="A709" i="2"/>
  <c r="A697" i="2"/>
  <c r="A685" i="2"/>
  <c r="A673" i="2"/>
  <c r="A661" i="2"/>
  <c r="A649" i="2"/>
  <c r="A637" i="2"/>
  <c r="A625" i="2"/>
  <c r="A613" i="2"/>
  <c r="A601" i="2"/>
  <c r="A589" i="2"/>
  <c r="A577" i="2"/>
  <c r="A565" i="2"/>
  <c r="A553" i="2"/>
  <c r="A541" i="2"/>
  <c r="A529" i="2"/>
  <c r="A517" i="2"/>
  <c r="A505" i="2"/>
  <c r="A493" i="2"/>
  <c r="A481" i="2"/>
  <c r="A469" i="2"/>
  <c r="A457" i="2"/>
  <c r="A445" i="2"/>
  <c r="A433" i="2"/>
  <c r="A421" i="2"/>
  <c r="A409" i="2"/>
  <c r="A397" i="2"/>
  <c r="A385" i="2"/>
  <c r="A373" i="2"/>
  <c r="A361" i="2"/>
  <c r="A349" i="2"/>
  <c r="A337" i="2"/>
  <c r="A325" i="2"/>
  <c r="A991" i="2"/>
  <c r="A979" i="2"/>
  <c r="A967" i="2"/>
  <c r="A955" i="2"/>
  <c r="A943" i="2"/>
  <c r="A931" i="2"/>
  <c r="A919" i="2"/>
  <c r="A907" i="2"/>
  <c r="A895" i="2"/>
  <c r="A883" i="2"/>
  <c r="A871" i="2"/>
  <c r="A859" i="2"/>
  <c r="A847" i="2"/>
  <c r="A835" i="2"/>
  <c r="A823" i="2"/>
  <c r="A811" i="2"/>
  <c r="A799" i="2"/>
  <c r="A787" i="2"/>
  <c r="A775" i="2"/>
  <c r="A763" i="2"/>
  <c r="A751" i="2"/>
  <c r="A739" i="2"/>
  <c r="A727" i="2"/>
  <c r="A715" i="2"/>
  <c r="A703" i="2"/>
  <c r="A691" i="2"/>
  <c r="A679" i="2"/>
  <c r="A667" i="2"/>
  <c r="A655" i="2"/>
  <c r="A643" i="2"/>
  <c r="A631" i="2"/>
  <c r="A619" i="2"/>
  <c r="A607" i="2"/>
  <c r="A595" i="2"/>
  <c r="A583" i="2"/>
  <c r="A571" i="2"/>
  <c r="A559" i="2"/>
  <c r="A547" i="2"/>
  <c r="A535" i="2"/>
  <c r="A523" i="2"/>
  <c r="A511" i="2"/>
  <c r="A499" i="2"/>
  <c r="A487" i="2"/>
  <c r="A475" i="2"/>
  <c r="A463" i="2"/>
  <c r="A451" i="2"/>
  <c r="A439" i="2"/>
  <c r="A427" i="2"/>
  <c r="A415" i="2"/>
  <c r="A403" i="2"/>
  <c r="A391" i="2"/>
  <c r="A379" i="2"/>
  <c r="A367" i="2"/>
  <c r="A355" i="2"/>
  <c r="A343" i="2"/>
  <c r="A38" i="2"/>
  <c r="A62" i="2"/>
  <c r="A98" i="2"/>
  <c r="A110" i="2"/>
  <c r="A134" i="2"/>
  <c r="A170" i="2"/>
  <c r="A218" i="2"/>
  <c r="A266" i="2"/>
  <c r="A290" i="2"/>
  <c r="A314" i="2"/>
  <c r="A354" i="2"/>
  <c r="A383" i="2"/>
  <c r="A426" i="2"/>
  <c r="A455" i="2"/>
  <c r="A498" i="2"/>
  <c r="A527" i="2"/>
  <c r="A570" i="2"/>
  <c r="A599" i="2"/>
  <c r="A642" i="2"/>
  <c r="A686" i="2"/>
  <c r="A729" i="2"/>
  <c r="A772" i="2"/>
  <c r="A830" i="2"/>
  <c r="A858" i="2"/>
  <c r="A902" i="2"/>
  <c r="A930" i="2"/>
  <c r="A974" i="2"/>
  <c r="A3" i="2"/>
  <c r="A27" i="2"/>
  <c r="A87" i="2"/>
  <c r="A111" i="2"/>
  <c r="A147" i="2"/>
  <c r="A171" i="2"/>
  <c r="A219" i="2"/>
  <c r="A255" i="2"/>
  <c r="A291" i="2"/>
  <c r="A328" i="2"/>
  <c r="A356" i="2"/>
  <c r="A399" i="2"/>
  <c r="A428" i="2"/>
  <c r="A471" i="2"/>
  <c r="A528" i="2"/>
  <c r="A557" i="2"/>
  <c r="A600" i="2"/>
  <c r="A658" i="2"/>
  <c r="A701" i="2"/>
  <c r="A730" i="2"/>
  <c r="A773" i="2"/>
  <c r="A802" i="2"/>
  <c r="A845" i="2"/>
  <c r="A874" i="2"/>
  <c r="A917" i="2"/>
  <c r="A975" i="2"/>
  <c r="B18" i="2"/>
  <c r="B47" i="2"/>
  <c r="B90" i="2"/>
  <c r="B133" i="2"/>
  <c r="B176" i="2"/>
  <c r="B205" i="2"/>
  <c r="B248" i="2"/>
  <c r="B277" i="2"/>
  <c r="B320" i="2"/>
  <c r="B349" i="2"/>
  <c r="B392" i="2"/>
  <c r="B421" i="2"/>
  <c r="B464" i="2"/>
  <c r="B493" i="2"/>
  <c r="B540" i="2"/>
  <c r="B604" i="2"/>
  <c r="B652" i="2"/>
  <c r="B684" i="2"/>
  <c r="B748" i="2"/>
  <c r="B828" i="2"/>
  <c r="B924" i="2"/>
  <c r="B956" i="2"/>
  <c r="B972" i="2"/>
  <c r="B988" i="2"/>
  <c r="A28" i="2"/>
  <c r="A76" i="2"/>
  <c r="A6" i="2"/>
  <c r="A18" i="2"/>
  <c r="A30" i="2"/>
  <c r="A42" i="2"/>
  <c r="A54" i="2"/>
  <c r="A66" i="2"/>
  <c r="A78" i="2"/>
  <c r="A90" i="2"/>
  <c r="A102" i="2"/>
  <c r="A114" i="2"/>
  <c r="A126" i="2"/>
  <c r="A138" i="2"/>
  <c r="A150" i="2"/>
  <c r="A162" i="2"/>
  <c r="A174" i="2"/>
  <c r="A186" i="2"/>
  <c r="A198" i="2"/>
  <c r="A210" i="2"/>
  <c r="A222" i="2"/>
  <c r="A234" i="2"/>
  <c r="A246" i="2"/>
  <c r="A258" i="2"/>
  <c r="A270" i="2"/>
  <c r="A282" i="2"/>
  <c r="A294" i="2"/>
  <c r="A306" i="2"/>
  <c r="A318" i="2"/>
  <c r="A331" i="2"/>
  <c r="A345" i="2"/>
  <c r="A359" i="2"/>
  <c r="A374" i="2"/>
  <c r="A388" i="2"/>
  <c r="A402" i="2"/>
  <c r="A417" i="2"/>
  <c r="A431" i="2"/>
  <c r="A446" i="2"/>
  <c r="A460" i="2"/>
  <c r="A474" i="2"/>
  <c r="A489" i="2"/>
  <c r="A503" i="2"/>
  <c r="A518" i="2"/>
  <c r="A532" i="2"/>
  <c r="A546" i="2"/>
  <c r="A561" i="2"/>
  <c r="A575" i="2"/>
  <c r="A590" i="2"/>
  <c r="A604" i="2"/>
  <c r="A618" i="2"/>
  <c r="A633" i="2"/>
  <c r="A647" i="2"/>
  <c r="A662" i="2"/>
  <c r="A676" i="2"/>
  <c r="A690" i="2"/>
  <c r="A705" i="2"/>
  <c r="A719" i="2"/>
  <c r="A734" i="2"/>
  <c r="A748" i="2"/>
  <c r="A762" i="2"/>
  <c r="A777" i="2"/>
  <c r="A791" i="2"/>
  <c r="A806" i="2"/>
  <c r="A820" i="2"/>
  <c r="A834" i="2"/>
  <c r="A849" i="2"/>
  <c r="A863" i="2"/>
  <c r="A878" i="2"/>
  <c r="A892" i="2"/>
  <c r="A906" i="2"/>
  <c r="A921" i="2"/>
  <c r="A935" i="2"/>
  <c r="A950" i="2"/>
  <c r="A964" i="2"/>
  <c r="A978" i="2"/>
  <c r="A993" i="2"/>
  <c r="B7" i="2"/>
  <c r="B22" i="2"/>
  <c r="B36" i="2"/>
  <c r="B50" i="2"/>
  <c r="B65" i="2"/>
  <c r="B79" i="2"/>
  <c r="B94" i="2"/>
  <c r="B108" i="2"/>
  <c r="B122" i="2"/>
  <c r="B137" i="2"/>
  <c r="B151" i="2"/>
  <c r="B166" i="2"/>
  <c r="B180" i="2"/>
  <c r="B194" i="2"/>
  <c r="B209" i="2"/>
  <c r="B223" i="2"/>
  <c r="B238" i="2"/>
  <c r="B252" i="2"/>
  <c r="B266" i="2"/>
  <c r="B281" i="2"/>
  <c r="B295" i="2"/>
  <c r="B310" i="2"/>
  <c r="B324" i="2"/>
  <c r="B338" i="2"/>
  <c r="B353" i="2"/>
  <c r="B367" i="2"/>
  <c r="B382" i="2"/>
  <c r="B396" i="2"/>
  <c r="B410" i="2"/>
  <c r="B425" i="2"/>
  <c r="B439" i="2"/>
  <c r="B454" i="2"/>
  <c r="B468" i="2"/>
  <c r="B482" i="2"/>
  <c r="B497" i="2"/>
  <c r="B512" i="2"/>
  <c r="B528" i="2"/>
  <c r="B544" i="2"/>
  <c r="B560" i="2"/>
  <c r="B576" i="2"/>
  <c r="B592" i="2"/>
  <c r="B608" i="2"/>
  <c r="B624" i="2"/>
  <c r="B640" i="2"/>
  <c r="B656" i="2"/>
  <c r="B672" i="2"/>
  <c r="B688" i="2"/>
  <c r="B704" i="2"/>
  <c r="B720" i="2"/>
  <c r="B736" i="2"/>
  <c r="B752" i="2"/>
  <c r="B768" i="2"/>
  <c r="B784" i="2"/>
  <c r="B800" i="2"/>
  <c r="B816" i="2"/>
  <c r="B832" i="2"/>
  <c r="B848" i="2"/>
  <c r="B864" i="2"/>
  <c r="B880" i="2"/>
  <c r="B896" i="2"/>
  <c r="B912" i="2"/>
  <c r="B928" i="2"/>
  <c r="B944" i="2"/>
  <c r="B960" i="2"/>
  <c r="B976" i="2"/>
  <c r="B992" i="2"/>
  <c r="A37" i="2"/>
  <c r="A497" i="2"/>
  <c r="A555" i="2"/>
  <c r="A598" i="2"/>
  <c r="A641" i="2"/>
  <c r="A670" i="2"/>
  <c r="A684" i="2"/>
  <c r="A713" i="2"/>
  <c r="A728" i="2"/>
  <c r="A756" i="2"/>
  <c r="A785" i="2"/>
  <c r="A814" i="2"/>
  <c r="A828" i="2"/>
  <c r="A857" i="2"/>
  <c r="A872" i="2"/>
  <c r="A900" i="2"/>
  <c r="A915" i="2"/>
  <c r="A944" i="2"/>
  <c r="A972" i="2"/>
  <c r="B2" i="2"/>
  <c r="B16" i="2"/>
  <c r="B44" i="2"/>
  <c r="B59" i="2"/>
  <c r="B88" i="2"/>
  <c r="B102" i="2"/>
  <c r="B131" i="2"/>
  <c r="B145" i="2"/>
  <c r="B160" i="2"/>
  <c r="B188" i="2"/>
  <c r="B203" i="2"/>
  <c r="B217" i="2"/>
  <c r="B246" i="2"/>
  <c r="B260" i="2"/>
  <c r="B304" i="2"/>
  <c r="B318" i="2"/>
  <c r="B332" i="2"/>
  <c r="B361" i="2"/>
  <c r="B376" i="2"/>
  <c r="B390" i="2"/>
  <c r="B419" i="2"/>
  <c r="B433" i="2"/>
  <c r="B448" i="2"/>
  <c r="B476" i="2"/>
  <c r="B491" i="2"/>
  <c r="B521" i="2"/>
  <c r="B538" i="2"/>
  <c r="B586" i="2"/>
  <c r="B601" i="2"/>
  <c r="B634" i="2"/>
  <c r="B649" i="2"/>
  <c r="B682" i="2"/>
  <c r="B697" i="2"/>
  <c r="B730" i="2"/>
  <c r="B745" i="2"/>
  <c r="B778" i="2"/>
  <c r="B809" i="2"/>
  <c r="B841" i="2"/>
  <c r="B857" i="2"/>
  <c r="B889" i="2"/>
  <c r="B905" i="2"/>
  <c r="B937" i="2"/>
  <c r="B953" i="2"/>
  <c r="B985" i="2"/>
  <c r="A14" i="2"/>
  <c r="A86" i="2"/>
  <c r="A158" i="2"/>
  <c r="A242" i="2"/>
  <c r="A327" i="2"/>
  <c r="A398" i="2"/>
  <c r="A484" i="2"/>
  <c r="A556" i="2"/>
  <c r="A614" i="2"/>
  <c r="A671" i="2"/>
  <c r="A743" i="2"/>
  <c r="A801" i="2"/>
  <c r="A887" i="2"/>
  <c r="A988" i="2"/>
  <c r="A15" i="2"/>
  <c r="A39" i="2"/>
  <c r="A75" i="2"/>
  <c r="A99" i="2"/>
  <c r="A135" i="2"/>
  <c r="A159" i="2"/>
  <c r="A183" i="2"/>
  <c r="A207" i="2"/>
  <c r="A231" i="2"/>
  <c r="A267" i="2"/>
  <c r="A315" i="2"/>
  <c r="A341" i="2"/>
  <c r="A384" i="2"/>
  <c r="A413" i="2"/>
  <c r="A456" i="2"/>
  <c r="A500" i="2"/>
  <c r="A543" i="2"/>
  <c r="A586" i="2"/>
  <c r="A644" i="2"/>
  <c r="A687" i="2"/>
  <c r="A716" i="2"/>
  <c r="A759" i="2"/>
  <c r="A788" i="2"/>
  <c r="A831" i="2"/>
  <c r="A860" i="2"/>
  <c r="A903" i="2"/>
  <c r="A932" i="2"/>
  <c r="A960" i="2"/>
  <c r="B4" i="2"/>
  <c r="B32" i="2"/>
  <c r="B76" i="2"/>
  <c r="B119" i="2"/>
  <c r="B162" i="2"/>
  <c r="B191" i="2"/>
  <c r="B220" i="2"/>
  <c r="B263" i="2"/>
  <c r="B292" i="2"/>
  <c r="B335" i="2"/>
  <c r="B378" i="2"/>
  <c r="B407" i="2"/>
  <c r="B436" i="2"/>
  <c r="B479" i="2"/>
  <c r="B524" i="2"/>
  <c r="B556" i="2"/>
  <c r="B588" i="2"/>
  <c r="B620" i="2"/>
  <c r="B668" i="2"/>
  <c r="B732" i="2"/>
  <c r="B764" i="2"/>
  <c r="B812" i="2"/>
  <c r="B860" i="2"/>
  <c r="B876" i="2"/>
  <c r="B908" i="2"/>
  <c r="A19" i="2"/>
  <c r="A43" i="2"/>
  <c r="A67" i="2"/>
  <c r="A91" i="2"/>
  <c r="A103" i="2"/>
  <c r="A115" i="2"/>
  <c r="A139" i="2"/>
  <c r="A151" i="2"/>
  <c r="A163" i="2"/>
  <c r="A175" i="2"/>
  <c r="A187" i="2"/>
  <c r="A199" i="2"/>
  <c r="A211" i="2"/>
  <c r="A223" i="2"/>
  <c r="A235" i="2"/>
  <c r="A247" i="2"/>
  <c r="A259" i="2"/>
  <c r="A271" i="2"/>
  <c r="A283" i="2"/>
  <c r="A295" i="2"/>
  <c r="A307" i="2"/>
  <c r="A319" i="2"/>
  <c r="A332" i="2"/>
  <c r="A346" i="2"/>
  <c r="A360" i="2"/>
  <c r="A375" i="2"/>
  <c r="A389" i="2"/>
  <c r="A404" i="2"/>
  <c r="A418" i="2"/>
  <c r="A432" i="2"/>
  <c r="A447" i="2"/>
  <c r="A461" i="2"/>
  <c r="A476" i="2"/>
  <c r="A490" i="2"/>
  <c r="A504" i="2"/>
  <c r="A519" i="2"/>
  <c r="A533" i="2"/>
  <c r="A548" i="2"/>
  <c r="A562" i="2"/>
  <c r="A576" i="2"/>
  <c r="A591" i="2"/>
  <c r="A605" i="2"/>
  <c r="A620" i="2"/>
  <c r="A634" i="2"/>
  <c r="A648" i="2"/>
  <c r="A663" i="2"/>
  <c r="A677" i="2"/>
  <c r="A692" i="2"/>
  <c r="A706" i="2"/>
  <c r="A720" i="2"/>
  <c r="A735" i="2"/>
  <c r="A749" i="2"/>
  <c r="A764" i="2"/>
  <c r="A778" i="2"/>
  <c r="A792" i="2"/>
  <c r="A807" i="2"/>
  <c r="A821" i="2"/>
  <c r="A836" i="2"/>
  <c r="A850" i="2"/>
  <c r="A864" i="2"/>
  <c r="A879" i="2"/>
  <c r="A893" i="2"/>
  <c r="A908" i="2"/>
  <c r="A922" i="2"/>
  <c r="A936" i="2"/>
  <c r="A951" i="2"/>
  <c r="A965" i="2"/>
  <c r="A980" i="2"/>
  <c r="A994" i="2"/>
  <c r="B8" i="2"/>
  <c r="B23" i="2"/>
  <c r="B37" i="2"/>
  <c r="B52" i="2"/>
  <c r="B66" i="2"/>
  <c r="B80" i="2"/>
  <c r="B95" i="2"/>
  <c r="B109" i="2"/>
  <c r="B124" i="2"/>
  <c r="B138" i="2"/>
  <c r="B152" i="2"/>
  <c r="B167" i="2"/>
  <c r="B181" i="2"/>
  <c r="B196" i="2"/>
  <c r="B210" i="2"/>
  <c r="B224" i="2"/>
  <c r="B239" i="2"/>
  <c r="B253" i="2"/>
  <c r="B268" i="2"/>
  <c r="B282" i="2"/>
  <c r="B296" i="2"/>
  <c r="B311" i="2"/>
  <c r="B325" i="2"/>
  <c r="B340" i="2"/>
  <c r="B354" i="2"/>
  <c r="B368" i="2"/>
  <c r="B383" i="2"/>
  <c r="B397" i="2"/>
  <c r="B412" i="2"/>
  <c r="B426" i="2"/>
  <c r="B440" i="2"/>
  <c r="B455" i="2"/>
  <c r="B469" i="2"/>
  <c r="B484" i="2"/>
  <c r="B498" i="2"/>
  <c r="B514" i="2"/>
  <c r="B529" i="2"/>
  <c r="B545" i="2"/>
  <c r="B562" i="2"/>
  <c r="B577" i="2"/>
  <c r="B593" i="2"/>
  <c r="B610" i="2"/>
  <c r="B625" i="2"/>
  <c r="B641" i="2"/>
  <c r="B658" i="2"/>
  <c r="B673" i="2"/>
  <c r="B689" i="2"/>
  <c r="B706" i="2"/>
  <c r="B721" i="2"/>
  <c r="B737" i="2"/>
  <c r="B754" i="2"/>
  <c r="B769" i="2"/>
  <c r="B785" i="2"/>
  <c r="B802" i="2"/>
  <c r="B817" i="2"/>
  <c r="B833" i="2"/>
  <c r="B850" i="2"/>
  <c r="B865" i="2"/>
  <c r="B881" i="2"/>
  <c r="B898" i="2"/>
  <c r="B913" i="2"/>
  <c r="B929" i="2"/>
  <c r="B946" i="2"/>
  <c r="B961" i="2"/>
  <c r="B977" i="2"/>
  <c r="B994" i="2"/>
  <c r="A194" i="2"/>
  <c r="A815" i="2"/>
  <c r="A629" i="2"/>
  <c r="B940" i="2"/>
  <c r="A7" i="2"/>
  <c r="A31" i="2"/>
  <c r="A55" i="2"/>
  <c r="A79" i="2"/>
  <c r="A127" i="2"/>
  <c r="A8" i="2"/>
  <c r="A20" i="2"/>
  <c r="A32" i="2"/>
  <c r="A44" i="2"/>
  <c r="A56" i="2"/>
  <c r="A68" i="2"/>
  <c r="A80" i="2"/>
  <c r="A92" i="2"/>
  <c r="A104" i="2"/>
  <c r="A116" i="2"/>
  <c r="A128" i="2"/>
  <c r="A140" i="2"/>
  <c r="A152" i="2"/>
  <c r="A164" i="2"/>
  <c r="A176" i="2"/>
  <c r="A188" i="2"/>
  <c r="A200" i="2"/>
  <c r="A212" i="2"/>
  <c r="A224" i="2"/>
  <c r="A236" i="2"/>
  <c r="A248" i="2"/>
  <c r="A260" i="2"/>
  <c r="A272" i="2"/>
  <c r="A284" i="2"/>
  <c r="A296" i="2"/>
  <c r="A308" i="2"/>
  <c r="A320" i="2"/>
  <c r="A333" i="2"/>
  <c r="A347" i="2"/>
  <c r="A362" i="2"/>
  <c r="A376" i="2"/>
  <c r="A390" i="2"/>
  <c r="A405" i="2"/>
  <c r="A419" i="2"/>
  <c r="A434" i="2"/>
  <c r="A448" i="2"/>
  <c r="A462" i="2"/>
  <c r="A477" i="2"/>
  <c r="A491" i="2"/>
  <c r="A506" i="2"/>
  <c r="A520" i="2"/>
  <c r="A534" i="2"/>
  <c r="A549" i="2"/>
  <c r="A563" i="2"/>
  <c r="A578" i="2"/>
  <c r="A592" i="2"/>
  <c r="A606" i="2"/>
  <c r="A621" i="2"/>
  <c r="A635" i="2"/>
  <c r="A650" i="2"/>
  <c r="A664" i="2"/>
  <c r="A678" i="2"/>
  <c r="A693" i="2"/>
  <c r="A707" i="2"/>
  <c r="A722" i="2"/>
  <c r="A736" i="2"/>
  <c r="A750" i="2"/>
  <c r="A765" i="2"/>
  <c r="A779" i="2"/>
  <c r="A794" i="2"/>
  <c r="A808" i="2"/>
  <c r="A822" i="2"/>
  <c r="A837" i="2"/>
  <c r="A851" i="2"/>
  <c r="A866" i="2"/>
  <c r="A880" i="2"/>
  <c r="A894" i="2"/>
  <c r="A909" i="2"/>
  <c r="A923" i="2"/>
  <c r="A938" i="2"/>
  <c r="A952" i="2"/>
  <c r="A966" i="2"/>
  <c r="A981" i="2"/>
  <c r="A995" i="2"/>
  <c r="B10" i="2"/>
  <c r="B24" i="2"/>
  <c r="B38" i="2"/>
  <c r="B53" i="2"/>
  <c r="B67" i="2"/>
  <c r="B82" i="2"/>
  <c r="B96" i="2"/>
  <c r="B110" i="2"/>
  <c r="B125" i="2"/>
  <c r="B139" i="2"/>
  <c r="B154" i="2"/>
  <c r="B168" i="2"/>
  <c r="B182" i="2"/>
  <c r="B197" i="2"/>
  <c r="B211" i="2"/>
  <c r="B226" i="2"/>
  <c r="B240" i="2"/>
  <c r="B254" i="2"/>
  <c r="B269" i="2"/>
  <c r="B283" i="2"/>
  <c r="B298" i="2"/>
  <c r="B312" i="2"/>
  <c r="B326" i="2"/>
  <c r="B341" i="2"/>
  <c r="B355" i="2"/>
  <c r="B370" i="2"/>
  <c r="B384" i="2"/>
  <c r="B398" i="2"/>
  <c r="B413" i="2"/>
  <c r="B427" i="2"/>
  <c r="B442" i="2"/>
  <c r="B456" i="2"/>
  <c r="B470" i="2"/>
  <c r="B485" i="2"/>
  <c r="B499" i="2"/>
  <c r="B515" i="2"/>
  <c r="B530" i="2"/>
  <c r="B547" i="2"/>
  <c r="B563" i="2"/>
  <c r="B578" i="2"/>
  <c r="B595" i="2"/>
  <c r="B611" i="2"/>
  <c r="B626" i="2"/>
  <c r="B643" i="2"/>
  <c r="B659" i="2"/>
  <c r="B674" i="2"/>
  <c r="B691" i="2"/>
  <c r="B707" i="2"/>
  <c r="B722" i="2"/>
  <c r="B739" i="2"/>
  <c r="B755" i="2"/>
  <c r="B770" i="2"/>
  <c r="B787" i="2"/>
  <c r="B803" i="2"/>
  <c r="B818" i="2"/>
  <c r="B835" i="2"/>
  <c r="B851" i="2"/>
  <c r="B866" i="2"/>
  <c r="B883" i="2"/>
  <c r="B899" i="2"/>
  <c r="B914" i="2"/>
  <c r="B931" i="2"/>
  <c r="B947" i="2"/>
  <c r="B962" i="2"/>
  <c r="B979" i="2"/>
  <c r="B995" i="2"/>
  <c r="D726" i="2"/>
  <c r="D742" i="2"/>
  <c r="D762" i="2"/>
  <c r="D778" i="2"/>
  <c r="D794" i="2"/>
  <c r="D813" i="2"/>
  <c r="D834" i="2"/>
  <c r="D852" i="2"/>
  <c r="D871" i="2"/>
  <c r="D890" i="2"/>
  <c r="D910" i="2"/>
  <c r="D930" i="2"/>
  <c r="D954" i="2"/>
  <c r="D972" i="2"/>
  <c r="D996" i="2"/>
  <c r="E16" i="2"/>
  <c r="E40" i="2"/>
  <c r="E58" i="2"/>
  <c r="E82" i="2"/>
  <c r="E102" i="2"/>
  <c r="E126" i="2"/>
  <c r="E146" i="2"/>
  <c r="E170" i="2"/>
  <c r="E188" i="2"/>
  <c r="E212" i="2"/>
  <c r="E232" i="2"/>
  <c r="E256" i="2"/>
  <c r="E274" i="2"/>
  <c r="E298" i="2"/>
  <c r="E318" i="2"/>
  <c r="E342" i="2"/>
  <c r="E362" i="2"/>
  <c r="E387" i="2"/>
  <c r="E413" i="2"/>
  <c r="E436" i="2"/>
  <c r="E461" i="2"/>
  <c r="E490" i="2"/>
  <c r="E520" i="2"/>
  <c r="E544" i="2"/>
  <c r="E571" i="2"/>
  <c r="E602" i="2"/>
  <c r="E627" i="2"/>
  <c r="E653" i="2"/>
  <c r="E686" i="2"/>
  <c r="E717" i="2"/>
  <c r="E749" i="2"/>
  <c r="E782" i="2"/>
  <c r="E813" i="2"/>
  <c r="E845" i="2"/>
  <c r="E878" i="2"/>
  <c r="E909" i="2"/>
  <c r="E941" i="2"/>
  <c r="E974" i="2"/>
  <c r="D10" i="2"/>
  <c r="D22" i="2"/>
  <c r="D34" i="2"/>
  <c r="D46" i="2"/>
  <c r="D58" i="2"/>
  <c r="D70" i="2"/>
  <c r="D82" i="2"/>
  <c r="D94" i="2"/>
  <c r="D106" i="2"/>
  <c r="D118" i="2"/>
  <c r="D130" i="2"/>
  <c r="D144" i="2"/>
  <c r="D158" i="2"/>
  <c r="D174" i="2"/>
  <c r="D188" i="2"/>
  <c r="D202" i="2"/>
  <c r="D216" i="2"/>
  <c r="D230" i="2"/>
  <c r="D246" i="2"/>
  <c r="D260" i="2"/>
  <c r="D274" i="2"/>
  <c r="D288" i="2"/>
  <c r="D302" i="2"/>
  <c r="D318" i="2"/>
  <c r="D332" i="2"/>
  <c r="D346" i="2"/>
  <c r="D360" i="2"/>
  <c r="D374" i="2"/>
  <c r="D390" i="2"/>
  <c r="D404" i="2"/>
  <c r="D418" i="2"/>
  <c r="D432" i="2"/>
  <c r="D446" i="2"/>
  <c r="D462" i="2"/>
  <c r="D476" i="2"/>
  <c r="D490" i="2"/>
  <c r="D504" i="2"/>
  <c r="D518" i="2"/>
  <c r="D534" i="2"/>
  <c r="D548" i="2"/>
  <c r="D562" i="2"/>
  <c r="D577" i="2"/>
  <c r="D594" i="2"/>
  <c r="D609" i="2"/>
  <c r="D625" i="2"/>
  <c r="D644" i="2"/>
  <c r="D661" i="2"/>
  <c r="D679" i="2"/>
  <c r="D695" i="2"/>
  <c r="D713" i="2"/>
  <c r="D730" i="2"/>
  <c r="D749" i="2"/>
  <c r="D765" i="2"/>
  <c r="D781" i="2"/>
  <c r="D799" i="2"/>
  <c r="D818" i="2"/>
  <c r="D838" i="2"/>
  <c r="D857" i="2"/>
  <c r="D876" i="2"/>
  <c r="D896" i="2"/>
  <c r="D913" i="2"/>
  <c r="D937" i="2"/>
  <c r="D957" i="2"/>
  <c r="D981" i="2"/>
  <c r="E2" i="2"/>
  <c r="E25" i="2"/>
  <c r="E43" i="2"/>
  <c r="E67" i="2"/>
  <c r="E87" i="2"/>
  <c r="E111" i="2"/>
  <c r="E129" i="2"/>
  <c r="E153" i="2"/>
  <c r="E173" i="2"/>
  <c r="E197" i="2"/>
  <c r="E217" i="2"/>
  <c r="E241" i="2"/>
  <c r="E259" i="2"/>
  <c r="E283" i="2"/>
  <c r="E303" i="2"/>
  <c r="E327" i="2"/>
  <c r="E345" i="2"/>
  <c r="E369" i="2"/>
  <c r="E392" i="2"/>
  <c r="E416" i="2"/>
  <c r="E442" i="2"/>
  <c r="E472" i="2"/>
  <c r="E496" i="2"/>
  <c r="E523" i="2"/>
  <c r="E554" i="2"/>
  <c r="E579" i="2"/>
  <c r="E605" i="2"/>
  <c r="E634" i="2"/>
  <c r="E665" i="2"/>
  <c r="E698" i="2"/>
  <c r="E729" i="2"/>
  <c r="E761" i="2"/>
  <c r="E794" i="2"/>
  <c r="E825" i="2"/>
  <c r="E857" i="2"/>
  <c r="E890" i="2"/>
  <c r="E921" i="2"/>
  <c r="E953" i="2"/>
  <c r="E996" i="2"/>
  <c r="E984" i="2"/>
  <c r="E972" i="2"/>
  <c r="E960" i="2"/>
  <c r="E948" i="2"/>
  <c r="E936" i="2"/>
  <c r="E924" i="2"/>
  <c r="E912" i="2"/>
  <c r="E900" i="2"/>
  <c r="E888" i="2"/>
  <c r="E876" i="2"/>
  <c r="E864" i="2"/>
  <c r="E852" i="2"/>
  <c r="E840" i="2"/>
  <c r="E828" i="2"/>
  <c r="E816" i="2"/>
  <c r="E804" i="2"/>
  <c r="E792" i="2"/>
  <c r="E780" i="2"/>
  <c r="E768" i="2"/>
  <c r="E756" i="2"/>
  <c r="E744" i="2"/>
  <c r="E732" i="2"/>
  <c r="E720" i="2"/>
  <c r="E708" i="2"/>
  <c r="E696" i="2"/>
  <c r="E684" i="2"/>
  <c r="E672" i="2"/>
  <c r="E660" i="2"/>
  <c r="E648" i="2"/>
  <c r="E636" i="2"/>
  <c r="E624" i="2"/>
  <c r="E612" i="2"/>
  <c r="E600" i="2"/>
  <c r="E588" i="2"/>
  <c r="E576" i="2"/>
  <c r="E564" i="2"/>
  <c r="E552" i="2"/>
  <c r="E540" i="2"/>
  <c r="E528" i="2"/>
  <c r="E516" i="2"/>
  <c r="E504" i="2"/>
  <c r="E492" i="2"/>
  <c r="E480" i="2"/>
  <c r="E468" i="2"/>
  <c r="E456" i="2"/>
  <c r="E444" i="2"/>
  <c r="E432" i="2"/>
  <c r="E420" i="2"/>
  <c r="E408" i="2"/>
  <c r="E396" i="2"/>
  <c r="E384" i="2"/>
  <c r="E372" i="2"/>
  <c r="E360" i="2"/>
  <c r="E348" i="2"/>
  <c r="E336" i="2"/>
  <c r="E324" i="2"/>
  <c r="E312" i="2"/>
  <c r="E300" i="2"/>
  <c r="E288" i="2"/>
  <c r="E276" i="2"/>
  <c r="E264" i="2"/>
  <c r="E252" i="2"/>
  <c r="E240" i="2"/>
  <c r="E228" i="2"/>
  <c r="E216" i="2"/>
  <c r="E204" i="2"/>
  <c r="E192" i="2"/>
  <c r="E180" i="2"/>
  <c r="E168" i="2"/>
  <c r="E156" i="2"/>
  <c r="E144" i="2"/>
  <c r="E132" i="2"/>
  <c r="E120" i="2"/>
  <c r="E108" i="2"/>
  <c r="E96" i="2"/>
  <c r="E84" i="2"/>
  <c r="E72" i="2"/>
  <c r="E60" i="2"/>
  <c r="E48" i="2"/>
  <c r="E36" i="2"/>
  <c r="E24" i="2"/>
  <c r="E12" i="2"/>
  <c r="E995" i="2"/>
  <c r="E983" i="2"/>
  <c r="E971" i="2"/>
  <c r="E959" i="2"/>
  <c r="E947" i="2"/>
  <c r="E935" i="2"/>
  <c r="E923" i="2"/>
  <c r="E911" i="2"/>
  <c r="E899" i="2"/>
  <c r="E887" i="2"/>
  <c r="E875" i="2"/>
  <c r="E863" i="2"/>
  <c r="E851" i="2"/>
  <c r="E839" i="2"/>
  <c r="E827" i="2"/>
  <c r="E815" i="2"/>
  <c r="E803" i="2"/>
  <c r="E791" i="2"/>
  <c r="E779" i="2"/>
  <c r="E767" i="2"/>
  <c r="E755" i="2"/>
  <c r="E743" i="2"/>
  <c r="E731" i="2"/>
  <c r="E719" i="2"/>
  <c r="E707" i="2"/>
  <c r="E695" i="2"/>
  <c r="E683" i="2"/>
  <c r="E671" i="2"/>
  <c r="E659" i="2"/>
  <c r="E647" i="2"/>
  <c r="E635" i="2"/>
  <c r="E623" i="2"/>
  <c r="E611" i="2"/>
  <c r="E599" i="2"/>
  <c r="E587" i="2"/>
  <c r="E575" i="2"/>
  <c r="E563" i="2"/>
  <c r="E551" i="2"/>
  <c r="E539" i="2"/>
  <c r="E527" i="2"/>
  <c r="E515" i="2"/>
  <c r="E503" i="2"/>
  <c r="E491" i="2"/>
  <c r="E479" i="2"/>
  <c r="E467" i="2"/>
  <c r="E455" i="2"/>
  <c r="E443" i="2"/>
  <c r="E431" i="2"/>
  <c r="E419" i="2"/>
  <c r="E407" i="2"/>
  <c r="E395" i="2"/>
  <c r="E383" i="2"/>
  <c r="E371" i="2"/>
  <c r="E359" i="2"/>
  <c r="E347" i="2"/>
  <c r="E335" i="2"/>
  <c r="E323" i="2"/>
  <c r="E311" i="2"/>
  <c r="E299" i="2"/>
  <c r="E287" i="2"/>
  <c r="E275" i="2"/>
  <c r="E263" i="2"/>
  <c r="E251" i="2"/>
  <c r="E239" i="2"/>
  <c r="E227" i="2"/>
  <c r="E215" i="2"/>
  <c r="E203" i="2"/>
  <c r="E191" i="2"/>
  <c r="E179" i="2"/>
  <c r="E167" i="2"/>
  <c r="E155" i="2"/>
  <c r="E143" i="2"/>
  <c r="E131" i="2"/>
  <c r="E119" i="2"/>
  <c r="E107" i="2"/>
  <c r="E95" i="2"/>
  <c r="E83" i="2"/>
  <c r="E71" i="2"/>
  <c r="E59" i="2"/>
  <c r="E47" i="2"/>
  <c r="E35" i="2"/>
  <c r="E23" i="2"/>
  <c r="E11" i="2"/>
  <c r="E992" i="2"/>
  <c r="E980" i="2"/>
  <c r="E968" i="2"/>
  <c r="E956" i="2"/>
  <c r="E944" i="2"/>
  <c r="E932" i="2"/>
  <c r="E920" i="2"/>
  <c r="E908" i="2"/>
  <c r="E896" i="2"/>
  <c r="E884" i="2"/>
  <c r="E872" i="2"/>
  <c r="E860" i="2"/>
  <c r="E848" i="2"/>
  <c r="E836" i="2"/>
  <c r="E824" i="2"/>
  <c r="E812" i="2"/>
  <c r="E800" i="2"/>
  <c r="E788" i="2"/>
  <c r="E776" i="2"/>
  <c r="E764" i="2"/>
  <c r="E752" i="2"/>
  <c r="E740" i="2"/>
  <c r="E728" i="2"/>
  <c r="E716" i="2"/>
  <c r="E704" i="2"/>
  <c r="E692" i="2"/>
  <c r="E680" i="2"/>
  <c r="E668" i="2"/>
  <c r="E656" i="2"/>
  <c r="E644" i="2"/>
  <c r="E632" i="2"/>
  <c r="E620" i="2"/>
  <c r="E608" i="2"/>
  <c r="E596" i="2"/>
  <c r="E584" i="2"/>
  <c r="E572" i="2"/>
  <c r="E560" i="2"/>
  <c r="E548" i="2"/>
  <c r="E536" i="2"/>
  <c r="E524" i="2"/>
  <c r="E512" i="2"/>
  <c r="E500" i="2"/>
  <c r="E488" i="2"/>
  <c r="E476" i="2"/>
  <c r="E464" i="2"/>
  <c r="E452" i="2"/>
  <c r="E999" i="2"/>
  <c r="E982" i="2"/>
  <c r="E966" i="2"/>
  <c r="E951" i="2"/>
  <c r="E934" i="2"/>
  <c r="E918" i="2"/>
  <c r="E903" i="2"/>
  <c r="E886" i="2"/>
  <c r="E870" i="2"/>
  <c r="E855" i="2"/>
  <c r="E838" i="2"/>
  <c r="E822" i="2"/>
  <c r="E807" i="2"/>
  <c r="E790" i="2"/>
  <c r="E774" i="2"/>
  <c r="E759" i="2"/>
  <c r="E742" i="2"/>
  <c r="E726" i="2"/>
  <c r="E711" i="2"/>
  <c r="E694" i="2"/>
  <c r="E678" i="2"/>
  <c r="E663" i="2"/>
  <c r="E646" i="2"/>
  <c r="E630" i="2"/>
  <c r="E615" i="2"/>
  <c r="E598" i="2"/>
  <c r="E582" i="2"/>
  <c r="E567" i="2"/>
  <c r="E550" i="2"/>
  <c r="E534" i="2"/>
  <c r="E519" i="2"/>
  <c r="E502" i="2"/>
  <c r="E486" i="2"/>
  <c r="E471" i="2"/>
  <c r="E454" i="2"/>
  <c r="E439" i="2"/>
  <c r="E425" i="2"/>
  <c r="E411" i="2"/>
  <c r="E397" i="2"/>
  <c r="E381" i="2"/>
  <c r="E367" i="2"/>
  <c r="E353" i="2"/>
  <c r="E339" i="2"/>
  <c r="E325" i="2"/>
  <c r="E309" i="2"/>
  <c r="E295" i="2"/>
  <c r="E281" i="2"/>
  <c r="E267" i="2"/>
  <c r="E253" i="2"/>
  <c r="E237" i="2"/>
  <c r="E223" i="2"/>
  <c r="E209" i="2"/>
  <c r="E195" i="2"/>
  <c r="E181" i="2"/>
  <c r="E165" i="2"/>
  <c r="E151" i="2"/>
  <c r="E137" i="2"/>
  <c r="E123" i="2"/>
  <c r="E109" i="2"/>
  <c r="E93" i="2"/>
  <c r="E79" i="2"/>
  <c r="E65" i="2"/>
  <c r="E51" i="2"/>
  <c r="E37" i="2"/>
  <c r="E21" i="2"/>
  <c r="E7" i="2"/>
  <c r="E998" i="2"/>
  <c r="E981" i="2"/>
  <c r="E965" i="2"/>
  <c r="E950" i="2"/>
  <c r="E933" i="2"/>
  <c r="E917" i="2"/>
  <c r="E902" i="2"/>
  <c r="E885" i="2"/>
  <c r="E869" i="2"/>
  <c r="E854" i="2"/>
  <c r="E837" i="2"/>
  <c r="E821" i="2"/>
  <c r="E806" i="2"/>
  <c r="E789" i="2"/>
  <c r="E773" i="2"/>
  <c r="E758" i="2"/>
  <c r="E741" i="2"/>
  <c r="E725" i="2"/>
  <c r="E710" i="2"/>
  <c r="E693" i="2"/>
  <c r="E677" i="2"/>
  <c r="E662" i="2"/>
  <c r="E645" i="2"/>
  <c r="E629" i="2"/>
  <c r="E614" i="2"/>
  <c r="E597" i="2"/>
  <c r="E581" i="2"/>
  <c r="E566" i="2"/>
  <c r="E549" i="2"/>
  <c r="E533" i="2"/>
  <c r="E518" i="2"/>
  <c r="E501" i="2"/>
  <c r="E485" i="2"/>
  <c r="E470" i="2"/>
  <c r="E453" i="2"/>
  <c r="E438" i="2"/>
  <c r="E424" i="2"/>
  <c r="E410" i="2"/>
  <c r="E394" i="2"/>
  <c r="E380" i="2"/>
  <c r="E366" i="2"/>
  <c r="E352" i="2"/>
  <c r="E338" i="2"/>
  <c r="E322" i="2"/>
  <c r="E308" i="2"/>
  <c r="E294" i="2"/>
  <c r="E280" i="2"/>
  <c r="E266" i="2"/>
  <c r="E250" i="2"/>
  <c r="E236" i="2"/>
  <c r="E222" i="2"/>
  <c r="E208" i="2"/>
  <c r="E194" i="2"/>
  <c r="E178" i="2"/>
  <c r="E164" i="2"/>
  <c r="E150" i="2"/>
  <c r="E136" i="2"/>
  <c r="E122" i="2"/>
  <c r="E106" i="2"/>
  <c r="E92" i="2"/>
  <c r="E78" i="2"/>
  <c r="E64" i="2"/>
  <c r="E50" i="2"/>
  <c r="E34" i="2"/>
  <c r="E20" i="2"/>
  <c r="E6" i="2"/>
  <c r="E997" i="2"/>
  <c r="E979" i="2"/>
  <c r="E964" i="2"/>
  <c r="E949" i="2"/>
  <c r="E931" i="2"/>
  <c r="E916" i="2"/>
  <c r="E901" i="2"/>
  <c r="E883" i="2"/>
  <c r="E868" i="2"/>
  <c r="E853" i="2"/>
  <c r="E835" i="2"/>
  <c r="E820" i="2"/>
  <c r="E805" i="2"/>
  <c r="E787" i="2"/>
  <c r="E772" i="2"/>
  <c r="E757" i="2"/>
  <c r="E739" i="2"/>
  <c r="E724" i="2"/>
  <c r="E709" i="2"/>
  <c r="E691" i="2"/>
  <c r="E676" i="2"/>
  <c r="E661" i="2"/>
  <c r="E643" i="2"/>
  <c r="E628" i="2"/>
  <c r="E613" i="2"/>
  <c r="E595" i="2"/>
  <c r="E580" i="2"/>
  <c r="E565" i="2"/>
  <c r="E547" i="2"/>
  <c r="E532" i="2"/>
  <c r="E517" i="2"/>
  <c r="E499" i="2"/>
  <c r="E484" i="2"/>
  <c r="E469" i="2"/>
  <c r="E451" i="2"/>
  <c r="E437" i="2"/>
  <c r="E423" i="2"/>
  <c r="E409" i="2"/>
  <c r="E393" i="2"/>
  <c r="E379" i="2"/>
  <c r="E365" i="2"/>
  <c r="E351" i="2"/>
  <c r="E337" i="2"/>
  <c r="E321" i="2"/>
  <c r="E307" i="2"/>
  <c r="E293" i="2"/>
  <c r="E279" i="2"/>
  <c r="E265" i="2"/>
  <c r="E249" i="2"/>
  <c r="E235" i="2"/>
  <c r="E221" i="2"/>
  <c r="E207" i="2"/>
  <c r="E193" i="2"/>
  <c r="E177" i="2"/>
  <c r="E163" i="2"/>
  <c r="E149" i="2"/>
  <c r="E135" i="2"/>
  <c r="E121" i="2"/>
  <c r="E105" i="2"/>
  <c r="E91" i="2"/>
  <c r="E77" i="2"/>
  <c r="E63" i="2"/>
  <c r="E49" i="2"/>
  <c r="E33" i="2"/>
  <c r="E19" i="2"/>
  <c r="E5" i="2"/>
  <c r="E993" i="2"/>
  <c r="E977" i="2"/>
  <c r="E962" i="2"/>
  <c r="E945" i="2"/>
  <c r="E929" i="2"/>
  <c r="E914" i="2"/>
  <c r="E897" i="2"/>
  <c r="E881" i="2"/>
  <c r="E866" i="2"/>
  <c r="E849" i="2"/>
  <c r="E833" i="2"/>
  <c r="E818" i="2"/>
  <c r="E801" i="2"/>
  <c r="E785" i="2"/>
  <c r="E770" i="2"/>
  <c r="E753" i="2"/>
  <c r="E737" i="2"/>
  <c r="E722" i="2"/>
  <c r="E705" i="2"/>
  <c r="E689" i="2"/>
  <c r="E674" i="2"/>
  <c r="E657" i="2"/>
  <c r="E641" i="2"/>
  <c r="E626" i="2"/>
  <c r="E609" i="2"/>
  <c r="E593" i="2"/>
  <c r="E578" i="2"/>
  <c r="E561" i="2"/>
  <c r="E545" i="2"/>
  <c r="E530" i="2"/>
  <c r="E513" i="2"/>
  <c r="E497" i="2"/>
  <c r="E482" i="2"/>
  <c r="E465" i="2"/>
  <c r="E449" i="2"/>
  <c r="E435" i="2"/>
  <c r="E421" i="2"/>
  <c r="E405" i="2"/>
  <c r="E391" i="2"/>
  <c r="E377" i="2"/>
  <c r="E363" i="2"/>
  <c r="E349" i="2"/>
  <c r="E333" i="2"/>
  <c r="E319" i="2"/>
  <c r="E305" i="2"/>
  <c r="E291" i="2"/>
  <c r="E277" i="2"/>
  <c r="E261" i="2"/>
  <c r="E247" i="2"/>
  <c r="E233" i="2"/>
  <c r="E219" i="2"/>
  <c r="E205" i="2"/>
  <c r="E189" i="2"/>
  <c r="E175" i="2"/>
  <c r="E161" i="2"/>
  <c r="E147" i="2"/>
  <c r="E133" i="2"/>
  <c r="E117" i="2"/>
  <c r="E103" i="2"/>
  <c r="E89" i="2"/>
  <c r="E75" i="2"/>
  <c r="E61" i="2"/>
  <c r="E45" i="2"/>
  <c r="E31" i="2"/>
  <c r="E17" i="2"/>
  <c r="E3" i="2"/>
  <c r="E991" i="2"/>
  <c r="E976" i="2"/>
  <c r="E961" i="2"/>
  <c r="E943" i="2"/>
  <c r="E928" i="2"/>
  <c r="E913" i="2"/>
  <c r="E895" i="2"/>
  <c r="E880" i="2"/>
  <c r="E865" i="2"/>
  <c r="E847" i="2"/>
  <c r="E832" i="2"/>
  <c r="E817" i="2"/>
  <c r="E799" i="2"/>
  <c r="E784" i="2"/>
  <c r="E769" i="2"/>
  <c r="E751" i="2"/>
  <c r="E736" i="2"/>
  <c r="E721" i="2"/>
  <c r="E703" i="2"/>
  <c r="E688" i="2"/>
  <c r="E673" i="2"/>
  <c r="E655" i="2"/>
  <c r="E990" i="2"/>
  <c r="E975" i="2"/>
  <c r="E958" i="2"/>
  <c r="E942" i="2"/>
  <c r="E927" i="2"/>
  <c r="E910" i="2"/>
  <c r="E894" i="2"/>
  <c r="E879" i="2"/>
  <c r="E862" i="2"/>
  <c r="E846" i="2"/>
  <c r="E831" i="2"/>
  <c r="E814" i="2"/>
  <c r="E798" i="2"/>
  <c r="E783" i="2"/>
  <c r="E766" i="2"/>
  <c r="E750" i="2"/>
  <c r="E735" i="2"/>
  <c r="E718" i="2"/>
  <c r="E702" i="2"/>
  <c r="E687" i="2"/>
  <c r="E670" i="2"/>
  <c r="E654" i="2"/>
  <c r="E639" i="2"/>
  <c r="E622" i="2"/>
  <c r="E606" i="2"/>
  <c r="E591" i="2"/>
  <c r="E574" i="2"/>
  <c r="E558" i="2"/>
  <c r="E543" i="2"/>
  <c r="E526" i="2"/>
  <c r="E510" i="2"/>
  <c r="E495" i="2"/>
  <c r="E478" i="2"/>
  <c r="E462" i="2"/>
  <c r="E447" i="2"/>
  <c r="E433" i="2"/>
  <c r="E417" i="2"/>
  <c r="E403" i="2"/>
  <c r="E389" i="2"/>
  <c r="E375" i="2"/>
  <c r="E26" i="2"/>
  <c r="E44" i="2"/>
  <c r="E68" i="2"/>
  <c r="E88" i="2"/>
  <c r="E112" i="2"/>
  <c r="E130" i="2"/>
  <c r="E154" i="2"/>
  <c r="E174" i="2"/>
  <c r="E198" i="2"/>
  <c r="E218" i="2"/>
  <c r="E242" i="2"/>
  <c r="E260" i="2"/>
  <c r="E284" i="2"/>
  <c r="E304" i="2"/>
  <c r="E328" i="2"/>
  <c r="E346" i="2"/>
  <c r="E370" i="2"/>
  <c r="E398" i="2"/>
  <c r="E418" i="2"/>
  <c r="E445" i="2"/>
  <c r="E473" i="2"/>
  <c r="E498" i="2"/>
  <c r="E525" i="2"/>
  <c r="E555" i="2"/>
  <c r="E583" i="2"/>
  <c r="E607" i="2"/>
  <c r="E637" i="2"/>
  <c r="E666" i="2"/>
  <c r="E699" i="2"/>
  <c r="E730" i="2"/>
  <c r="E762" i="2"/>
  <c r="E795" i="2"/>
  <c r="E826" i="2"/>
  <c r="E858" i="2"/>
  <c r="E891" i="2"/>
  <c r="E922" i="2"/>
  <c r="E954" i="2"/>
  <c r="E987" i="2"/>
  <c r="D12" i="2"/>
  <c r="D24" i="2"/>
  <c r="D36" i="2"/>
  <c r="D48" i="2"/>
  <c r="D60" i="2"/>
  <c r="D72" i="2"/>
  <c r="D84" i="2"/>
  <c r="D96" i="2"/>
  <c r="D108" i="2"/>
  <c r="D120" i="2"/>
  <c r="D132" i="2"/>
  <c r="D146" i="2"/>
  <c r="D162" i="2"/>
  <c r="D176" i="2"/>
  <c r="D190" i="2"/>
  <c r="D204" i="2"/>
  <c r="D218" i="2"/>
  <c r="D234" i="2"/>
  <c r="D248" i="2"/>
  <c r="D262" i="2"/>
  <c r="D276" i="2"/>
  <c r="D290" i="2"/>
  <c r="D306" i="2"/>
  <c r="D320" i="2"/>
  <c r="D334" i="2"/>
  <c r="D348" i="2"/>
  <c r="D362" i="2"/>
  <c r="D378" i="2"/>
  <c r="D392" i="2"/>
  <c r="D406" i="2"/>
  <c r="D420" i="2"/>
  <c r="D434" i="2"/>
  <c r="D450" i="2"/>
  <c r="D464" i="2"/>
  <c r="D478" i="2"/>
  <c r="D492" i="2"/>
  <c r="D506" i="2"/>
  <c r="D522" i="2"/>
  <c r="D536" i="2"/>
  <c r="D550" i="2"/>
  <c r="D564" i="2"/>
  <c r="D581" i="2"/>
  <c r="D596" i="2"/>
  <c r="D611" i="2"/>
  <c r="D630" i="2"/>
  <c r="D647" i="2"/>
  <c r="D665" i="2"/>
  <c r="D681" i="2"/>
  <c r="D697" i="2"/>
  <c r="D716" i="2"/>
  <c r="D733" i="2"/>
  <c r="D751" i="2"/>
  <c r="D767" i="2"/>
  <c r="D785" i="2"/>
  <c r="D802" i="2"/>
  <c r="D823" i="2"/>
  <c r="D840" i="2"/>
  <c r="D860" i="2"/>
  <c r="D881" i="2"/>
  <c r="D898" i="2"/>
  <c r="D918" i="2"/>
  <c r="D941" i="2"/>
  <c r="D960" i="2"/>
  <c r="D983" i="2"/>
  <c r="E4" i="2"/>
  <c r="E27" i="2"/>
  <c r="E46" i="2"/>
  <c r="E69" i="2"/>
  <c r="E90" i="2"/>
  <c r="E113" i="2"/>
  <c r="E134" i="2"/>
  <c r="E157" i="2"/>
  <c r="E176" i="2"/>
  <c r="E199" i="2"/>
  <c r="E220" i="2"/>
  <c r="E243" i="2"/>
  <c r="E262" i="2"/>
  <c r="E285" i="2"/>
  <c r="E306" i="2"/>
  <c r="E329" i="2"/>
  <c r="E350" i="2"/>
  <c r="E373" i="2"/>
  <c r="E399" i="2"/>
  <c r="E422" i="2"/>
  <c r="E446" i="2"/>
  <c r="E474" i="2"/>
  <c r="E505" i="2"/>
  <c r="E529" i="2"/>
  <c r="E556" i="2"/>
  <c r="E585" i="2"/>
  <c r="E610" i="2"/>
  <c r="E638" i="2"/>
  <c r="E667" i="2"/>
  <c r="E700" i="2"/>
  <c r="E733" i="2"/>
  <c r="E763" i="2"/>
  <c r="E796" i="2"/>
  <c r="E829" i="2"/>
  <c r="E859" i="2"/>
  <c r="E892" i="2"/>
  <c r="E925" i="2"/>
  <c r="E955" i="2"/>
  <c r="E988" i="2"/>
  <c r="D2" i="2"/>
  <c r="D13" i="2"/>
  <c r="D25" i="2"/>
  <c r="D37" i="2"/>
  <c r="D49" i="2"/>
  <c r="D61" i="2"/>
  <c r="D73" i="2"/>
  <c r="D85" i="2"/>
  <c r="D97" i="2"/>
  <c r="D109" i="2"/>
  <c r="D121" i="2"/>
  <c r="D133" i="2"/>
  <c r="D149" i="2"/>
  <c r="D163" i="2"/>
  <c r="D177" i="2"/>
  <c r="D191" i="2"/>
  <c r="D205" i="2"/>
  <c r="D221" i="2"/>
  <c r="D235" i="2"/>
  <c r="D249" i="2"/>
  <c r="D263" i="2"/>
  <c r="D277" i="2"/>
  <c r="D293" i="2"/>
  <c r="D307" i="2"/>
  <c r="D321" i="2"/>
  <c r="D335" i="2"/>
  <c r="D349" i="2"/>
  <c r="D365" i="2"/>
  <c r="D379" i="2"/>
  <c r="D393" i="2"/>
  <c r="D407" i="2"/>
  <c r="D421" i="2"/>
  <c r="D437" i="2"/>
  <c r="D451" i="2"/>
  <c r="D465" i="2"/>
  <c r="D479" i="2"/>
  <c r="D493" i="2"/>
  <c r="D509" i="2"/>
  <c r="D523" i="2"/>
  <c r="D537" i="2"/>
  <c r="D551" i="2"/>
  <c r="D565" i="2"/>
  <c r="D582" i="2"/>
  <c r="D597" i="2"/>
  <c r="D612" i="2"/>
  <c r="D632" i="2"/>
  <c r="D648" i="2"/>
  <c r="D666" i="2"/>
  <c r="D682" i="2"/>
  <c r="D698" i="2"/>
  <c r="D718" i="2"/>
  <c r="D734" i="2"/>
  <c r="D752" i="2"/>
  <c r="D768" i="2"/>
  <c r="D786" i="2"/>
  <c r="D804" i="2"/>
  <c r="D824" i="2"/>
  <c r="D841" i="2"/>
  <c r="D862" i="2"/>
  <c r="D882" i="2"/>
  <c r="D899" i="2"/>
  <c r="D922" i="2"/>
  <c r="D942" i="2"/>
  <c r="D966" i="2"/>
  <c r="E8" i="2"/>
  <c r="E28" i="2"/>
  <c r="E52" i="2"/>
  <c r="E70" i="2"/>
  <c r="E94" i="2"/>
  <c r="E114" i="2"/>
  <c r="E138" i="2"/>
  <c r="E158" i="2"/>
  <c r="E182" i="2"/>
  <c r="E200" i="2"/>
  <c r="E224" i="2"/>
  <c r="E244" i="2"/>
  <c r="E268" i="2"/>
  <c r="E286" i="2"/>
  <c r="E310" i="2"/>
  <c r="E330" i="2"/>
  <c r="E354" i="2"/>
  <c r="E374" i="2"/>
  <c r="E400" i="2"/>
  <c r="E426" i="2"/>
  <c r="E448" i="2"/>
  <c r="E475" i="2"/>
  <c r="E506" i="2"/>
  <c r="E531" i="2"/>
  <c r="E557" i="2"/>
  <c r="E586" i="2"/>
  <c r="E616" i="2"/>
  <c r="E640" i="2"/>
  <c r="E669" i="2"/>
  <c r="E701" i="2"/>
  <c r="E734" i="2"/>
  <c r="E765" i="2"/>
  <c r="E797" i="2"/>
  <c r="E830" i="2"/>
  <c r="E861" i="2"/>
  <c r="E893" i="2"/>
  <c r="E926" i="2"/>
  <c r="E957" i="2"/>
  <c r="E989" i="2"/>
  <c r="D1000" i="2"/>
  <c r="D988" i="2"/>
  <c r="D976" i="2"/>
  <c r="D964" i="2"/>
  <c r="D952" i="2"/>
  <c r="D940" i="2"/>
  <c r="D928" i="2"/>
  <c r="D916" i="2"/>
  <c r="D904" i="2"/>
  <c r="D892" i="2"/>
  <c r="D880" i="2"/>
  <c r="D868" i="2"/>
  <c r="D856" i="2"/>
  <c r="D844" i="2"/>
  <c r="D832" i="2"/>
  <c r="D820" i="2"/>
  <c r="D808" i="2"/>
  <c r="D796" i="2"/>
  <c r="D784" i="2"/>
  <c r="D772" i="2"/>
  <c r="D760" i="2"/>
  <c r="D748" i="2"/>
  <c r="D736" i="2"/>
  <c r="D724" i="2"/>
  <c r="D712" i="2"/>
  <c r="D700" i="2"/>
  <c r="D688" i="2"/>
  <c r="D676" i="2"/>
  <c r="D664" i="2"/>
  <c r="D652" i="2"/>
  <c r="D640" i="2"/>
  <c r="D628" i="2"/>
  <c r="D616" i="2"/>
  <c r="D604" i="2"/>
  <c r="D592" i="2"/>
  <c r="D580" i="2"/>
  <c r="D568" i="2"/>
  <c r="D556" i="2"/>
  <c r="D544" i="2"/>
  <c r="D532" i="2"/>
  <c r="D520" i="2"/>
  <c r="D508" i="2"/>
  <c r="D496" i="2"/>
  <c r="D484" i="2"/>
  <c r="D472" i="2"/>
  <c r="D460" i="2"/>
  <c r="D448" i="2"/>
  <c r="D436" i="2"/>
  <c r="D424" i="2"/>
  <c r="D412" i="2"/>
  <c r="D400" i="2"/>
  <c r="D388" i="2"/>
  <c r="D376" i="2"/>
  <c r="D364" i="2"/>
  <c r="D352" i="2"/>
  <c r="D340" i="2"/>
  <c r="D328" i="2"/>
  <c r="D316" i="2"/>
  <c r="D304" i="2"/>
  <c r="D292" i="2"/>
  <c r="D280" i="2"/>
  <c r="D268" i="2"/>
  <c r="D256" i="2"/>
  <c r="D244" i="2"/>
  <c r="D232" i="2"/>
  <c r="D220" i="2"/>
  <c r="D208" i="2"/>
  <c r="D196" i="2"/>
  <c r="D184" i="2"/>
  <c r="D172" i="2"/>
  <c r="D160" i="2"/>
  <c r="D148" i="2"/>
  <c r="D136" i="2"/>
  <c r="D999" i="2"/>
  <c r="D987" i="2"/>
  <c r="D975" i="2"/>
  <c r="D963" i="2"/>
  <c r="D951" i="2"/>
  <c r="D939" i="2"/>
  <c r="D927" i="2"/>
  <c r="D915" i="2"/>
  <c r="D903" i="2"/>
  <c r="D891" i="2"/>
  <c r="D879" i="2"/>
  <c r="D867" i="2"/>
  <c r="D855" i="2"/>
  <c r="D843" i="2"/>
  <c r="D831" i="2"/>
  <c r="D819" i="2"/>
  <c r="D807" i="2"/>
  <c r="D795" i="2"/>
  <c r="D783" i="2"/>
  <c r="D771" i="2"/>
  <c r="D759" i="2"/>
  <c r="D747" i="2"/>
  <c r="D735" i="2"/>
  <c r="D723" i="2"/>
  <c r="D711" i="2"/>
  <c r="D699" i="2"/>
  <c r="D687" i="2"/>
  <c r="D675" i="2"/>
  <c r="D663" i="2"/>
  <c r="D651" i="2"/>
  <c r="D639" i="2"/>
  <c r="D627" i="2"/>
  <c r="D615" i="2"/>
  <c r="D603" i="2"/>
  <c r="D591" i="2"/>
  <c r="D579" i="2"/>
  <c r="D567" i="2"/>
  <c r="D555" i="2"/>
  <c r="D543" i="2"/>
  <c r="D531" i="2"/>
  <c r="D519" i="2"/>
  <c r="D507" i="2"/>
  <c r="D495" i="2"/>
  <c r="D483" i="2"/>
  <c r="D471" i="2"/>
  <c r="D459" i="2"/>
  <c r="D447" i="2"/>
  <c r="D435" i="2"/>
  <c r="D423" i="2"/>
  <c r="D411" i="2"/>
  <c r="D399" i="2"/>
  <c r="D387" i="2"/>
  <c r="D375" i="2"/>
  <c r="D363" i="2"/>
  <c r="D351" i="2"/>
  <c r="D339" i="2"/>
  <c r="D327" i="2"/>
  <c r="D315" i="2"/>
  <c r="D303" i="2"/>
  <c r="D291" i="2"/>
  <c r="D279" i="2"/>
  <c r="D267" i="2"/>
  <c r="D255" i="2"/>
  <c r="D243" i="2"/>
  <c r="D231" i="2"/>
  <c r="D219" i="2"/>
  <c r="D207" i="2"/>
  <c r="D195" i="2"/>
  <c r="D183" i="2"/>
  <c r="D171" i="2"/>
  <c r="D159" i="2"/>
  <c r="D147" i="2"/>
  <c r="D135" i="2"/>
  <c r="D993" i="2"/>
  <c r="D979" i="2"/>
  <c r="D965" i="2"/>
  <c r="D949" i="2"/>
  <c r="D935" i="2"/>
  <c r="D921" i="2"/>
  <c r="D907" i="2"/>
  <c r="D893" i="2"/>
  <c r="D877" i="2"/>
  <c r="D863" i="2"/>
  <c r="D849" i="2"/>
  <c r="D835" i="2"/>
  <c r="D821" i="2"/>
  <c r="D805" i="2"/>
  <c r="D992" i="2"/>
  <c r="D978" i="2"/>
  <c r="D962" i="2"/>
  <c r="D948" i="2"/>
  <c r="D934" i="2"/>
  <c r="D920" i="2"/>
  <c r="D991" i="2"/>
  <c r="D977" i="2"/>
  <c r="D961" i="2"/>
  <c r="D947" i="2"/>
  <c r="D933" i="2"/>
  <c r="D919" i="2"/>
  <c r="D905" i="2"/>
  <c r="D889" i="2"/>
  <c r="D875" i="2"/>
  <c r="D861" i="2"/>
  <c r="D847" i="2"/>
  <c r="D833" i="2"/>
  <c r="D817" i="2"/>
  <c r="D803" i="2"/>
  <c r="D789" i="2"/>
  <c r="D775" i="2"/>
  <c r="D761" i="2"/>
  <c r="D745" i="2"/>
  <c r="D731" i="2"/>
  <c r="D717" i="2"/>
  <c r="D703" i="2"/>
  <c r="D689" i="2"/>
  <c r="D673" i="2"/>
  <c r="D659" i="2"/>
  <c r="D645" i="2"/>
  <c r="D631" i="2"/>
  <c r="D617" i="2"/>
  <c r="D989" i="2"/>
  <c r="D973" i="2"/>
  <c r="D959" i="2"/>
  <c r="D945" i="2"/>
  <c r="D931" i="2"/>
  <c r="D917" i="2"/>
  <c r="D901" i="2"/>
  <c r="D887" i="2"/>
  <c r="D873" i="2"/>
  <c r="D859" i="2"/>
  <c r="D845" i="2"/>
  <c r="D829" i="2"/>
  <c r="D815" i="2"/>
  <c r="D801" i="2"/>
  <c r="D787" i="2"/>
  <c r="D773" i="2"/>
  <c r="D757" i="2"/>
  <c r="D743" i="2"/>
  <c r="D729" i="2"/>
  <c r="D715" i="2"/>
  <c r="D701" i="2"/>
  <c r="D685" i="2"/>
  <c r="D671" i="2"/>
  <c r="D657" i="2"/>
  <c r="D643" i="2"/>
  <c r="D629" i="2"/>
  <c r="D613" i="2"/>
  <c r="D599" i="2"/>
  <c r="D585" i="2"/>
  <c r="D571" i="2"/>
  <c r="D14" i="2"/>
  <c r="D26" i="2"/>
  <c r="D38" i="2"/>
  <c r="D50" i="2"/>
  <c r="D62" i="2"/>
  <c r="D74" i="2"/>
  <c r="D86" i="2"/>
  <c r="D98" i="2"/>
  <c r="D110" i="2"/>
  <c r="D122" i="2"/>
  <c r="D134" i="2"/>
  <c r="D150" i="2"/>
  <c r="D164" i="2"/>
  <c r="D178" i="2"/>
  <c r="D192" i="2"/>
  <c r="D206" i="2"/>
  <c r="D222" i="2"/>
  <c r="D236" i="2"/>
  <c r="D250" i="2"/>
  <c r="D264" i="2"/>
  <c r="D278" i="2"/>
  <c r="D294" i="2"/>
  <c r="D308" i="2"/>
  <c r="D322" i="2"/>
  <c r="D336" i="2"/>
  <c r="D350" i="2"/>
  <c r="D366" i="2"/>
  <c r="D380" i="2"/>
  <c r="D394" i="2"/>
  <c r="D408" i="2"/>
  <c r="D422" i="2"/>
  <c r="D438" i="2"/>
  <c r="D452" i="2"/>
  <c r="D466" i="2"/>
  <c r="D480" i="2"/>
  <c r="D494" i="2"/>
  <c r="D510" i="2"/>
  <c r="D524" i="2"/>
  <c r="D538" i="2"/>
  <c r="D552" i="2"/>
  <c r="D566" i="2"/>
  <c r="D583" i="2"/>
  <c r="D598" i="2"/>
  <c r="D614" i="2"/>
  <c r="D633" i="2"/>
  <c r="D649" i="2"/>
  <c r="D667" i="2"/>
  <c r="D683" i="2"/>
  <c r="D702" i="2"/>
  <c r="D719" i="2"/>
  <c r="D737" i="2"/>
  <c r="D753" i="2"/>
  <c r="D769" i="2"/>
  <c r="D788" i="2"/>
  <c r="D806" i="2"/>
  <c r="D825" i="2"/>
  <c r="D842" i="2"/>
  <c r="D864" i="2"/>
  <c r="D883" i="2"/>
  <c r="D900" i="2"/>
  <c r="D923" i="2"/>
  <c r="D943" i="2"/>
  <c r="D967" i="2"/>
  <c r="D985" i="2"/>
  <c r="E9" i="2"/>
  <c r="E29" i="2"/>
  <c r="E53" i="2"/>
  <c r="E73" i="2"/>
  <c r="E97" i="2"/>
  <c r="E115" i="2"/>
  <c r="E139" i="2"/>
  <c r="E159" i="2"/>
  <c r="E183" i="2"/>
  <c r="E201" i="2"/>
  <c r="E225" i="2"/>
  <c r="E245" i="2"/>
  <c r="E269" i="2"/>
  <c r="E289" i="2"/>
  <c r="E313" i="2"/>
  <c r="E331" i="2"/>
  <c r="E355" i="2"/>
  <c r="E376" i="2"/>
  <c r="E401" i="2"/>
  <c r="E427" i="2"/>
  <c r="E450" i="2"/>
  <c r="E477" i="2"/>
  <c r="E507" i="2"/>
  <c r="E535" i="2"/>
  <c r="E559" i="2"/>
  <c r="E589" i="2"/>
  <c r="E617" i="2"/>
  <c r="E642" i="2"/>
  <c r="E675" i="2"/>
  <c r="E706" i="2"/>
  <c r="E738" i="2"/>
  <c r="E771" i="2"/>
  <c r="E802" i="2"/>
  <c r="E834" i="2"/>
  <c r="E867" i="2"/>
  <c r="E898" i="2"/>
  <c r="E930" i="2"/>
  <c r="E963" i="2"/>
  <c r="E994" i="2"/>
  <c r="D4" i="2"/>
  <c r="D16" i="2"/>
  <c r="D28" i="2"/>
  <c r="D40" i="2"/>
  <c r="D52" i="2"/>
  <c r="D64" i="2"/>
  <c r="D76" i="2"/>
  <c r="D88" i="2"/>
  <c r="D100" i="2"/>
  <c r="D112" i="2"/>
  <c r="D124" i="2"/>
  <c r="D138" i="2"/>
  <c r="D152" i="2"/>
  <c r="D166" i="2"/>
  <c r="D180" i="2"/>
  <c r="D194" i="2"/>
  <c r="D210" i="2"/>
  <c r="D224" i="2"/>
  <c r="D238" i="2"/>
  <c r="D252" i="2"/>
  <c r="D266" i="2"/>
  <c r="D282" i="2"/>
  <c r="D296" i="2"/>
  <c r="D310" i="2"/>
  <c r="D324" i="2"/>
  <c r="D338" i="2"/>
  <c r="D354" i="2"/>
  <c r="D368" i="2"/>
  <c r="D382" i="2"/>
  <c r="D396" i="2"/>
  <c r="D410" i="2"/>
  <c r="D426" i="2"/>
  <c r="D440" i="2"/>
  <c r="D454" i="2"/>
  <c r="D468" i="2"/>
  <c r="D482" i="2"/>
  <c r="D498" i="2"/>
  <c r="D512" i="2"/>
  <c r="D526" i="2"/>
  <c r="D540" i="2"/>
  <c r="D554" i="2"/>
  <c r="D570" i="2"/>
  <c r="D586" i="2"/>
  <c r="D601" i="2"/>
  <c r="D619" i="2"/>
  <c r="D635" i="2"/>
  <c r="D653" i="2"/>
  <c r="D669" i="2"/>
  <c r="D686" i="2"/>
  <c r="D705" i="2"/>
  <c r="D721" i="2"/>
  <c r="D739" i="2"/>
  <c r="D755" i="2"/>
  <c r="D774" i="2"/>
  <c r="D791" i="2"/>
  <c r="D810" i="2"/>
  <c r="D827" i="2"/>
  <c r="D848" i="2"/>
  <c r="D866" i="2"/>
  <c r="D885" i="2"/>
  <c r="D906" i="2"/>
  <c r="D925" i="2"/>
  <c r="D946" i="2"/>
  <c r="D969" i="2"/>
  <c r="D990" i="2"/>
  <c r="E13" i="2"/>
  <c r="E32" i="2"/>
  <c r="E55" i="2"/>
  <c r="E76" i="2"/>
  <c r="E99" i="2"/>
  <c r="E118" i="2"/>
  <c r="E141" i="2"/>
  <c r="E162" i="2"/>
  <c r="E185" i="2"/>
  <c r="E206" i="2"/>
  <c r="E229" i="2"/>
  <c r="E248" i="2"/>
  <c r="E271" i="2"/>
  <c r="E292" i="2"/>
  <c r="E315" i="2"/>
  <c r="E334" i="2"/>
  <c r="E357" i="2"/>
  <c r="E382" i="2"/>
  <c r="E404" i="2"/>
  <c r="E429" i="2"/>
  <c r="E458" i="2"/>
  <c r="E483" i="2"/>
  <c r="E509" i="2"/>
  <c r="E538" i="2"/>
  <c r="E568" i="2"/>
  <c r="E592" i="2"/>
  <c r="E619" i="2"/>
  <c r="E650" i="2"/>
  <c r="E681" i="2"/>
  <c r="E713" i="2"/>
  <c r="E746" i="2"/>
  <c r="E777" i="2"/>
  <c r="E809" i="2"/>
  <c r="E842" i="2"/>
  <c r="E873" i="2"/>
  <c r="E905" i="2"/>
  <c r="E938" i="2"/>
  <c r="E969" i="2"/>
  <c r="S2" i="2" l="1"/>
  <c r="C2" i="2" s="1" a="1"/>
  <c r="C2" i="2" s="1"/>
  <c r="G2" i="2" a="1"/>
  <c r="G2" i="2" s="1"/>
  <c r="A1" i="5" l="1" a="1"/>
  <c r="A1" i="5" l="1"/>
  <c r="A1" i="6" a="1"/>
  <c r="A1" i="6" l="1"/>
  <c r="V5" i="6"/>
  <c r="O1" i="6" a="1"/>
  <c r="O1" i="6" s="1"/>
  <c r="Q1" i="6" s="1" a="1"/>
  <c r="Q1" i="6" l="1"/>
  <c r="T6" i="6"/>
  <c r="T18" i="6"/>
  <c r="A2" i="7" a="1"/>
  <c r="A2" i="7" s="1"/>
  <c r="T8" i="6"/>
  <c r="T20" i="6"/>
  <c r="V4" i="6"/>
  <c r="T9" i="6"/>
  <c r="T21" i="6"/>
  <c r="T10" i="6"/>
  <c r="T22" i="6"/>
  <c r="T14" i="6"/>
  <c r="T26" i="6"/>
  <c r="T11" i="6"/>
  <c r="T23" i="6"/>
  <c r="T12" i="6"/>
  <c r="T24" i="6"/>
  <c r="T13" i="6"/>
  <c r="T25" i="6"/>
  <c r="T3" i="6"/>
  <c r="T15" i="6"/>
  <c r="T4" i="6"/>
  <c r="T16" i="6"/>
  <c r="T5" i="6"/>
  <c r="T17" i="6"/>
  <c r="T2" i="6"/>
  <c r="T7" i="6"/>
  <c r="T19" i="6"/>
  <c r="V3" i="6" l="1"/>
  <c r="V2" i="6" a="1"/>
  <c r="V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<sst xmlns="http://schemas.openxmlformats.org/spreadsheetml/2006/main" count="23" uniqueCount="23">
  <si>
    <t>Job Order Number</t>
  </si>
  <si>
    <t>Customer PO</t>
  </si>
  <si>
    <t>Name</t>
  </si>
  <si>
    <t>SO Order Number</t>
  </si>
  <si>
    <t>Truck Ship Date</t>
  </si>
  <si>
    <t>SO Line Item</t>
  </si>
  <si>
    <t>Description</t>
  </si>
  <si>
    <t>Order Qty</t>
  </si>
  <si>
    <t>Delivered Qty</t>
  </si>
  <si>
    <t>BO Qty</t>
  </si>
  <si>
    <t>Floor ID</t>
  </si>
  <si>
    <t>Component Ordered</t>
  </si>
  <si>
    <t>Barcode</t>
  </si>
  <si>
    <t>Description Helper</t>
  </si>
  <si>
    <t>Fixing Customer Names</t>
  </si>
  <si>
    <t xml:space="preserve"> RAW NAMES</t>
  </si>
  <si>
    <t>Extract 2 Words</t>
  </si>
  <si>
    <t>Pallets Count</t>
  </si>
  <si>
    <t>Totals:</t>
  </si>
  <si>
    <t>Pallets:</t>
  </si>
  <si>
    <t>Misc Windows:</t>
  </si>
  <si>
    <t>Over Size Total:</t>
  </si>
  <si>
    <t>Total Windows: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</si>
</sst>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&quot;Arial Unicode&quot;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&quot;Arial Unicode&quot;"/>
    </font>
    <font>
      <sz val="10"/>
      <color theme="1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7" tint="0.79998168889431442"/>
      <name val="Arial"/>
      <family val="2"/>
      <scheme val="minor"/>
    </font>
    <font>
      <b/>
      <sz val="14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3" fillId="3" borderId="0" xfId="0" applyNumberFormat="1" applyFont="1" applyFill="1"/>
    <xf numFmtId="49" fontId="4" fillId="2" borderId="1" xfId="0" applyNumberFormat="1" applyFont="1" applyFill="1" applyBorder="1" applyAlignment="1">
      <alignment horizontal="right" vertical="top"/>
    </xf>
    <xf numFmtId="49" fontId="4" fillId="2" borderId="1" xfId="0" applyNumberFormat="1" applyFont="1" applyFill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/>
    </xf>
    <xf numFmtId="0" fontId="3" fillId="4" borderId="0" xfId="0" applyFont="1" applyFill="1"/>
    <xf numFmtId="0" fontId="3" fillId="0" borderId="0" xfId="0" applyFont="1"/>
    <xf numFmtId="14" fontId="3" fillId="0" borderId="0" xfId="0" applyNumberFormat="1" applyFont="1"/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  <xf numFmtId="0" fontId="6" fillId="0" borderId="0" xfId="0" quotePrefix="1" applyFont="1" applyAlignment="1">
      <alignment wrapText="1"/>
    </xf>
    <xf numFmtId="49" fontId="4" fillId="2" borderId="3" xfId="0" applyNumberFormat="1" applyFont="1" applyFill="1" applyBorder="1" applyAlignment="1">
      <alignment horizontal="right" vertical="top"/>
    </xf>
    <xf numFmtId="49" fontId="4" fillId="2" borderId="3" xfId="0" applyNumberFormat="1" applyFont="1" applyFill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2" borderId="2" xfId="0" applyNumberFormat="1" applyFont="1" applyFill="1" applyBorder="1"/>
    <xf numFmtId="49" fontId="3" fillId="0" borderId="2" xfId="0" applyNumberFormat="1" applyFont="1" applyBorder="1"/>
    <xf numFmtId="49" fontId="0" fillId="0" borderId="2" xfId="0" applyNumberFormat="1" applyBorder="1"/>
    <xf numFmtId="0" fontId="7" fillId="5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8" fillId="7" borderId="0" xfId="0" applyFont="1" applyFill="1" applyAlignment="1">
      <alignment wrapText="1"/>
    </xf>
    <xf numFmtId="0" fontId="8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8" fillId="8" borderId="0" xfId="0" applyFont="1" applyFill="1"/>
    <xf numFmtId="0" fontId="8" fillId="8" borderId="0" xfId="0" applyFont="1" applyFill="1" applyAlignment="1">
      <alignment wrapText="1"/>
    </xf>
    <xf numFmtId="0" fontId="8" fillId="8" borderId="6" xfId="0" applyFont="1" applyFill="1" applyBorder="1" applyAlignment="1">
      <alignment wrapText="1"/>
    </xf>
    <xf numFmtId="0" fontId="11" fillId="8" borderId="7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2" fillId="9" borderId="0" xfId="0" applyFont="1" applyFill="1" applyAlignment="1">
      <alignment horizont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8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F23" sqref="F22:F23"/>
    </sheetView>
  </sheetViews>
  <sheetFormatPr defaultColWidth="12.5703125" defaultRowHeight="15.75" customHeight="1"/>
  <cols>
    <col min="1" max="3" width="12.5703125" style="18"/>
    <col min="4" max="4" width="18.7109375" style="18" customWidth="1"/>
    <col min="5" max="5" width="12.5703125" style="18"/>
    <col min="6" max="6" width="30.42578125" style="18" customWidth="1"/>
    <col min="7" max="7" width="16.42578125" style="18" customWidth="1"/>
    <col min="8" max="11" width="12.5703125" style="18"/>
    <col min="12" max="12" width="21" style="18" customWidth="1"/>
    <col min="13" max="13" width="32.42578125" style="18" customWidth="1"/>
    <col min="14" max="14" width="12.5703125" style="18"/>
    <col min="15" max="15" width="48.42578125" style="18" customWidth="1"/>
    <col min="16" max="20" width="12.5703125" style="18"/>
    <col min="21" max="21" width="39.7109375" style="18" customWidth="1"/>
    <col min="22" max="23" width="12.5703125" style="18"/>
    <col min="24" max="24" width="33.85546875" style="18" customWidth="1"/>
    <col min="25" max="25" width="12.5703125" style="18"/>
  </cols>
  <sheetData>
    <row r="1" spans="1:26" ht="12.75">
      <c r="A1" s="1"/>
      <c r="B1" s="1"/>
      <c r="C1" s="1"/>
      <c r="D1" s="2"/>
      <c r="E1" s="2"/>
      <c r="F1" s="2"/>
      <c r="G1" s="3"/>
      <c r="H1" s="1"/>
      <c r="I1" s="2"/>
      <c r="J1" s="1"/>
      <c r="K1" s="1"/>
      <c r="L1" s="2"/>
      <c r="M1" s="1"/>
      <c r="N1" s="1"/>
      <c r="O1" s="2"/>
      <c r="P1" s="2"/>
      <c r="Q1" s="2"/>
      <c r="R1" s="2"/>
      <c r="S1" s="1"/>
      <c r="T1" s="2"/>
      <c r="U1" s="2"/>
      <c r="V1" s="1"/>
      <c r="W1" s="1"/>
      <c r="X1" s="2"/>
      <c r="Y1" s="1"/>
      <c r="Z1" s="4"/>
    </row>
    <row r="2" spans="1:26" ht="12.75">
      <c r="A2" s="5"/>
      <c r="B2" s="5"/>
      <c r="C2" s="6"/>
      <c r="D2" s="7"/>
      <c r="E2" s="8"/>
      <c r="F2" s="9"/>
      <c r="G2" s="8"/>
      <c r="H2" s="6"/>
      <c r="I2" s="8"/>
      <c r="J2" s="5"/>
      <c r="K2" s="5"/>
      <c r="L2" s="8"/>
      <c r="M2" s="6"/>
      <c r="N2" s="6"/>
      <c r="O2" s="8"/>
      <c r="P2" s="7"/>
      <c r="Q2" s="7"/>
      <c r="R2" s="7"/>
      <c r="S2" s="6"/>
      <c r="T2" s="8"/>
      <c r="U2" s="8"/>
      <c r="V2" s="6"/>
      <c r="W2" s="5"/>
      <c r="X2" s="8"/>
      <c r="Y2" s="6"/>
      <c r="Z2" s="10"/>
    </row>
    <row r="3" spans="1:26" ht="12.75">
      <c r="A3" s="5"/>
      <c r="B3" s="5"/>
      <c r="C3" s="6"/>
      <c r="D3" s="7"/>
      <c r="E3" s="8"/>
      <c r="F3" s="8"/>
      <c r="G3" s="8"/>
      <c r="H3" s="6"/>
      <c r="I3" s="8"/>
      <c r="J3" s="5"/>
      <c r="K3" s="5"/>
      <c r="L3" s="8"/>
      <c r="M3" s="6"/>
      <c r="N3" s="6"/>
      <c r="O3" s="8"/>
      <c r="P3" s="7"/>
      <c r="Q3" s="7"/>
      <c r="R3" s="7"/>
      <c r="S3" s="6"/>
      <c r="T3" s="8"/>
      <c r="U3" s="8"/>
      <c r="V3" s="6"/>
      <c r="W3" s="5"/>
      <c r="X3" s="8"/>
      <c r="Y3" s="6"/>
      <c r="Z3" s="10"/>
    </row>
    <row r="4" spans="1:26" ht="12.75">
      <c r="A4" s="5"/>
      <c r="B4" s="5"/>
      <c r="C4" s="6"/>
      <c r="D4" s="7"/>
      <c r="E4" s="8"/>
      <c r="F4" s="8"/>
      <c r="G4" s="8"/>
      <c r="H4" s="6"/>
      <c r="I4" s="8"/>
      <c r="J4" s="5"/>
      <c r="K4" s="5"/>
      <c r="L4" s="8"/>
      <c r="M4" s="6"/>
      <c r="N4" s="6"/>
      <c r="O4" s="8"/>
      <c r="P4" s="7"/>
      <c r="Q4" s="7"/>
      <c r="R4" s="7"/>
      <c r="S4" s="6"/>
      <c r="T4" s="8"/>
      <c r="U4" s="8"/>
      <c r="V4" s="6"/>
      <c r="W4" s="5"/>
      <c r="X4" s="8"/>
      <c r="Y4" s="6"/>
      <c r="Z4" s="10"/>
    </row>
    <row r="5" spans="1:26" ht="12.75">
      <c r="A5" s="5"/>
      <c r="B5" s="5"/>
      <c r="C5" s="6"/>
      <c r="D5" s="7"/>
      <c r="E5" s="8"/>
      <c r="F5" s="8"/>
      <c r="G5" s="8"/>
      <c r="H5" s="6"/>
      <c r="I5" s="8"/>
      <c r="J5" s="5"/>
      <c r="K5" s="5"/>
      <c r="L5" s="8"/>
      <c r="M5" s="6"/>
      <c r="N5" s="6"/>
      <c r="O5" s="8"/>
      <c r="P5" s="7"/>
      <c r="Q5" s="7"/>
      <c r="R5" s="7"/>
      <c r="S5" s="6"/>
      <c r="T5" s="8"/>
      <c r="U5" s="8"/>
      <c r="V5" s="6"/>
      <c r="W5" s="5"/>
      <c r="X5" s="8"/>
      <c r="Y5" s="6"/>
      <c r="Z5" s="10"/>
    </row>
    <row r="6" spans="1:26" ht="12.75">
      <c r="A6" s="5"/>
      <c r="B6" s="5"/>
      <c r="C6" s="6"/>
      <c r="D6" s="7"/>
      <c r="E6" s="8"/>
      <c r="F6" s="8"/>
      <c r="G6" s="8"/>
      <c r="H6" s="6"/>
      <c r="I6" s="8"/>
      <c r="J6" s="5"/>
      <c r="K6" s="5"/>
      <c r="L6" s="8"/>
      <c r="M6" s="6"/>
      <c r="N6" s="6"/>
      <c r="O6" s="8"/>
      <c r="P6" s="7"/>
      <c r="Q6" s="7"/>
      <c r="R6" s="7"/>
      <c r="S6" s="6"/>
      <c r="T6" s="8"/>
      <c r="U6" s="8"/>
      <c r="V6" s="6"/>
      <c r="W6" s="5"/>
      <c r="X6" s="8"/>
      <c r="Y6" s="6"/>
      <c r="Z6" s="10"/>
    </row>
    <row r="7" spans="1:26" ht="12.75">
      <c r="A7" s="5"/>
      <c r="B7" s="5"/>
      <c r="C7" s="6"/>
      <c r="D7" s="7"/>
      <c r="E7" s="8"/>
      <c r="F7" s="8"/>
      <c r="G7" s="8"/>
      <c r="H7" s="6"/>
      <c r="I7" s="8"/>
      <c r="J7" s="5"/>
      <c r="K7" s="5"/>
      <c r="L7" s="8"/>
      <c r="M7" s="6"/>
      <c r="N7" s="6"/>
      <c r="O7" s="8"/>
      <c r="P7" s="7"/>
      <c r="Q7" s="7"/>
      <c r="R7" s="7"/>
      <c r="S7" s="6"/>
      <c r="T7" s="8"/>
      <c r="U7" s="8"/>
      <c r="V7" s="6"/>
      <c r="W7" s="5"/>
      <c r="X7" s="8"/>
      <c r="Y7" s="6"/>
      <c r="Z7" s="10"/>
    </row>
    <row r="8" spans="1:26" ht="12.75">
      <c r="A8" s="5"/>
      <c r="B8" s="5"/>
      <c r="C8" s="6"/>
      <c r="D8" s="7"/>
      <c r="E8" s="8"/>
      <c r="F8" s="8"/>
      <c r="G8" s="8"/>
      <c r="H8" s="6"/>
      <c r="I8" s="8"/>
      <c r="J8" s="5"/>
      <c r="K8" s="5"/>
      <c r="L8" s="8"/>
      <c r="M8" s="6"/>
      <c r="N8" s="6"/>
      <c r="O8" s="8"/>
      <c r="P8" s="7"/>
      <c r="Q8" s="7"/>
      <c r="R8" s="7"/>
      <c r="S8" s="6"/>
      <c r="T8" s="8"/>
      <c r="U8" s="8"/>
      <c r="V8" s="6"/>
      <c r="W8" s="5"/>
      <c r="X8" s="8"/>
      <c r="Y8" s="6"/>
      <c r="Z8" s="10"/>
    </row>
    <row r="9" spans="1:26" ht="12.75">
      <c r="A9" s="5"/>
      <c r="B9" s="5"/>
      <c r="C9" s="6"/>
      <c r="D9" s="7"/>
      <c r="E9" s="8"/>
      <c r="F9" s="8"/>
      <c r="G9" s="8"/>
      <c r="H9" s="6"/>
      <c r="I9" s="8"/>
      <c r="J9" s="5"/>
      <c r="K9" s="5"/>
      <c r="L9" s="8"/>
      <c r="M9" s="6"/>
      <c r="N9" s="6"/>
      <c r="O9" s="8"/>
      <c r="P9" s="7"/>
      <c r="Q9" s="7"/>
      <c r="R9" s="7"/>
      <c r="S9" s="6"/>
      <c r="T9" s="8"/>
      <c r="U9" s="8"/>
      <c r="V9" s="6"/>
      <c r="W9" s="5"/>
      <c r="X9" s="8"/>
      <c r="Y9" s="6"/>
      <c r="Z9" s="10"/>
    </row>
    <row r="10" spans="1:26" ht="12.75">
      <c r="A10" s="5"/>
      <c r="B10" s="5"/>
      <c r="C10" s="6"/>
      <c r="D10" s="7"/>
      <c r="E10" s="8"/>
      <c r="F10" s="8"/>
      <c r="G10" s="8"/>
      <c r="H10" s="6"/>
      <c r="I10" s="8"/>
      <c r="J10" s="5"/>
      <c r="K10" s="5"/>
      <c r="L10" s="8"/>
      <c r="M10" s="6"/>
      <c r="N10" s="6"/>
      <c r="O10" s="8"/>
      <c r="P10" s="7"/>
      <c r="Q10" s="7"/>
      <c r="R10" s="7"/>
      <c r="S10" s="6"/>
      <c r="T10" s="8"/>
      <c r="U10" s="8"/>
      <c r="V10" s="6"/>
      <c r="W10" s="5"/>
      <c r="X10" s="8"/>
      <c r="Y10" s="6"/>
      <c r="Z10" s="10"/>
    </row>
    <row r="11" spans="1:26" ht="12.75">
      <c r="A11" s="5"/>
      <c r="B11" s="5"/>
      <c r="C11" s="6"/>
      <c r="D11" s="7"/>
      <c r="E11" s="8"/>
      <c r="F11" s="8"/>
      <c r="G11" s="8"/>
      <c r="H11" s="6"/>
      <c r="I11" s="8"/>
      <c r="J11" s="5"/>
      <c r="K11" s="5"/>
      <c r="L11" s="8"/>
      <c r="M11" s="6"/>
      <c r="N11" s="6"/>
      <c r="O11" s="8"/>
      <c r="P11" s="7"/>
      <c r="Q11" s="7"/>
      <c r="R11" s="7"/>
      <c r="S11" s="6"/>
      <c r="T11" s="8"/>
      <c r="U11" s="8"/>
      <c r="V11" s="6"/>
      <c r="W11" s="5"/>
      <c r="X11" s="8"/>
      <c r="Y11" s="6"/>
      <c r="Z11" s="10"/>
    </row>
    <row r="12" spans="1:26" ht="12.75">
      <c r="A12" s="5"/>
      <c r="B12" s="5"/>
      <c r="C12" s="6"/>
      <c r="D12" s="7"/>
      <c r="E12" s="8"/>
      <c r="F12" s="8"/>
      <c r="G12" s="8"/>
      <c r="H12" s="6"/>
      <c r="I12" s="8"/>
      <c r="J12" s="5"/>
      <c r="K12" s="5"/>
      <c r="L12" s="8"/>
      <c r="M12" s="6"/>
      <c r="N12" s="6"/>
      <c r="O12" s="8"/>
      <c r="P12" s="7"/>
      <c r="Q12" s="7"/>
      <c r="R12" s="7"/>
      <c r="S12" s="6"/>
      <c r="T12" s="8"/>
      <c r="U12" s="8"/>
      <c r="V12" s="6"/>
      <c r="W12" s="5"/>
      <c r="X12" s="8"/>
      <c r="Y12" s="6"/>
      <c r="Z12" s="10"/>
    </row>
    <row r="13" spans="1:26" ht="12.75">
      <c r="A13" s="5"/>
      <c r="B13" s="5"/>
      <c r="C13" s="6"/>
      <c r="D13" s="7"/>
      <c r="E13" s="8"/>
      <c r="F13" s="9"/>
      <c r="G13" s="8"/>
      <c r="H13" s="6"/>
      <c r="I13" s="8"/>
      <c r="J13" s="5"/>
      <c r="K13" s="5"/>
      <c r="L13" s="8"/>
      <c r="M13" s="6"/>
      <c r="N13" s="6"/>
      <c r="O13" s="8"/>
      <c r="P13" s="7"/>
      <c r="Q13" s="7"/>
      <c r="R13" s="7"/>
      <c r="S13" s="6"/>
      <c r="T13" s="8"/>
      <c r="U13" s="8"/>
      <c r="V13" s="6"/>
      <c r="W13" s="5"/>
      <c r="X13" s="8"/>
      <c r="Y13" s="6"/>
      <c r="Z13" s="10"/>
    </row>
    <row r="14" spans="1:26" ht="12.75">
      <c r="A14" s="5"/>
      <c r="B14" s="5"/>
      <c r="C14" s="6"/>
      <c r="D14" s="7"/>
      <c r="E14" s="8"/>
      <c r="F14" s="8"/>
      <c r="G14" s="8"/>
      <c r="H14" s="6"/>
      <c r="I14" s="8"/>
      <c r="J14" s="5"/>
      <c r="K14" s="5"/>
      <c r="L14" s="8"/>
      <c r="M14" s="6"/>
      <c r="N14" s="6"/>
      <c r="O14" s="8"/>
      <c r="P14" s="7"/>
      <c r="Q14" s="7"/>
      <c r="R14" s="7"/>
      <c r="S14" s="6"/>
      <c r="T14" s="8"/>
      <c r="U14" s="8"/>
      <c r="V14" s="6"/>
      <c r="W14" s="5"/>
      <c r="X14" s="8"/>
      <c r="Y14" s="6"/>
      <c r="Z14" s="10"/>
    </row>
    <row r="15" spans="1:26" ht="12.75">
      <c r="A15" s="5"/>
      <c r="B15" s="5"/>
      <c r="C15" s="6"/>
      <c r="D15" s="7"/>
      <c r="E15" s="8"/>
      <c r="F15" s="8"/>
      <c r="G15" s="8"/>
      <c r="H15" s="6"/>
      <c r="I15" s="8"/>
      <c r="J15" s="5"/>
      <c r="K15" s="5"/>
      <c r="L15" s="8"/>
      <c r="M15" s="6"/>
      <c r="N15" s="6"/>
      <c r="O15" s="8"/>
      <c r="P15" s="7"/>
      <c r="Q15" s="7"/>
      <c r="R15" s="7"/>
      <c r="S15" s="6"/>
      <c r="T15" s="8"/>
      <c r="U15" s="8"/>
      <c r="V15" s="6"/>
      <c r="W15" s="5"/>
      <c r="X15" s="8"/>
      <c r="Y15" s="6"/>
      <c r="Z15" s="10"/>
    </row>
    <row r="16" spans="1:26" ht="12.75">
      <c r="A16" s="5"/>
      <c r="B16" s="5"/>
      <c r="C16" s="6"/>
      <c r="D16" s="7"/>
      <c r="E16" s="8"/>
      <c r="F16" s="8"/>
      <c r="G16" s="8"/>
      <c r="H16" s="6"/>
      <c r="I16" s="8"/>
      <c r="J16" s="5"/>
      <c r="K16" s="5"/>
      <c r="L16" s="8"/>
      <c r="M16" s="6"/>
      <c r="N16" s="6"/>
      <c r="O16" s="8"/>
      <c r="P16" s="7"/>
      <c r="Q16" s="7"/>
      <c r="R16" s="7"/>
      <c r="S16" s="6"/>
      <c r="T16" s="8"/>
      <c r="U16" s="8"/>
      <c r="V16" s="6"/>
      <c r="W16" s="5"/>
      <c r="X16" s="8"/>
      <c r="Y16" s="6"/>
      <c r="Z16" s="10"/>
    </row>
    <row r="17" spans="1:26" ht="12.75">
      <c r="A17" s="5"/>
      <c r="B17" s="5"/>
      <c r="C17" s="6"/>
      <c r="D17" s="7"/>
      <c r="E17" s="8"/>
      <c r="F17" s="8"/>
      <c r="G17" s="8"/>
      <c r="H17" s="6"/>
      <c r="I17" s="8"/>
      <c r="J17" s="5"/>
      <c r="K17" s="5"/>
      <c r="L17" s="8"/>
      <c r="M17" s="6"/>
      <c r="N17" s="6"/>
      <c r="O17" s="8"/>
      <c r="P17" s="7"/>
      <c r="Q17" s="7"/>
      <c r="R17" s="7"/>
      <c r="S17" s="6"/>
      <c r="T17" s="8"/>
      <c r="U17" s="8"/>
      <c r="V17" s="6"/>
      <c r="W17" s="5"/>
      <c r="X17" s="8"/>
      <c r="Y17" s="6"/>
      <c r="Z17" s="10"/>
    </row>
    <row r="18" spans="1:26" ht="12.75">
      <c r="A18" s="5"/>
      <c r="B18" s="5"/>
      <c r="C18" s="6"/>
      <c r="D18" s="7"/>
      <c r="E18" s="8"/>
      <c r="F18" s="8"/>
      <c r="G18" s="8"/>
      <c r="H18" s="6"/>
      <c r="I18" s="8"/>
      <c r="J18" s="5"/>
      <c r="K18" s="5"/>
      <c r="L18" s="8"/>
      <c r="M18" s="6"/>
      <c r="N18" s="6"/>
      <c r="O18" s="8"/>
      <c r="P18" s="7"/>
      <c r="Q18" s="7"/>
      <c r="R18" s="7"/>
      <c r="S18" s="6"/>
      <c r="T18" s="8"/>
      <c r="U18" s="8"/>
      <c r="V18" s="6"/>
      <c r="W18" s="5"/>
      <c r="X18" s="8"/>
      <c r="Y18" s="6"/>
      <c r="Z18" s="10"/>
    </row>
    <row r="19" spans="1:26" ht="12.75">
      <c r="A19" s="5"/>
      <c r="B19" s="5"/>
      <c r="C19" s="6"/>
      <c r="D19" s="7"/>
      <c r="E19" s="8"/>
      <c r="F19" s="8"/>
      <c r="G19" s="8"/>
      <c r="H19" s="6"/>
      <c r="I19" s="8"/>
      <c r="J19" s="5"/>
      <c r="K19" s="5"/>
      <c r="L19" s="8"/>
      <c r="M19" s="6"/>
      <c r="N19" s="6"/>
      <c r="O19" s="8"/>
      <c r="P19" s="7"/>
      <c r="Q19" s="7"/>
      <c r="R19" s="7"/>
      <c r="S19" s="6"/>
      <c r="T19" s="8"/>
      <c r="U19" s="8"/>
      <c r="V19" s="6"/>
      <c r="W19" s="5"/>
      <c r="X19" s="8"/>
      <c r="Y19" s="6"/>
      <c r="Z19" s="10"/>
    </row>
    <row r="20" spans="1:26" ht="12.75">
      <c r="A20" s="5"/>
      <c r="B20" s="5"/>
      <c r="C20" s="6"/>
      <c r="D20" s="7"/>
      <c r="E20" s="8"/>
      <c r="F20" s="8"/>
      <c r="G20" s="8"/>
      <c r="H20" s="6"/>
      <c r="I20" s="8"/>
      <c r="J20" s="5"/>
      <c r="K20" s="5"/>
      <c r="L20" s="8"/>
      <c r="M20" s="6"/>
      <c r="N20" s="6"/>
      <c r="O20" s="8"/>
      <c r="P20" s="7"/>
      <c r="Q20" s="7"/>
      <c r="R20" s="7"/>
      <c r="S20" s="6"/>
      <c r="T20" s="8"/>
      <c r="U20" s="8"/>
      <c r="V20" s="6"/>
      <c r="W20" s="5"/>
      <c r="X20" s="8"/>
      <c r="Y20" s="6"/>
      <c r="Z20" s="10"/>
    </row>
    <row r="21" spans="1:26" ht="12.75">
      <c r="A21" s="5"/>
      <c r="B21" s="5"/>
      <c r="C21" s="6"/>
      <c r="D21" s="7"/>
      <c r="E21" s="8"/>
      <c r="F21" s="8"/>
      <c r="G21" s="8"/>
      <c r="H21" s="6"/>
      <c r="I21" s="8"/>
      <c r="J21" s="5"/>
      <c r="K21" s="5"/>
      <c r="L21" s="8"/>
      <c r="M21" s="6"/>
      <c r="N21" s="6"/>
      <c r="O21" s="8"/>
      <c r="P21" s="7"/>
      <c r="Q21" s="7"/>
      <c r="R21" s="7"/>
      <c r="S21" s="6"/>
      <c r="T21" s="8"/>
      <c r="U21" s="8"/>
      <c r="V21" s="6"/>
      <c r="W21" s="5"/>
      <c r="X21" s="8"/>
      <c r="Y21" s="6"/>
      <c r="Z21" s="10"/>
    </row>
    <row r="22" spans="1:26" ht="12.75">
      <c r="A22" s="5"/>
      <c r="B22" s="5"/>
      <c r="C22" s="6"/>
      <c r="D22" s="7"/>
      <c r="E22" s="8"/>
      <c r="F22" s="8"/>
      <c r="G22" s="8"/>
      <c r="H22" s="6"/>
      <c r="I22" s="8"/>
      <c r="J22" s="5"/>
      <c r="K22" s="5"/>
      <c r="L22" s="8"/>
      <c r="M22" s="6"/>
      <c r="N22" s="6"/>
      <c r="O22" s="8"/>
      <c r="P22" s="7"/>
      <c r="Q22" s="7"/>
      <c r="R22" s="7"/>
      <c r="S22" s="6"/>
      <c r="T22" s="8"/>
      <c r="U22" s="8"/>
      <c r="V22" s="6"/>
      <c r="W22" s="5"/>
      <c r="X22" s="8"/>
      <c r="Y22" s="6"/>
      <c r="Z22" s="10"/>
    </row>
    <row r="23" spans="1:26" ht="12.75">
      <c r="A23" s="5"/>
      <c r="B23" s="5"/>
      <c r="C23" s="6"/>
      <c r="D23" s="7"/>
      <c r="E23" s="8"/>
      <c r="F23" s="8"/>
      <c r="G23" s="8"/>
      <c r="H23" s="6"/>
      <c r="I23" s="8"/>
      <c r="J23" s="5"/>
      <c r="K23" s="5"/>
      <c r="L23" s="8"/>
      <c r="M23" s="6"/>
      <c r="N23" s="6"/>
      <c r="O23" s="8"/>
      <c r="P23" s="7"/>
      <c r="Q23" s="7"/>
      <c r="R23" s="7"/>
      <c r="S23" s="6"/>
      <c r="T23" s="8"/>
      <c r="U23" s="8"/>
      <c r="V23" s="6"/>
      <c r="W23" s="5"/>
      <c r="X23" s="8"/>
      <c r="Y23" s="6"/>
      <c r="Z23" s="10"/>
    </row>
    <row r="24" spans="1:26" ht="12.75">
      <c r="A24" s="5"/>
      <c r="B24" s="5"/>
      <c r="C24" s="6"/>
      <c r="D24" s="7"/>
      <c r="E24" s="8"/>
      <c r="F24" s="8"/>
      <c r="G24" s="8"/>
      <c r="H24" s="6"/>
      <c r="I24" s="8"/>
      <c r="J24" s="5"/>
      <c r="K24" s="5"/>
      <c r="L24" s="8"/>
      <c r="M24" s="6"/>
      <c r="N24" s="6"/>
      <c r="O24" s="8"/>
      <c r="P24" s="7"/>
      <c r="Q24" s="7"/>
      <c r="R24" s="7"/>
      <c r="S24" s="6"/>
      <c r="T24" s="8"/>
      <c r="U24" s="8"/>
      <c r="V24" s="6"/>
      <c r="W24" s="5"/>
      <c r="X24" s="8"/>
      <c r="Y24" s="6"/>
      <c r="Z24" s="10"/>
    </row>
    <row r="25" spans="1:26" ht="12.75">
      <c r="A25" s="5"/>
      <c r="B25" s="5"/>
      <c r="C25" s="6"/>
      <c r="D25" s="7"/>
      <c r="E25" s="8"/>
      <c r="F25" s="8"/>
      <c r="G25" s="8"/>
      <c r="H25" s="6"/>
      <c r="I25" s="8"/>
      <c r="J25" s="5"/>
      <c r="K25" s="5"/>
      <c r="L25" s="8"/>
      <c r="M25" s="6"/>
      <c r="N25" s="6"/>
      <c r="O25" s="8"/>
      <c r="P25" s="7"/>
      <c r="Q25" s="7"/>
      <c r="R25" s="7"/>
      <c r="S25" s="6"/>
      <c r="T25" s="8"/>
      <c r="U25" s="8"/>
      <c r="V25" s="6"/>
      <c r="W25" s="5"/>
      <c r="X25" s="8"/>
      <c r="Y25" s="6"/>
      <c r="Z25" s="10"/>
    </row>
    <row r="26" spans="1:26" ht="12.75">
      <c r="A26" s="5"/>
      <c r="B26" s="5"/>
      <c r="C26" s="6"/>
      <c r="D26" s="7"/>
      <c r="E26" s="8"/>
      <c r="F26" s="8"/>
      <c r="G26" s="8"/>
      <c r="H26" s="6"/>
      <c r="I26" s="8"/>
      <c r="J26" s="5"/>
      <c r="K26" s="5"/>
      <c r="L26" s="8"/>
      <c r="M26" s="6"/>
      <c r="N26" s="6"/>
      <c r="O26" s="8"/>
      <c r="P26" s="7"/>
      <c r="Q26" s="7"/>
      <c r="R26" s="7"/>
      <c r="S26" s="6"/>
      <c r="T26" s="8"/>
      <c r="U26" s="8"/>
      <c r="V26" s="6"/>
      <c r="W26" s="5"/>
      <c r="X26" s="8"/>
      <c r="Y26" s="6"/>
      <c r="Z26" s="10"/>
    </row>
    <row r="27" spans="1:26" ht="12.75">
      <c r="A27" s="5"/>
      <c r="B27" s="5"/>
      <c r="C27" s="6"/>
      <c r="D27" s="7"/>
      <c r="E27" s="8"/>
      <c r="F27" s="8"/>
      <c r="G27" s="8"/>
      <c r="H27" s="6"/>
      <c r="I27" s="8"/>
      <c r="J27" s="5"/>
      <c r="K27" s="5"/>
      <c r="L27" s="8"/>
      <c r="M27" s="6"/>
      <c r="N27" s="6"/>
      <c r="O27" s="8"/>
      <c r="P27" s="7"/>
      <c r="Q27" s="7"/>
      <c r="R27" s="7"/>
      <c r="S27" s="6"/>
      <c r="T27" s="8"/>
      <c r="U27" s="8"/>
      <c r="V27" s="6"/>
      <c r="W27" s="5"/>
      <c r="X27" s="8"/>
      <c r="Y27" s="6"/>
      <c r="Z27" s="10"/>
    </row>
    <row r="28" spans="1:26" ht="12.75">
      <c r="A28" s="5"/>
      <c r="B28" s="5"/>
      <c r="C28" s="6"/>
      <c r="D28" s="7"/>
      <c r="E28" s="8"/>
      <c r="F28" s="8"/>
      <c r="G28" s="8"/>
      <c r="H28" s="6"/>
      <c r="I28" s="8"/>
      <c r="J28" s="5"/>
      <c r="K28" s="5"/>
      <c r="L28" s="8"/>
      <c r="M28" s="6"/>
      <c r="N28" s="6"/>
      <c r="O28" s="8"/>
      <c r="P28" s="7"/>
      <c r="Q28" s="7"/>
      <c r="R28" s="7"/>
      <c r="S28" s="6"/>
      <c r="T28" s="8"/>
      <c r="U28" s="8"/>
      <c r="V28" s="6"/>
      <c r="W28" s="5"/>
      <c r="X28" s="8"/>
      <c r="Y28" s="6"/>
      <c r="Z28" s="10"/>
    </row>
    <row r="29" spans="1:26" ht="12.75">
      <c r="A29" s="5"/>
      <c r="B29" s="5"/>
      <c r="C29" s="6"/>
      <c r="D29" s="7"/>
      <c r="E29" s="8"/>
      <c r="F29" s="8"/>
      <c r="G29" s="8"/>
      <c r="H29" s="6"/>
      <c r="I29" s="8"/>
      <c r="J29" s="5"/>
      <c r="K29" s="5"/>
      <c r="L29" s="8"/>
      <c r="M29" s="6"/>
      <c r="N29" s="6"/>
      <c r="O29" s="8"/>
      <c r="P29" s="7"/>
      <c r="Q29" s="7"/>
      <c r="R29" s="7"/>
      <c r="S29" s="6"/>
      <c r="T29" s="8"/>
      <c r="U29" s="8"/>
      <c r="V29" s="6"/>
      <c r="W29" s="5"/>
      <c r="X29" s="8"/>
      <c r="Y29" s="6"/>
      <c r="Z29" s="10"/>
    </row>
    <row r="30" spans="1:26" ht="12.75">
      <c r="A30" s="5"/>
      <c r="B30" s="5"/>
      <c r="C30" s="6"/>
      <c r="D30" s="7"/>
      <c r="E30" s="8"/>
      <c r="F30" s="8"/>
      <c r="G30" s="8"/>
      <c r="H30" s="6"/>
      <c r="I30" s="8"/>
      <c r="J30" s="5"/>
      <c r="K30" s="5"/>
      <c r="L30" s="8"/>
      <c r="M30" s="6"/>
      <c r="N30" s="6"/>
      <c r="O30" s="8"/>
      <c r="P30" s="7"/>
      <c r="Q30" s="7"/>
      <c r="R30" s="7"/>
      <c r="S30" s="6"/>
      <c r="T30" s="8"/>
      <c r="U30" s="8"/>
      <c r="V30" s="6"/>
      <c r="W30" s="5"/>
      <c r="X30" s="8"/>
      <c r="Y30" s="6"/>
      <c r="Z30" s="10"/>
    </row>
    <row r="31" spans="1:26" ht="12.75">
      <c r="A31" s="5"/>
      <c r="B31" s="5"/>
      <c r="C31" s="6"/>
      <c r="D31" s="7"/>
      <c r="E31" s="8"/>
      <c r="F31" s="8"/>
      <c r="G31" s="8"/>
      <c r="H31" s="6"/>
      <c r="I31" s="8"/>
      <c r="J31" s="5"/>
      <c r="K31" s="5"/>
      <c r="L31" s="8"/>
      <c r="M31" s="6"/>
      <c r="N31" s="6"/>
      <c r="O31" s="8"/>
      <c r="P31" s="7"/>
      <c r="Q31" s="7"/>
      <c r="R31" s="7"/>
      <c r="S31" s="6"/>
      <c r="T31" s="8"/>
      <c r="U31" s="8"/>
      <c r="V31" s="6"/>
      <c r="W31" s="5"/>
      <c r="X31" s="8"/>
      <c r="Y31" s="6"/>
      <c r="Z31" s="10"/>
    </row>
    <row r="32" spans="1:26" ht="12.75">
      <c r="A32" s="5"/>
      <c r="B32" s="5"/>
      <c r="C32" s="6"/>
      <c r="D32" s="7"/>
      <c r="E32" s="8"/>
      <c r="F32" s="8"/>
      <c r="G32" s="8"/>
      <c r="H32" s="6"/>
      <c r="I32" s="8"/>
      <c r="J32" s="5"/>
      <c r="K32" s="5"/>
      <c r="L32" s="8"/>
      <c r="M32" s="6"/>
      <c r="N32" s="6"/>
      <c r="O32" s="8"/>
      <c r="P32" s="7"/>
      <c r="Q32" s="7"/>
      <c r="R32" s="7"/>
      <c r="S32" s="6"/>
      <c r="T32" s="8"/>
      <c r="U32" s="8"/>
      <c r="V32" s="6"/>
      <c r="W32" s="5"/>
      <c r="X32" s="8"/>
      <c r="Y32" s="6"/>
      <c r="Z32" s="10"/>
    </row>
    <row r="33" spans="1:26" ht="12.75">
      <c r="A33" s="5"/>
      <c r="B33" s="5"/>
      <c r="C33" s="6"/>
      <c r="D33" s="7"/>
      <c r="E33" s="8"/>
      <c r="F33" s="8"/>
      <c r="G33" s="8"/>
      <c r="H33" s="6"/>
      <c r="I33" s="8"/>
      <c r="J33" s="5"/>
      <c r="K33" s="5"/>
      <c r="L33" s="8"/>
      <c r="M33" s="6"/>
      <c r="N33" s="6"/>
      <c r="O33" s="8"/>
      <c r="P33" s="7"/>
      <c r="Q33" s="7"/>
      <c r="R33" s="7"/>
      <c r="S33" s="6"/>
      <c r="T33" s="8"/>
      <c r="U33" s="8"/>
      <c r="V33" s="6"/>
      <c r="W33" s="5"/>
      <c r="X33" s="8"/>
      <c r="Y33" s="6"/>
      <c r="Z33" s="10"/>
    </row>
    <row r="34" spans="1:26" ht="12.75">
      <c r="A34" s="5"/>
      <c r="B34" s="5"/>
      <c r="C34" s="6"/>
      <c r="D34" s="7"/>
      <c r="E34" s="8"/>
      <c r="F34" s="8"/>
      <c r="G34" s="8"/>
      <c r="H34" s="6"/>
      <c r="I34" s="8"/>
      <c r="J34" s="5"/>
      <c r="K34" s="5"/>
      <c r="L34" s="8"/>
      <c r="M34" s="6"/>
      <c r="N34" s="6"/>
      <c r="O34" s="8"/>
      <c r="P34" s="7"/>
      <c r="Q34" s="7"/>
      <c r="R34" s="7"/>
      <c r="S34" s="6"/>
      <c r="T34" s="8"/>
      <c r="U34" s="8"/>
      <c r="V34" s="6"/>
      <c r="W34" s="5"/>
      <c r="X34" s="8"/>
      <c r="Y34" s="6"/>
      <c r="Z34" s="10"/>
    </row>
    <row r="35" spans="1:26" ht="12.75">
      <c r="A35" s="5"/>
      <c r="B35" s="5"/>
      <c r="C35" s="6"/>
      <c r="D35" s="7"/>
      <c r="E35" s="8"/>
      <c r="F35" s="8"/>
      <c r="G35" s="8"/>
      <c r="H35" s="6"/>
      <c r="I35" s="8"/>
      <c r="J35" s="5"/>
      <c r="K35" s="5"/>
      <c r="L35" s="8"/>
      <c r="M35" s="6"/>
      <c r="N35" s="6"/>
      <c r="O35" s="8"/>
      <c r="P35" s="7"/>
      <c r="Q35" s="7"/>
      <c r="R35" s="7"/>
      <c r="S35" s="6"/>
      <c r="T35" s="8"/>
      <c r="U35" s="8"/>
      <c r="V35" s="6"/>
      <c r="W35" s="5"/>
      <c r="X35" s="8"/>
      <c r="Y35" s="6"/>
      <c r="Z35" s="10"/>
    </row>
    <row r="36" spans="1:26" ht="12.75">
      <c r="A36" s="5"/>
      <c r="B36" s="5"/>
      <c r="C36" s="6"/>
      <c r="D36" s="7"/>
      <c r="E36" s="8"/>
      <c r="F36" s="8"/>
      <c r="G36" s="8"/>
      <c r="H36" s="6"/>
      <c r="I36" s="8"/>
      <c r="J36" s="5"/>
      <c r="K36" s="5"/>
      <c r="L36" s="8"/>
      <c r="M36" s="6"/>
      <c r="N36" s="6"/>
      <c r="O36" s="8"/>
      <c r="P36" s="7"/>
      <c r="Q36" s="7"/>
      <c r="R36" s="7"/>
      <c r="S36" s="6"/>
      <c r="T36" s="8"/>
      <c r="U36" s="8"/>
      <c r="V36" s="6"/>
      <c r="W36" s="5"/>
      <c r="X36" s="8"/>
      <c r="Y36" s="6"/>
      <c r="Z36" s="10"/>
    </row>
    <row r="37" spans="1:26" ht="12.75">
      <c r="A37" s="5"/>
      <c r="B37" s="5"/>
      <c r="C37" s="6"/>
      <c r="D37" s="7"/>
      <c r="E37" s="8"/>
      <c r="F37" s="8"/>
      <c r="G37" s="8"/>
      <c r="H37" s="6"/>
      <c r="I37" s="8"/>
      <c r="J37" s="5"/>
      <c r="K37" s="5"/>
      <c r="L37" s="8"/>
      <c r="M37" s="6"/>
      <c r="N37" s="6"/>
      <c r="O37" s="8"/>
      <c r="P37" s="7"/>
      <c r="Q37" s="7"/>
      <c r="R37" s="7"/>
      <c r="S37" s="6"/>
      <c r="T37" s="8"/>
      <c r="U37" s="8"/>
      <c r="V37" s="6"/>
      <c r="W37" s="5"/>
      <c r="X37" s="8"/>
      <c r="Y37" s="6"/>
      <c r="Z37" s="10"/>
    </row>
    <row r="38" spans="1:26" ht="12.75">
      <c r="A38" s="5"/>
      <c r="B38" s="5"/>
      <c r="C38" s="6"/>
      <c r="D38" s="7"/>
      <c r="E38" s="8"/>
      <c r="F38" s="8"/>
      <c r="G38" s="8"/>
      <c r="H38" s="6"/>
      <c r="I38" s="8"/>
      <c r="J38" s="5"/>
      <c r="K38" s="5"/>
      <c r="L38" s="8"/>
      <c r="M38" s="6"/>
      <c r="N38" s="6"/>
      <c r="O38" s="8"/>
      <c r="P38" s="7"/>
      <c r="Q38" s="7"/>
      <c r="R38" s="7"/>
      <c r="S38" s="6"/>
      <c r="T38" s="8"/>
      <c r="U38" s="8"/>
      <c r="V38" s="6"/>
      <c r="W38" s="5"/>
      <c r="X38" s="8"/>
      <c r="Y38" s="6"/>
      <c r="Z38" s="10"/>
    </row>
    <row r="39" spans="1:26" ht="12.75">
      <c r="A39" s="5"/>
      <c r="B39" s="5"/>
      <c r="C39" s="6"/>
      <c r="D39" s="7"/>
      <c r="E39" s="8"/>
      <c r="F39" s="8"/>
      <c r="G39" s="8"/>
      <c r="H39" s="6"/>
      <c r="I39" s="8"/>
      <c r="J39" s="5"/>
      <c r="K39" s="5"/>
      <c r="L39" s="8"/>
      <c r="M39" s="6"/>
      <c r="N39" s="6"/>
      <c r="O39" s="8"/>
      <c r="P39" s="7"/>
      <c r="Q39" s="7"/>
      <c r="R39" s="7"/>
      <c r="S39" s="6"/>
      <c r="T39" s="8"/>
      <c r="U39" s="8"/>
      <c r="V39" s="6"/>
      <c r="W39" s="5"/>
      <c r="X39" s="8"/>
      <c r="Y39" s="6"/>
      <c r="Z39" s="10"/>
    </row>
    <row r="40" spans="1:26" ht="12.75">
      <c r="A40" s="5"/>
      <c r="B40" s="5"/>
      <c r="C40" s="6"/>
      <c r="D40" s="7"/>
      <c r="E40" s="8"/>
      <c r="F40" s="8"/>
      <c r="G40" s="8"/>
      <c r="H40" s="6"/>
      <c r="I40" s="8"/>
      <c r="J40" s="5"/>
      <c r="K40" s="5"/>
      <c r="L40" s="8"/>
      <c r="M40" s="6"/>
      <c r="N40" s="6"/>
      <c r="O40" s="8"/>
      <c r="P40" s="7"/>
      <c r="Q40" s="7"/>
      <c r="R40" s="7"/>
      <c r="S40" s="6"/>
      <c r="T40" s="8"/>
      <c r="U40" s="8"/>
      <c r="V40" s="6"/>
      <c r="W40" s="5"/>
      <c r="X40" s="8"/>
      <c r="Y40" s="6"/>
      <c r="Z40" s="10"/>
    </row>
    <row r="41" spans="1:26" ht="12.75">
      <c r="A41" s="5"/>
      <c r="B41" s="5"/>
      <c r="C41" s="6"/>
      <c r="D41" s="7"/>
      <c r="E41" s="8"/>
      <c r="F41" s="8"/>
      <c r="G41" s="8"/>
      <c r="H41" s="6"/>
      <c r="I41" s="8"/>
      <c r="J41" s="5"/>
      <c r="K41" s="5"/>
      <c r="L41" s="8"/>
      <c r="M41" s="6"/>
      <c r="N41" s="6"/>
      <c r="O41" s="8"/>
      <c r="P41" s="7"/>
      <c r="Q41" s="7"/>
      <c r="R41" s="7"/>
      <c r="S41" s="6"/>
      <c r="T41" s="8"/>
      <c r="U41" s="8"/>
      <c r="V41" s="6"/>
      <c r="W41" s="5"/>
      <c r="X41" s="8"/>
      <c r="Y41" s="6"/>
      <c r="Z41" s="10"/>
    </row>
    <row r="42" spans="1:26" ht="12.75">
      <c r="A42" s="5"/>
      <c r="B42" s="5"/>
      <c r="C42" s="6"/>
      <c r="D42" s="7"/>
      <c r="E42" s="8"/>
      <c r="F42" s="8"/>
      <c r="G42" s="8"/>
      <c r="H42" s="6"/>
      <c r="I42" s="8"/>
      <c r="J42" s="5"/>
      <c r="K42" s="5"/>
      <c r="L42" s="8"/>
      <c r="M42" s="6"/>
      <c r="N42" s="6"/>
      <c r="O42" s="8"/>
      <c r="P42" s="7"/>
      <c r="Q42" s="7"/>
      <c r="R42" s="7"/>
      <c r="S42" s="6"/>
      <c r="T42" s="8"/>
      <c r="U42" s="8"/>
      <c r="V42" s="6"/>
      <c r="W42" s="5"/>
      <c r="X42" s="8"/>
      <c r="Y42" s="6"/>
      <c r="Z42" s="10"/>
    </row>
    <row r="43" spans="1:26" ht="12.75">
      <c r="A43" s="5"/>
      <c r="B43" s="5"/>
      <c r="C43" s="6"/>
      <c r="D43" s="7"/>
      <c r="E43" s="8"/>
      <c r="F43" s="8"/>
      <c r="G43" s="8"/>
      <c r="H43" s="6"/>
      <c r="I43" s="8"/>
      <c r="J43" s="5"/>
      <c r="K43" s="5"/>
      <c r="L43" s="8"/>
      <c r="M43" s="6"/>
      <c r="N43" s="6"/>
      <c r="O43" s="8"/>
      <c r="P43" s="7"/>
      <c r="Q43" s="7"/>
      <c r="R43" s="7"/>
      <c r="S43" s="6"/>
      <c r="T43" s="8"/>
      <c r="U43" s="8"/>
      <c r="V43" s="6"/>
      <c r="W43" s="5"/>
      <c r="X43" s="8"/>
      <c r="Y43" s="6"/>
      <c r="Z43" s="10"/>
    </row>
    <row r="44" spans="1:26" ht="12.75">
      <c r="A44" s="5"/>
      <c r="B44" s="5"/>
      <c r="C44" s="6"/>
      <c r="D44" s="7"/>
      <c r="E44" s="8"/>
      <c r="F44" s="8"/>
      <c r="G44" s="8"/>
      <c r="H44" s="6"/>
      <c r="I44" s="8"/>
      <c r="J44" s="5"/>
      <c r="K44" s="5"/>
      <c r="L44" s="8"/>
      <c r="M44" s="6"/>
      <c r="N44" s="6"/>
      <c r="O44" s="8"/>
      <c r="P44" s="7"/>
      <c r="Q44" s="7"/>
      <c r="R44" s="7"/>
      <c r="S44" s="6"/>
      <c r="T44" s="8"/>
      <c r="U44" s="8"/>
      <c r="V44" s="6"/>
      <c r="W44" s="5"/>
      <c r="X44" s="8"/>
      <c r="Y44" s="6"/>
      <c r="Z44" s="10"/>
    </row>
    <row r="45" spans="1:26" ht="12.75">
      <c r="A45" s="5"/>
      <c r="B45" s="5"/>
      <c r="C45" s="6"/>
      <c r="D45" s="7"/>
      <c r="E45" s="8"/>
      <c r="F45" s="8"/>
      <c r="G45" s="8"/>
      <c r="H45" s="6"/>
      <c r="I45" s="8"/>
      <c r="J45" s="5"/>
      <c r="K45" s="5"/>
      <c r="L45" s="8"/>
      <c r="M45" s="6"/>
      <c r="N45" s="6"/>
      <c r="O45" s="8"/>
      <c r="P45" s="7"/>
      <c r="Q45" s="7"/>
      <c r="R45" s="7"/>
      <c r="S45" s="6"/>
      <c r="T45" s="8"/>
      <c r="U45" s="8"/>
      <c r="V45" s="6"/>
      <c r="W45" s="5"/>
      <c r="X45" s="8"/>
      <c r="Y45" s="6"/>
      <c r="Z45" s="10"/>
    </row>
    <row r="46" spans="1:26" ht="12.75">
      <c r="A46" s="5"/>
      <c r="B46" s="5"/>
      <c r="C46" s="6"/>
      <c r="D46" s="7"/>
      <c r="E46" s="8"/>
      <c r="F46" s="8"/>
      <c r="G46" s="8"/>
      <c r="H46" s="6"/>
      <c r="I46" s="8"/>
      <c r="J46" s="5"/>
      <c r="K46" s="5"/>
      <c r="L46" s="8"/>
      <c r="M46" s="6"/>
      <c r="N46" s="6"/>
      <c r="O46" s="8"/>
      <c r="P46" s="7"/>
      <c r="Q46" s="7"/>
      <c r="R46" s="7"/>
      <c r="S46" s="6"/>
      <c r="T46" s="8"/>
      <c r="U46" s="8"/>
      <c r="V46" s="6"/>
      <c r="W46" s="5"/>
      <c r="X46" s="8"/>
      <c r="Y46" s="6"/>
      <c r="Z46" s="10"/>
    </row>
    <row r="47" spans="1:26" ht="12.75">
      <c r="A47" s="5"/>
      <c r="B47" s="5"/>
      <c r="C47" s="6"/>
      <c r="D47" s="7"/>
      <c r="E47" s="8"/>
      <c r="F47" s="8"/>
      <c r="G47" s="8"/>
      <c r="H47" s="6"/>
      <c r="I47" s="8"/>
      <c r="J47" s="5"/>
      <c r="K47" s="5"/>
      <c r="L47" s="8"/>
      <c r="M47" s="6"/>
      <c r="N47" s="6"/>
      <c r="O47" s="8"/>
      <c r="P47" s="7"/>
      <c r="Q47" s="7"/>
      <c r="R47" s="7"/>
      <c r="S47" s="6"/>
      <c r="T47" s="8"/>
      <c r="U47" s="8"/>
      <c r="V47" s="6"/>
      <c r="W47" s="5"/>
      <c r="X47" s="8"/>
      <c r="Y47" s="6"/>
      <c r="Z47" s="10"/>
    </row>
    <row r="48" spans="1:26" ht="12.75">
      <c r="A48" s="5"/>
      <c r="B48" s="5"/>
      <c r="C48" s="6"/>
      <c r="D48" s="7"/>
      <c r="E48" s="8"/>
      <c r="F48" s="8"/>
      <c r="G48" s="8"/>
      <c r="H48" s="6"/>
      <c r="I48" s="8"/>
      <c r="J48" s="5"/>
      <c r="K48" s="5"/>
      <c r="L48" s="8"/>
      <c r="M48" s="6"/>
      <c r="N48" s="6"/>
      <c r="O48" s="8"/>
      <c r="P48" s="7"/>
      <c r="Q48" s="7"/>
      <c r="R48" s="7"/>
      <c r="S48" s="6"/>
      <c r="T48" s="8"/>
      <c r="U48" s="8"/>
      <c r="V48" s="6"/>
      <c r="W48" s="5"/>
      <c r="X48" s="8"/>
      <c r="Y48" s="6"/>
      <c r="Z48" s="10"/>
    </row>
    <row r="49" spans="1:26" ht="12.75">
      <c r="A49" s="5"/>
      <c r="B49" s="5"/>
      <c r="C49" s="6"/>
      <c r="D49" s="7"/>
      <c r="E49" s="8"/>
      <c r="F49" s="8"/>
      <c r="G49" s="8"/>
      <c r="H49" s="6"/>
      <c r="I49" s="8"/>
      <c r="J49" s="5"/>
      <c r="K49" s="5"/>
      <c r="L49" s="8"/>
      <c r="M49" s="6"/>
      <c r="N49" s="6"/>
      <c r="O49" s="8"/>
      <c r="P49" s="7"/>
      <c r="Q49" s="7"/>
      <c r="R49" s="7"/>
      <c r="S49" s="6"/>
      <c r="T49" s="8"/>
      <c r="U49" s="8"/>
      <c r="V49" s="6"/>
      <c r="W49" s="5"/>
      <c r="X49" s="8"/>
      <c r="Y49" s="6"/>
      <c r="Z49" s="10"/>
    </row>
    <row r="50" spans="1:26" ht="12.75">
      <c r="A50" s="5"/>
      <c r="B50" s="5"/>
      <c r="C50" s="6"/>
      <c r="D50" s="7"/>
      <c r="E50" s="8"/>
      <c r="F50" s="8"/>
      <c r="G50" s="8"/>
      <c r="H50" s="6"/>
      <c r="I50" s="8"/>
      <c r="J50" s="5"/>
      <c r="K50" s="5"/>
      <c r="L50" s="8"/>
      <c r="M50" s="6"/>
      <c r="N50" s="6"/>
      <c r="O50" s="8"/>
      <c r="P50" s="7"/>
      <c r="Q50" s="7"/>
      <c r="R50" s="7"/>
      <c r="S50" s="6"/>
      <c r="T50" s="8"/>
      <c r="U50" s="8"/>
      <c r="V50" s="6"/>
      <c r="W50" s="5"/>
      <c r="X50" s="8"/>
      <c r="Y50" s="6"/>
      <c r="Z50" s="10"/>
    </row>
    <row r="51" spans="1:26" ht="12.75">
      <c r="A51" s="5"/>
      <c r="B51" s="5"/>
      <c r="C51" s="6"/>
      <c r="D51" s="7"/>
      <c r="E51" s="8"/>
      <c r="F51" s="8"/>
      <c r="G51" s="8"/>
      <c r="H51" s="6"/>
      <c r="I51" s="8"/>
      <c r="J51" s="5"/>
      <c r="K51" s="5"/>
      <c r="L51" s="8"/>
      <c r="M51" s="6"/>
      <c r="N51" s="6"/>
      <c r="O51" s="8"/>
      <c r="P51" s="7"/>
      <c r="Q51" s="7"/>
      <c r="R51" s="7"/>
      <c r="S51" s="6"/>
      <c r="T51" s="8"/>
      <c r="U51" s="8"/>
      <c r="V51" s="6"/>
      <c r="W51" s="5"/>
      <c r="X51" s="8"/>
      <c r="Y51" s="6"/>
      <c r="Z51" s="10"/>
    </row>
    <row r="52" spans="1:26" ht="12.75">
      <c r="A52" s="5"/>
      <c r="B52" s="5"/>
      <c r="C52" s="6"/>
      <c r="D52" s="7"/>
      <c r="E52" s="8"/>
      <c r="F52" s="8"/>
      <c r="G52" s="8"/>
      <c r="H52" s="6"/>
      <c r="I52" s="8"/>
      <c r="J52" s="5"/>
      <c r="K52" s="5"/>
      <c r="L52" s="8"/>
      <c r="M52" s="6"/>
      <c r="N52" s="6"/>
      <c r="O52" s="8"/>
      <c r="P52" s="7"/>
      <c r="Q52" s="7"/>
      <c r="R52" s="7"/>
      <c r="S52" s="6"/>
      <c r="T52" s="8"/>
      <c r="U52" s="8"/>
      <c r="V52" s="6"/>
      <c r="W52" s="5"/>
      <c r="X52" s="8"/>
      <c r="Y52" s="6"/>
      <c r="Z52" s="10"/>
    </row>
    <row r="53" spans="1:26" ht="12.75">
      <c r="A53" s="5"/>
      <c r="B53" s="5"/>
      <c r="C53" s="6"/>
      <c r="D53" s="7"/>
      <c r="E53" s="8"/>
      <c r="F53" s="8"/>
      <c r="G53" s="8"/>
      <c r="H53" s="6"/>
      <c r="I53" s="8"/>
      <c r="J53" s="5"/>
      <c r="K53" s="5"/>
      <c r="L53" s="8"/>
      <c r="M53" s="6"/>
      <c r="N53" s="6"/>
      <c r="O53" s="8"/>
      <c r="P53" s="7"/>
      <c r="Q53" s="7"/>
      <c r="R53" s="7"/>
      <c r="S53" s="6"/>
      <c r="T53" s="8"/>
      <c r="U53" s="8"/>
      <c r="V53" s="6"/>
      <c r="W53" s="5"/>
      <c r="X53" s="8"/>
      <c r="Y53" s="6"/>
      <c r="Z53" s="10"/>
    </row>
    <row r="54" spans="1:26" ht="12.75">
      <c r="A54" s="5"/>
      <c r="B54" s="5"/>
      <c r="C54" s="6"/>
      <c r="D54" s="7"/>
      <c r="E54" s="8"/>
      <c r="F54" s="8"/>
      <c r="G54" s="8"/>
      <c r="H54" s="6"/>
      <c r="I54" s="8"/>
      <c r="J54" s="5"/>
      <c r="K54" s="5"/>
      <c r="L54" s="8"/>
      <c r="M54" s="6"/>
      <c r="N54" s="6"/>
      <c r="O54" s="8"/>
      <c r="P54" s="7"/>
      <c r="Q54" s="7"/>
      <c r="R54" s="7"/>
      <c r="S54" s="6"/>
      <c r="T54" s="8"/>
      <c r="U54" s="8"/>
      <c r="V54" s="6"/>
      <c r="W54" s="5"/>
      <c r="X54" s="8"/>
      <c r="Y54" s="6"/>
      <c r="Z54" s="10"/>
    </row>
    <row r="55" spans="1:26" ht="12.75">
      <c r="A55" s="5"/>
      <c r="B55" s="5"/>
      <c r="C55" s="6"/>
      <c r="D55" s="7"/>
      <c r="E55" s="8"/>
      <c r="F55" s="8"/>
      <c r="G55" s="8"/>
      <c r="H55" s="6"/>
      <c r="I55" s="8"/>
      <c r="J55" s="5"/>
      <c r="K55" s="5"/>
      <c r="L55" s="8"/>
      <c r="M55" s="6"/>
      <c r="N55" s="6"/>
      <c r="O55" s="8"/>
      <c r="P55" s="7"/>
      <c r="Q55" s="7"/>
      <c r="R55" s="7"/>
      <c r="S55" s="6"/>
      <c r="T55" s="8"/>
      <c r="U55" s="8"/>
      <c r="V55" s="6"/>
      <c r="W55" s="5"/>
      <c r="X55" s="8"/>
      <c r="Y55" s="6"/>
      <c r="Z55" s="10"/>
    </row>
    <row r="56" spans="1:26" ht="12.75">
      <c r="A56" s="5"/>
      <c r="B56" s="5"/>
      <c r="C56" s="6"/>
      <c r="D56" s="7"/>
      <c r="E56" s="8"/>
      <c r="F56" s="8"/>
      <c r="G56" s="8"/>
      <c r="H56" s="6"/>
      <c r="I56" s="8"/>
      <c r="J56" s="5"/>
      <c r="K56" s="5"/>
      <c r="L56" s="8"/>
      <c r="M56" s="6"/>
      <c r="N56" s="6"/>
      <c r="O56" s="8"/>
      <c r="P56" s="7"/>
      <c r="Q56" s="7"/>
      <c r="R56" s="7"/>
      <c r="S56" s="6"/>
      <c r="T56" s="8"/>
      <c r="U56" s="8"/>
      <c r="V56" s="6"/>
      <c r="W56" s="5"/>
      <c r="X56" s="8"/>
      <c r="Y56" s="6"/>
      <c r="Z56" s="10"/>
    </row>
    <row r="57" spans="1:26" ht="12.75">
      <c r="A57" s="5"/>
      <c r="B57" s="5"/>
      <c r="C57" s="6"/>
      <c r="D57" s="7"/>
      <c r="E57" s="8"/>
      <c r="F57" s="8"/>
      <c r="G57" s="8"/>
      <c r="H57" s="6"/>
      <c r="I57" s="8"/>
      <c r="J57" s="5"/>
      <c r="K57" s="5"/>
      <c r="L57" s="8"/>
      <c r="M57" s="6"/>
      <c r="N57" s="6"/>
      <c r="O57" s="8"/>
      <c r="P57" s="7"/>
      <c r="Q57" s="7"/>
      <c r="R57" s="7"/>
      <c r="S57" s="6"/>
      <c r="T57" s="8"/>
      <c r="U57" s="8"/>
      <c r="V57" s="6"/>
      <c r="W57" s="5"/>
      <c r="X57" s="8"/>
      <c r="Y57" s="6"/>
      <c r="Z57" s="10"/>
    </row>
    <row r="58" spans="1:26" ht="12.75">
      <c r="A58" s="5"/>
      <c r="B58" s="5"/>
      <c r="C58" s="6"/>
      <c r="D58" s="7"/>
      <c r="E58" s="8"/>
      <c r="F58" s="8"/>
      <c r="G58" s="8"/>
      <c r="H58" s="6"/>
      <c r="I58" s="8"/>
      <c r="J58" s="5"/>
      <c r="K58" s="5"/>
      <c r="L58" s="8"/>
      <c r="M58" s="6"/>
      <c r="N58" s="6"/>
      <c r="O58" s="8"/>
      <c r="P58" s="7"/>
      <c r="Q58" s="7"/>
      <c r="R58" s="7"/>
      <c r="S58" s="6"/>
      <c r="T58" s="8"/>
      <c r="U58" s="8"/>
      <c r="V58" s="6"/>
      <c r="W58" s="5"/>
      <c r="X58" s="8"/>
      <c r="Y58" s="6"/>
      <c r="Z58" s="10"/>
    </row>
    <row r="59" spans="1:26" ht="12.75">
      <c r="A59" s="5"/>
      <c r="B59" s="5"/>
      <c r="C59" s="6"/>
      <c r="D59" s="7"/>
      <c r="E59" s="8"/>
      <c r="F59" s="8"/>
      <c r="G59" s="8"/>
      <c r="H59" s="6"/>
      <c r="I59" s="8"/>
      <c r="J59" s="5"/>
      <c r="K59" s="5"/>
      <c r="L59" s="8"/>
      <c r="M59" s="6"/>
      <c r="N59" s="6"/>
      <c r="O59" s="8"/>
      <c r="P59" s="7"/>
      <c r="Q59" s="7"/>
      <c r="R59" s="7"/>
      <c r="S59" s="6"/>
      <c r="T59" s="8"/>
      <c r="U59" s="8"/>
      <c r="V59" s="6"/>
      <c r="W59" s="5"/>
      <c r="X59" s="8"/>
      <c r="Y59" s="6"/>
      <c r="Z59" s="10"/>
    </row>
    <row r="60" spans="1:26" ht="12.75">
      <c r="A60" s="5"/>
      <c r="B60" s="5"/>
      <c r="C60" s="6"/>
      <c r="D60" s="7"/>
      <c r="E60" s="8"/>
      <c r="F60" s="8"/>
      <c r="G60" s="8"/>
      <c r="H60" s="6"/>
      <c r="I60" s="8"/>
      <c r="J60" s="5"/>
      <c r="K60" s="5"/>
      <c r="L60" s="8"/>
      <c r="M60" s="6"/>
      <c r="N60" s="6"/>
      <c r="O60" s="8"/>
      <c r="P60" s="7"/>
      <c r="Q60" s="7"/>
      <c r="R60" s="7"/>
      <c r="S60" s="6"/>
      <c r="T60" s="8"/>
      <c r="U60" s="8"/>
      <c r="V60" s="6"/>
      <c r="W60" s="5"/>
      <c r="X60" s="8"/>
      <c r="Y60" s="6"/>
      <c r="Z60" s="10"/>
    </row>
    <row r="61" spans="1:26" ht="12.75">
      <c r="A61" s="5"/>
      <c r="B61" s="5"/>
      <c r="C61" s="6"/>
      <c r="D61" s="7"/>
      <c r="E61" s="8"/>
      <c r="F61" s="8"/>
      <c r="G61" s="8"/>
      <c r="H61" s="6"/>
      <c r="I61" s="8"/>
      <c r="J61" s="5"/>
      <c r="K61" s="5"/>
      <c r="L61" s="8"/>
      <c r="M61" s="6"/>
      <c r="N61" s="6"/>
      <c r="O61" s="8"/>
      <c r="P61" s="7"/>
      <c r="Q61" s="7"/>
      <c r="R61" s="7"/>
      <c r="S61" s="6"/>
      <c r="T61" s="8"/>
      <c r="U61" s="8"/>
      <c r="V61" s="6"/>
      <c r="W61" s="5"/>
      <c r="X61" s="8"/>
      <c r="Y61" s="6"/>
      <c r="Z61" s="10"/>
    </row>
    <row r="62" spans="1:26" ht="12.75">
      <c r="A62" s="5"/>
      <c r="B62" s="5"/>
      <c r="C62" s="6"/>
      <c r="D62" s="7"/>
      <c r="E62" s="8"/>
      <c r="F62" s="8"/>
      <c r="G62" s="8"/>
      <c r="H62" s="6"/>
      <c r="I62" s="8"/>
      <c r="J62" s="5"/>
      <c r="K62" s="5"/>
      <c r="L62" s="8"/>
      <c r="M62" s="6"/>
      <c r="N62" s="6"/>
      <c r="O62" s="8"/>
      <c r="P62" s="7"/>
      <c r="Q62" s="7"/>
      <c r="R62" s="7"/>
      <c r="S62" s="6"/>
      <c r="T62" s="8"/>
      <c r="U62" s="8"/>
      <c r="V62" s="6"/>
      <c r="W62" s="5"/>
      <c r="X62" s="8"/>
      <c r="Y62" s="6"/>
      <c r="Z62" s="10"/>
    </row>
    <row r="63" spans="1:26" ht="12.75">
      <c r="A63" s="5"/>
      <c r="B63" s="5"/>
      <c r="C63" s="6"/>
      <c r="D63" s="7"/>
      <c r="E63" s="8"/>
      <c r="F63" s="8"/>
      <c r="G63" s="8"/>
      <c r="H63" s="6"/>
      <c r="I63" s="8"/>
      <c r="J63" s="5"/>
      <c r="K63" s="5"/>
      <c r="L63" s="8"/>
      <c r="M63" s="6"/>
      <c r="N63" s="6"/>
      <c r="O63" s="8"/>
      <c r="P63" s="7"/>
      <c r="Q63" s="7"/>
      <c r="R63" s="7"/>
      <c r="S63" s="6"/>
      <c r="T63" s="8"/>
      <c r="U63" s="8"/>
      <c r="V63" s="6"/>
      <c r="W63" s="5"/>
      <c r="X63" s="8"/>
      <c r="Y63" s="6"/>
      <c r="Z63" s="10"/>
    </row>
    <row r="64" spans="1:26" ht="12.75">
      <c r="A64" s="5"/>
      <c r="B64" s="5"/>
      <c r="C64" s="6"/>
      <c r="D64" s="7"/>
      <c r="E64" s="8"/>
      <c r="F64" s="8"/>
      <c r="G64" s="8"/>
      <c r="H64" s="6"/>
      <c r="I64" s="8"/>
      <c r="J64" s="5"/>
      <c r="K64" s="5"/>
      <c r="L64" s="8"/>
      <c r="M64" s="6"/>
      <c r="N64" s="6"/>
      <c r="O64" s="8"/>
      <c r="P64" s="7"/>
      <c r="Q64" s="7"/>
      <c r="R64" s="7"/>
      <c r="S64" s="6"/>
      <c r="T64" s="8"/>
      <c r="U64" s="8"/>
      <c r="V64" s="6"/>
      <c r="W64" s="5"/>
      <c r="X64" s="8"/>
      <c r="Y64" s="6"/>
      <c r="Z64" s="10"/>
    </row>
    <row r="65" spans="1:26" ht="12.75">
      <c r="A65" s="5"/>
      <c r="B65" s="5"/>
      <c r="C65" s="6"/>
      <c r="D65" s="7"/>
      <c r="E65" s="8"/>
      <c r="F65" s="8"/>
      <c r="G65" s="8"/>
      <c r="H65" s="6"/>
      <c r="I65" s="8"/>
      <c r="J65" s="5"/>
      <c r="K65" s="5"/>
      <c r="L65" s="8"/>
      <c r="M65" s="6"/>
      <c r="N65" s="6"/>
      <c r="O65" s="8"/>
      <c r="P65" s="7"/>
      <c r="Q65" s="7"/>
      <c r="R65" s="7"/>
      <c r="S65" s="6"/>
      <c r="T65" s="8"/>
      <c r="U65" s="8"/>
      <c r="V65" s="6"/>
      <c r="W65" s="5"/>
      <c r="X65" s="8"/>
      <c r="Y65" s="6"/>
      <c r="Z65" s="10"/>
    </row>
    <row r="66" spans="1:26" ht="12.75">
      <c r="A66" s="5"/>
      <c r="B66" s="5"/>
      <c r="C66" s="6"/>
      <c r="D66" s="7"/>
      <c r="E66" s="8"/>
      <c r="F66" s="8"/>
      <c r="G66" s="8"/>
      <c r="H66" s="6"/>
      <c r="I66" s="8"/>
      <c r="J66" s="5"/>
      <c r="K66" s="5"/>
      <c r="L66" s="8"/>
      <c r="M66" s="6"/>
      <c r="N66" s="6"/>
      <c r="O66" s="8"/>
      <c r="P66" s="7"/>
      <c r="Q66" s="7"/>
      <c r="R66" s="7"/>
      <c r="S66" s="6"/>
      <c r="T66" s="8"/>
      <c r="U66" s="8"/>
      <c r="V66" s="6"/>
      <c r="W66" s="5"/>
      <c r="X66" s="8"/>
      <c r="Y66" s="6"/>
      <c r="Z66" s="10"/>
    </row>
    <row r="67" spans="1:26" ht="12.75">
      <c r="A67" s="5"/>
      <c r="B67" s="5"/>
      <c r="C67" s="6"/>
      <c r="D67" s="7"/>
      <c r="E67" s="8"/>
      <c r="F67" s="8"/>
      <c r="G67" s="8"/>
      <c r="H67" s="6"/>
      <c r="I67" s="8"/>
      <c r="J67" s="5"/>
      <c r="K67" s="5"/>
      <c r="L67" s="8"/>
      <c r="M67" s="6"/>
      <c r="N67" s="6"/>
      <c r="O67" s="8"/>
      <c r="P67" s="7"/>
      <c r="Q67" s="7"/>
      <c r="R67" s="7"/>
      <c r="S67" s="6"/>
      <c r="T67" s="8"/>
      <c r="U67" s="8"/>
      <c r="V67" s="6"/>
      <c r="W67" s="5"/>
      <c r="X67" s="8"/>
      <c r="Y67" s="6"/>
      <c r="Z67" s="10"/>
    </row>
    <row r="68" spans="1:26" ht="12.75">
      <c r="A68" s="5"/>
      <c r="B68" s="5"/>
      <c r="C68" s="6"/>
      <c r="D68" s="7"/>
      <c r="E68" s="8"/>
      <c r="F68" s="8"/>
      <c r="G68" s="8"/>
      <c r="H68" s="6"/>
      <c r="I68" s="8"/>
      <c r="J68" s="5"/>
      <c r="K68" s="5"/>
      <c r="L68" s="8"/>
      <c r="M68" s="6"/>
      <c r="N68" s="6"/>
      <c r="O68" s="8"/>
      <c r="P68" s="7"/>
      <c r="Q68" s="7"/>
      <c r="R68" s="7"/>
      <c r="S68" s="6"/>
      <c r="T68" s="8"/>
      <c r="U68" s="8"/>
      <c r="V68" s="6"/>
      <c r="W68" s="5"/>
      <c r="X68" s="8"/>
      <c r="Y68" s="6"/>
      <c r="Z68" s="10"/>
    </row>
    <row r="69" spans="1:26" ht="12.75">
      <c r="A69" s="5"/>
      <c r="B69" s="5"/>
      <c r="C69" s="6"/>
      <c r="D69" s="7"/>
      <c r="E69" s="8"/>
      <c r="F69" s="8"/>
      <c r="G69" s="8"/>
      <c r="H69" s="6"/>
      <c r="I69" s="8"/>
      <c r="J69" s="5"/>
      <c r="K69" s="5"/>
      <c r="L69" s="8"/>
      <c r="M69" s="6"/>
      <c r="N69" s="6"/>
      <c r="O69" s="8"/>
      <c r="P69" s="7"/>
      <c r="Q69" s="7"/>
      <c r="R69" s="7"/>
      <c r="S69" s="6"/>
      <c r="T69" s="8"/>
      <c r="U69" s="8"/>
      <c r="V69" s="6"/>
      <c r="W69" s="5"/>
      <c r="X69" s="8"/>
      <c r="Y69" s="6"/>
      <c r="Z69" s="10"/>
    </row>
    <row r="70" spans="1:26" ht="12.75">
      <c r="A70" s="5"/>
      <c r="B70" s="5"/>
      <c r="C70" s="6"/>
      <c r="D70" s="7"/>
      <c r="E70" s="8"/>
      <c r="F70" s="8"/>
      <c r="G70" s="8"/>
      <c r="H70" s="6"/>
      <c r="I70" s="8"/>
      <c r="J70" s="5"/>
      <c r="K70" s="5"/>
      <c r="L70" s="8"/>
      <c r="M70" s="6"/>
      <c r="N70" s="6"/>
      <c r="O70" s="8"/>
      <c r="P70" s="7"/>
      <c r="Q70" s="7"/>
      <c r="R70" s="7"/>
      <c r="S70" s="6"/>
      <c r="T70" s="8"/>
      <c r="U70" s="8"/>
      <c r="V70" s="6"/>
      <c r="W70" s="5"/>
      <c r="X70" s="8"/>
      <c r="Y70" s="6"/>
      <c r="Z70" s="10"/>
    </row>
    <row r="71" spans="1:26" ht="12.75">
      <c r="A71" s="5"/>
      <c r="B71" s="5"/>
      <c r="C71" s="6"/>
      <c r="D71" s="7"/>
      <c r="E71" s="8"/>
      <c r="F71" s="8"/>
      <c r="G71" s="8"/>
      <c r="H71" s="6"/>
      <c r="I71" s="8"/>
      <c r="J71" s="5"/>
      <c r="K71" s="5"/>
      <c r="L71" s="8"/>
      <c r="M71" s="6"/>
      <c r="N71" s="6"/>
      <c r="O71" s="8"/>
      <c r="P71" s="7"/>
      <c r="Q71" s="7"/>
      <c r="R71" s="7"/>
      <c r="S71" s="6"/>
      <c r="T71" s="8"/>
      <c r="U71" s="8"/>
      <c r="V71" s="6"/>
      <c r="W71" s="5"/>
      <c r="X71" s="8"/>
      <c r="Y71" s="6"/>
      <c r="Z71" s="10"/>
    </row>
    <row r="72" spans="1:26" ht="12.75">
      <c r="A72" s="5"/>
      <c r="B72" s="5"/>
      <c r="C72" s="6"/>
      <c r="D72" s="7"/>
      <c r="E72" s="8"/>
      <c r="F72" s="8"/>
      <c r="G72" s="8"/>
      <c r="H72" s="6"/>
      <c r="I72" s="8"/>
      <c r="J72" s="5"/>
      <c r="K72" s="5"/>
      <c r="L72" s="8"/>
      <c r="M72" s="6"/>
      <c r="N72" s="6"/>
      <c r="O72" s="8"/>
      <c r="P72" s="7"/>
      <c r="Q72" s="7"/>
      <c r="R72" s="7"/>
      <c r="S72" s="6"/>
      <c r="T72" s="8"/>
      <c r="U72" s="8"/>
      <c r="V72" s="6"/>
      <c r="W72" s="5"/>
      <c r="X72" s="8"/>
      <c r="Y72" s="6"/>
      <c r="Z72" s="10"/>
    </row>
    <row r="73" spans="1:26" ht="12.75">
      <c r="A73" s="5"/>
      <c r="B73" s="5"/>
      <c r="C73" s="6"/>
      <c r="D73" s="7"/>
      <c r="E73" s="8"/>
      <c r="F73" s="8"/>
      <c r="G73" s="8"/>
      <c r="H73" s="6"/>
      <c r="I73" s="8"/>
      <c r="J73" s="5"/>
      <c r="K73" s="5"/>
      <c r="L73" s="8"/>
      <c r="M73" s="6"/>
      <c r="N73" s="6"/>
      <c r="O73" s="8"/>
      <c r="P73" s="7"/>
      <c r="Q73" s="7"/>
      <c r="R73" s="7"/>
      <c r="S73" s="6"/>
      <c r="T73" s="8"/>
      <c r="U73" s="8"/>
      <c r="V73" s="6"/>
      <c r="W73" s="5"/>
      <c r="X73" s="8"/>
      <c r="Y73" s="6"/>
      <c r="Z73" s="10"/>
    </row>
    <row r="74" spans="1:26" ht="12.75">
      <c r="A74" s="5"/>
      <c r="B74" s="5"/>
      <c r="C74" s="6"/>
      <c r="D74" s="7"/>
      <c r="E74" s="8"/>
      <c r="F74" s="8"/>
      <c r="G74" s="8"/>
      <c r="H74" s="6"/>
      <c r="I74" s="8"/>
      <c r="J74" s="5"/>
      <c r="K74" s="5"/>
      <c r="L74" s="8"/>
      <c r="M74" s="6"/>
      <c r="N74" s="6"/>
      <c r="O74" s="8"/>
      <c r="P74" s="7"/>
      <c r="Q74" s="7"/>
      <c r="R74" s="7"/>
      <c r="S74" s="6"/>
      <c r="T74" s="8"/>
      <c r="U74" s="8"/>
      <c r="V74" s="6"/>
      <c r="W74" s="5"/>
      <c r="X74" s="8"/>
      <c r="Y74" s="6"/>
      <c r="Z74" s="10"/>
    </row>
    <row r="75" spans="1:26" ht="12.75">
      <c r="A75" s="5"/>
      <c r="B75" s="5"/>
      <c r="C75" s="6"/>
      <c r="D75" s="7"/>
      <c r="E75" s="8"/>
      <c r="F75" s="8"/>
      <c r="G75" s="8"/>
      <c r="H75" s="6"/>
      <c r="I75" s="8"/>
      <c r="J75" s="5"/>
      <c r="K75" s="5"/>
      <c r="L75" s="8"/>
      <c r="M75" s="6"/>
      <c r="N75" s="6"/>
      <c r="O75" s="8"/>
      <c r="P75" s="7"/>
      <c r="Q75" s="7"/>
      <c r="R75" s="7"/>
      <c r="S75" s="6"/>
      <c r="T75" s="8"/>
      <c r="U75" s="8"/>
      <c r="V75" s="6"/>
      <c r="W75" s="5"/>
      <c r="X75" s="8"/>
      <c r="Y75" s="6"/>
      <c r="Z75" s="10"/>
    </row>
    <row r="76" spans="1:26" ht="12.75">
      <c r="A76" s="5"/>
      <c r="B76" s="5"/>
      <c r="C76" s="6"/>
      <c r="D76" s="7"/>
      <c r="E76" s="8"/>
      <c r="F76" s="8"/>
      <c r="G76" s="8"/>
      <c r="H76" s="6"/>
      <c r="I76" s="8"/>
      <c r="J76" s="5"/>
      <c r="K76" s="5"/>
      <c r="L76" s="8"/>
      <c r="M76" s="6"/>
      <c r="N76" s="6"/>
      <c r="O76" s="8"/>
      <c r="P76" s="7"/>
      <c r="Q76" s="7"/>
      <c r="R76" s="7"/>
      <c r="S76" s="6"/>
      <c r="T76" s="8"/>
      <c r="U76" s="8"/>
      <c r="V76" s="6"/>
      <c r="W76" s="5"/>
      <c r="X76" s="8"/>
      <c r="Y76" s="6"/>
      <c r="Z76" s="10"/>
    </row>
    <row r="77" spans="1:26" ht="12.75">
      <c r="A77" s="5"/>
      <c r="B77" s="5"/>
      <c r="C77" s="6"/>
      <c r="D77" s="7"/>
      <c r="E77" s="8"/>
      <c r="F77" s="8"/>
      <c r="G77" s="8"/>
      <c r="H77" s="6"/>
      <c r="I77" s="8"/>
      <c r="J77" s="5"/>
      <c r="K77" s="5"/>
      <c r="L77" s="8"/>
      <c r="M77" s="6"/>
      <c r="N77" s="6"/>
      <c r="O77" s="8"/>
      <c r="P77" s="7"/>
      <c r="Q77" s="7"/>
      <c r="R77" s="7"/>
      <c r="S77" s="6"/>
      <c r="T77" s="8"/>
      <c r="U77" s="8"/>
      <c r="V77" s="6"/>
      <c r="W77" s="5"/>
      <c r="X77" s="8"/>
      <c r="Y77" s="6"/>
      <c r="Z77" s="10"/>
    </row>
    <row r="78" spans="1:26" ht="12.75">
      <c r="A78" s="5"/>
      <c r="B78" s="5"/>
      <c r="C78" s="6"/>
      <c r="D78" s="7"/>
      <c r="E78" s="8"/>
      <c r="F78" s="8"/>
      <c r="G78" s="8"/>
      <c r="H78" s="6"/>
      <c r="I78" s="8"/>
      <c r="J78" s="5"/>
      <c r="K78" s="5"/>
      <c r="L78" s="8"/>
      <c r="M78" s="6"/>
      <c r="N78" s="6"/>
      <c r="O78" s="8"/>
      <c r="P78" s="7"/>
      <c r="Q78" s="7"/>
      <c r="R78" s="7"/>
      <c r="S78" s="6"/>
      <c r="T78" s="8"/>
      <c r="U78" s="8"/>
      <c r="V78" s="6"/>
      <c r="W78" s="5"/>
      <c r="X78" s="8"/>
      <c r="Y78" s="6"/>
      <c r="Z78" s="10"/>
    </row>
    <row r="79" spans="1:26" ht="12.75">
      <c r="A79" s="5"/>
      <c r="B79" s="5"/>
      <c r="C79" s="6"/>
      <c r="D79" s="7"/>
      <c r="E79" s="8"/>
      <c r="F79" s="8"/>
      <c r="G79" s="8"/>
      <c r="H79" s="6"/>
      <c r="I79" s="8"/>
      <c r="J79" s="5"/>
      <c r="K79" s="5"/>
      <c r="L79" s="8"/>
      <c r="M79" s="6"/>
      <c r="N79" s="6"/>
      <c r="O79" s="8"/>
      <c r="P79" s="7"/>
      <c r="Q79" s="7"/>
      <c r="R79" s="7"/>
      <c r="S79" s="6"/>
      <c r="T79" s="8"/>
      <c r="U79" s="8"/>
      <c r="V79" s="6"/>
      <c r="W79" s="5"/>
      <c r="X79" s="8"/>
      <c r="Y79" s="6"/>
      <c r="Z79" s="10"/>
    </row>
    <row r="80" spans="1:26" ht="12.75">
      <c r="A80" s="5"/>
      <c r="B80" s="5"/>
      <c r="C80" s="6"/>
      <c r="D80" s="7"/>
      <c r="E80" s="8"/>
      <c r="F80" s="8"/>
      <c r="G80" s="8"/>
      <c r="H80" s="6"/>
      <c r="I80" s="8"/>
      <c r="J80" s="5"/>
      <c r="K80" s="5"/>
      <c r="L80" s="8"/>
      <c r="M80" s="6"/>
      <c r="N80" s="6"/>
      <c r="O80" s="8"/>
      <c r="P80" s="7"/>
      <c r="Q80" s="7"/>
      <c r="R80" s="7"/>
      <c r="S80" s="6"/>
      <c r="T80" s="8"/>
      <c r="U80" s="8"/>
      <c r="V80" s="6"/>
      <c r="W80" s="5"/>
      <c r="X80" s="8"/>
      <c r="Y80" s="6"/>
      <c r="Z80" s="10"/>
    </row>
    <row r="81" spans="1:26" ht="12.75">
      <c r="A81" s="5"/>
      <c r="B81" s="5"/>
      <c r="C81" s="6"/>
      <c r="D81" s="7"/>
      <c r="E81" s="8"/>
      <c r="F81" s="8"/>
      <c r="G81" s="8"/>
      <c r="H81" s="6"/>
      <c r="I81" s="8"/>
      <c r="J81" s="5"/>
      <c r="K81" s="5"/>
      <c r="L81" s="8"/>
      <c r="M81" s="6"/>
      <c r="N81" s="6"/>
      <c r="O81" s="8"/>
      <c r="P81" s="7"/>
      <c r="Q81" s="7"/>
      <c r="R81" s="7"/>
      <c r="S81" s="6"/>
      <c r="T81" s="8"/>
      <c r="U81" s="8"/>
      <c r="V81" s="6"/>
      <c r="W81" s="5"/>
      <c r="X81" s="8"/>
      <c r="Y81" s="6"/>
      <c r="Z81" s="10"/>
    </row>
    <row r="82" spans="1:26" ht="12.75">
      <c r="A82" s="5"/>
      <c r="B82" s="5"/>
      <c r="C82" s="6"/>
      <c r="D82" s="7"/>
      <c r="E82" s="8"/>
      <c r="F82" s="8"/>
      <c r="G82" s="8"/>
      <c r="H82" s="6"/>
      <c r="I82" s="8"/>
      <c r="J82" s="5"/>
      <c r="K82" s="5"/>
      <c r="L82" s="8"/>
      <c r="M82" s="6"/>
      <c r="N82" s="6"/>
      <c r="O82" s="8"/>
      <c r="P82" s="7"/>
      <c r="Q82" s="7"/>
      <c r="R82" s="7"/>
      <c r="S82" s="6"/>
      <c r="T82" s="8"/>
      <c r="U82" s="8"/>
      <c r="V82" s="6"/>
      <c r="W82" s="5"/>
      <c r="X82" s="8"/>
      <c r="Y82" s="6"/>
      <c r="Z82" s="10"/>
    </row>
    <row r="83" spans="1:26" ht="12.75">
      <c r="A83" s="5"/>
      <c r="B83" s="5"/>
      <c r="C83" s="6"/>
      <c r="D83" s="7"/>
      <c r="E83" s="8"/>
      <c r="F83" s="8"/>
      <c r="G83" s="8"/>
      <c r="H83" s="6"/>
      <c r="I83" s="8"/>
      <c r="J83" s="5"/>
      <c r="K83" s="5"/>
      <c r="L83" s="8"/>
      <c r="M83" s="6"/>
      <c r="N83" s="6"/>
      <c r="O83" s="8"/>
      <c r="P83" s="7"/>
      <c r="Q83" s="7"/>
      <c r="R83" s="7"/>
      <c r="S83" s="6"/>
      <c r="T83" s="8"/>
      <c r="U83" s="8"/>
      <c r="V83" s="6"/>
      <c r="W83" s="5"/>
      <c r="X83" s="8"/>
      <c r="Y83" s="6"/>
      <c r="Z83" s="10"/>
    </row>
    <row r="84" spans="1:26" ht="12.75">
      <c r="A84" s="21"/>
      <c r="B84" s="21"/>
      <c r="C84" s="22"/>
      <c r="D84" s="23"/>
      <c r="E84" s="24"/>
      <c r="F84" s="24"/>
      <c r="G84" s="24"/>
      <c r="H84" s="22"/>
      <c r="I84" s="24"/>
      <c r="J84" s="21"/>
      <c r="K84" s="21"/>
      <c r="L84" s="24"/>
      <c r="M84" s="22"/>
      <c r="N84" s="22"/>
      <c r="O84" s="24"/>
      <c r="P84" s="23"/>
      <c r="Q84" s="23"/>
      <c r="R84" s="23"/>
      <c r="S84" s="22"/>
      <c r="T84" s="24"/>
      <c r="U84" s="24"/>
      <c r="V84" s="22"/>
      <c r="W84" s="21"/>
      <c r="X84" s="24"/>
      <c r="Y84" s="22"/>
      <c r="Z84" s="10"/>
    </row>
    <row r="85" spans="1:26" ht="12.75">
      <c r="A85" s="25"/>
      <c r="B85" s="25"/>
      <c r="C85" s="25"/>
      <c r="D85" s="26"/>
      <c r="E85" s="26"/>
      <c r="F85" s="26"/>
      <c r="G85" s="26"/>
      <c r="H85" s="25"/>
      <c r="I85" s="26"/>
      <c r="J85" s="25"/>
      <c r="K85" s="25"/>
      <c r="L85" s="26"/>
      <c r="M85" s="25"/>
      <c r="N85" s="25"/>
      <c r="O85" s="26"/>
      <c r="P85" s="26"/>
      <c r="Q85" s="26"/>
      <c r="R85" s="26"/>
      <c r="S85" s="25"/>
      <c r="T85" s="26"/>
      <c r="U85" s="26"/>
      <c r="V85" s="25"/>
      <c r="W85" s="25"/>
      <c r="X85" s="26"/>
      <c r="Y85" s="25"/>
      <c r="Z85" s="10"/>
    </row>
    <row r="86" spans="1:26" ht="12.75">
      <c r="A86" s="25"/>
      <c r="B86" s="25"/>
      <c r="C86" s="25"/>
      <c r="D86" s="26"/>
      <c r="E86" s="26"/>
      <c r="F86" s="26"/>
      <c r="G86" s="26"/>
      <c r="H86" s="25"/>
      <c r="I86" s="26"/>
      <c r="J86" s="25"/>
      <c r="K86" s="25"/>
      <c r="L86" s="26"/>
      <c r="M86" s="25"/>
      <c r="N86" s="25"/>
      <c r="O86" s="26"/>
      <c r="P86" s="26"/>
      <c r="Q86" s="26"/>
      <c r="R86" s="26"/>
      <c r="S86" s="25"/>
      <c r="T86" s="26"/>
      <c r="U86" s="26"/>
      <c r="V86" s="25"/>
      <c r="W86" s="25"/>
      <c r="X86" s="26"/>
      <c r="Y86" s="25"/>
      <c r="Z86" s="10"/>
    </row>
    <row r="87" spans="1:26" ht="12.75">
      <c r="A87" s="25"/>
      <c r="B87" s="25"/>
      <c r="C87" s="25"/>
      <c r="D87" s="26"/>
      <c r="E87" s="26"/>
      <c r="F87" s="26"/>
      <c r="G87" s="26"/>
      <c r="H87" s="25"/>
      <c r="I87" s="26"/>
      <c r="J87" s="25"/>
      <c r="K87" s="25"/>
      <c r="L87" s="26"/>
      <c r="M87" s="25"/>
      <c r="N87" s="25"/>
      <c r="O87" s="26"/>
      <c r="P87" s="26"/>
      <c r="Q87" s="26"/>
      <c r="R87" s="26"/>
      <c r="S87" s="25"/>
      <c r="T87" s="26"/>
      <c r="U87" s="26"/>
      <c r="V87" s="25"/>
      <c r="W87" s="25"/>
      <c r="X87" s="26"/>
      <c r="Y87" s="25"/>
      <c r="Z87" s="10"/>
    </row>
    <row r="88" spans="1:26" ht="12.75">
      <c r="A88" s="25"/>
      <c r="B88" s="25"/>
      <c r="C88" s="25"/>
      <c r="D88" s="26"/>
      <c r="E88" s="26"/>
      <c r="F88" s="26"/>
      <c r="G88" s="26"/>
      <c r="H88" s="25"/>
      <c r="I88" s="26"/>
      <c r="J88" s="25"/>
      <c r="K88" s="25"/>
      <c r="L88" s="26"/>
      <c r="M88" s="25"/>
      <c r="N88" s="25"/>
      <c r="O88" s="26"/>
      <c r="P88" s="26"/>
      <c r="Q88" s="26"/>
      <c r="R88" s="26"/>
      <c r="S88" s="25"/>
      <c r="T88" s="26"/>
      <c r="U88" s="26"/>
      <c r="V88" s="25"/>
      <c r="W88" s="25"/>
      <c r="X88" s="26"/>
      <c r="Y88" s="25"/>
      <c r="Z88" s="10"/>
    </row>
    <row r="89" spans="1:26" ht="12.75">
      <c r="A89" s="25"/>
      <c r="B89" s="25"/>
      <c r="C89" s="25"/>
      <c r="D89" s="26"/>
      <c r="E89" s="26"/>
      <c r="F89" s="26"/>
      <c r="G89" s="26"/>
      <c r="H89" s="25"/>
      <c r="I89" s="26"/>
      <c r="J89" s="25"/>
      <c r="K89" s="25"/>
      <c r="L89" s="26"/>
      <c r="M89" s="25"/>
      <c r="N89" s="25"/>
      <c r="O89" s="26"/>
      <c r="P89" s="26"/>
      <c r="Q89" s="26"/>
      <c r="R89" s="26"/>
      <c r="S89" s="25"/>
      <c r="T89" s="26"/>
      <c r="U89" s="26"/>
      <c r="V89" s="25"/>
      <c r="W89" s="25"/>
      <c r="X89" s="26"/>
      <c r="Y89" s="25"/>
      <c r="Z89" s="10"/>
    </row>
    <row r="90" spans="1:26" ht="12.75">
      <c r="A90" s="25"/>
      <c r="B90" s="25"/>
      <c r="C90" s="25"/>
      <c r="D90" s="26"/>
      <c r="E90" s="26"/>
      <c r="F90" s="26"/>
      <c r="G90" s="26"/>
      <c r="H90" s="25"/>
      <c r="I90" s="26"/>
      <c r="J90" s="25"/>
      <c r="K90" s="25"/>
      <c r="L90" s="26"/>
      <c r="M90" s="25"/>
      <c r="N90" s="25"/>
      <c r="O90" s="26"/>
      <c r="P90" s="26"/>
      <c r="Q90" s="26"/>
      <c r="R90" s="26"/>
      <c r="S90" s="25"/>
      <c r="T90" s="26"/>
      <c r="U90" s="26"/>
      <c r="V90" s="25"/>
      <c r="W90" s="25"/>
      <c r="X90" s="26"/>
      <c r="Y90" s="25"/>
      <c r="Z90" s="10"/>
    </row>
    <row r="91" spans="1:26" ht="12.75">
      <c r="A91" s="25"/>
      <c r="B91" s="25"/>
      <c r="C91" s="25"/>
      <c r="D91" s="26"/>
      <c r="E91" s="26"/>
      <c r="F91" s="26"/>
      <c r="G91" s="26"/>
      <c r="H91" s="25"/>
      <c r="I91" s="26"/>
      <c r="J91" s="25"/>
      <c r="K91" s="25"/>
      <c r="L91" s="26"/>
      <c r="M91" s="25"/>
      <c r="N91" s="25"/>
      <c r="O91" s="26"/>
      <c r="P91" s="26"/>
      <c r="Q91" s="26"/>
      <c r="R91" s="26"/>
      <c r="S91" s="25"/>
      <c r="T91" s="26"/>
      <c r="U91" s="26"/>
      <c r="V91" s="25"/>
      <c r="W91" s="25"/>
      <c r="X91" s="26"/>
      <c r="Y91" s="25"/>
      <c r="Z91" s="10"/>
    </row>
    <row r="92" spans="1:26" ht="12.75">
      <c r="A92" s="25"/>
      <c r="B92" s="25"/>
      <c r="C92" s="25"/>
      <c r="D92" s="26"/>
      <c r="E92" s="26"/>
      <c r="F92" s="26"/>
      <c r="G92" s="26"/>
      <c r="H92" s="25"/>
      <c r="I92" s="26"/>
      <c r="J92" s="25"/>
      <c r="K92" s="25"/>
      <c r="L92" s="26"/>
      <c r="M92" s="25"/>
      <c r="N92" s="25"/>
      <c r="O92" s="26"/>
      <c r="P92" s="26"/>
      <c r="Q92" s="26"/>
      <c r="R92" s="26"/>
      <c r="S92" s="25"/>
      <c r="T92" s="26"/>
      <c r="U92" s="26"/>
      <c r="V92" s="25"/>
      <c r="W92" s="25"/>
      <c r="X92" s="26"/>
      <c r="Y92" s="25"/>
      <c r="Z92" s="10"/>
    </row>
    <row r="93" spans="1:26" ht="12.75">
      <c r="A93" s="25"/>
      <c r="B93" s="25"/>
      <c r="C93" s="25"/>
      <c r="D93" s="26"/>
      <c r="E93" s="26"/>
      <c r="F93" s="26"/>
      <c r="G93" s="26"/>
      <c r="H93" s="25"/>
      <c r="I93" s="26"/>
      <c r="J93" s="25"/>
      <c r="K93" s="25"/>
      <c r="L93" s="26"/>
      <c r="M93" s="25"/>
      <c r="N93" s="25"/>
      <c r="O93" s="26"/>
      <c r="P93" s="26"/>
      <c r="Q93" s="26"/>
      <c r="R93" s="26"/>
      <c r="S93" s="25"/>
      <c r="T93" s="26"/>
      <c r="U93" s="26"/>
      <c r="V93" s="25"/>
      <c r="W93" s="25"/>
      <c r="X93" s="26"/>
      <c r="Y93" s="25"/>
      <c r="Z93" s="10"/>
    </row>
    <row r="94" spans="1:26" ht="12.75">
      <c r="A94" s="25"/>
      <c r="B94" s="25"/>
      <c r="C94" s="25"/>
      <c r="D94" s="26"/>
      <c r="E94" s="26"/>
      <c r="F94" s="26"/>
      <c r="G94" s="26"/>
      <c r="H94" s="25"/>
      <c r="I94" s="26"/>
      <c r="J94" s="25"/>
      <c r="K94" s="25"/>
      <c r="L94" s="26"/>
      <c r="M94" s="25"/>
      <c r="N94" s="25"/>
      <c r="O94" s="26"/>
      <c r="P94" s="26"/>
      <c r="Q94" s="26"/>
      <c r="R94" s="26"/>
      <c r="S94" s="25"/>
      <c r="T94" s="26"/>
      <c r="U94" s="26"/>
      <c r="V94" s="25"/>
      <c r="W94" s="25"/>
      <c r="X94" s="26"/>
      <c r="Y94" s="25"/>
      <c r="Z94" s="10"/>
    </row>
    <row r="95" spans="1:26" ht="12.75">
      <c r="A95" s="25"/>
      <c r="B95" s="25"/>
      <c r="C95" s="25"/>
      <c r="D95" s="26"/>
      <c r="E95" s="26"/>
      <c r="F95" s="26"/>
      <c r="G95" s="26"/>
      <c r="H95" s="25"/>
      <c r="I95" s="26"/>
      <c r="J95" s="25"/>
      <c r="K95" s="25"/>
      <c r="L95" s="26"/>
      <c r="M95" s="25"/>
      <c r="N95" s="25"/>
      <c r="O95" s="26"/>
      <c r="P95" s="26"/>
      <c r="Q95" s="26"/>
      <c r="R95" s="26"/>
      <c r="S95" s="25"/>
      <c r="T95" s="26"/>
      <c r="U95" s="26"/>
      <c r="V95" s="25"/>
      <c r="W95" s="25"/>
      <c r="X95" s="26"/>
      <c r="Y95" s="25"/>
      <c r="Z95" s="10"/>
    </row>
    <row r="96" spans="1:26" ht="12.75">
      <c r="A96" s="25"/>
      <c r="B96" s="25"/>
      <c r="C96" s="25"/>
      <c r="D96" s="26"/>
      <c r="E96" s="26"/>
      <c r="F96" s="26"/>
      <c r="G96" s="26"/>
      <c r="H96" s="25"/>
      <c r="I96" s="26"/>
      <c r="J96" s="25"/>
      <c r="K96" s="25"/>
      <c r="L96" s="26"/>
      <c r="M96" s="25"/>
      <c r="N96" s="25"/>
      <c r="O96" s="26"/>
      <c r="P96" s="26"/>
      <c r="Q96" s="26"/>
      <c r="R96" s="26"/>
      <c r="S96" s="25"/>
      <c r="T96" s="26"/>
      <c r="U96" s="26"/>
      <c r="V96" s="25"/>
      <c r="W96" s="25"/>
      <c r="X96" s="26"/>
      <c r="Y96" s="25"/>
      <c r="Z96" s="10"/>
    </row>
    <row r="97" spans="1:26" ht="12.75">
      <c r="A97" s="25"/>
      <c r="B97" s="25"/>
      <c r="C97" s="25"/>
      <c r="D97" s="26"/>
      <c r="E97" s="26"/>
      <c r="F97" s="26"/>
      <c r="G97" s="26"/>
      <c r="H97" s="25"/>
      <c r="I97" s="26"/>
      <c r="J97" s="25"/>
      <c r="K97" s="25"/>
      <c r="L97" s="26"/>
      <c r="M97" s="25"/>
      <c r="N97" s="25"/>
      <c r="O97" s="26"/>
      <c r="P97" s="26"/>
      <c r="Q97" s="26"/>
      <c r="R97" s="26"/>
      <c r="S97" s="25"/>
      <c r="T97" s="26"/>
      <c r="U97" s="26"/>
      <c r="V97" s="25"/>
      <c r="W97" s="25"/>
      <c r="X97" s="26"/>
      <c r="Y97" s="25"/>
      <c r="Z97" s="10"/>
    </row>
    <row r="98" spans="1:26" ht="12.75">
      <c r="A98" s="25"/>
      <c r="B98" s="25"/>
      <c r="C98" s="25"/>
      <c r="D98" s="26"/>
      <c r="E98" s="26"/>
      <c r="F98" s="26"/>
      <c r="G98" s="26"/>
      <c r="H98" s="25"/>
      <c r="I98" s="26"/>
      <c r="J98" s="25"/>
      <c r="K98" s="25"/>
      <c r="L98" s="26"/>
      <c r="M98" s="25"/>
      <c r="N98" s="25"/>
      <c r="O98" s="26"/>
      <c r="P98" s="26"/>
      <c r="Q98" s="26"/>
      <c r="R98" s="26"/>
      <c r="S98" s="25"/>
      <c r="T98" s="26"/>
      <c r="U98" s="26"/>
      <c r="V98" s="25"/>
      <c r="W98" s="25"/>
      <c r="X98" s="26"/>
      <c r="Y98" s="25"/>
      <c r="Z98" s="10"/>
    </row>
    <row r="99" spans="1:26" ht="12.75">
      <c r="A99" s="25"/>
      <c r="B99" s="25"/>
      <c r="C99" s="25"/>
      <c r="D99" s="26"/>
      <c r="E99" s="26"/>
      <c r="F99" s="26"/>
      <c r="G99" s="26"/>
      <c r="H99" s="25"/>
      <c r="I99" s="26"/>
      <c r="J99" s="25"/>
      <c r="K99" s="25"/>
      <c r="L99" s="26"/>
      <c r="M99" s="25"/>
      <c r="N99" s="25"/>
      <c r="O99" s="26"/>
      <c r="P99" s="26"/>
      <c r="Q99" s="26"/>
      <c r="R99" s="26"/>
      <c r="S99" s="25"/>
      <c r="T99" s="26"/>
      <c r="U99" s="26"/>
      <c r="V99" s="25"/>
      <c r="W99" s="25"/>
      <c r="X99" s="26"/>
      <c r="Y99" s="25"/>
      <c r="Z99" s="10"/>
    </row>
    <row r="100" spans="1:26" ht="12.75">
      <c r="A100" s="25"/>
      <c r="B100" s="25"/>
      <c r="C100" s="25"/>
      <c r="D100" s="26"/>
      <c r="E100" s="26"/>
      <c r="F100" s="26"/>
      <c r="G100" s="26"/>
      <c r="H100" s="25"/>
      <c r="I100" s="26"/>
      <c r="J100" s="25"/>
      <c r="K100" s="25"/>
      <c r="L100" s="26"/>
      <c r="M100" s="25"/>
      <c r="N100" s="25"/>
      <c r="O100" s="26"/>
      <c r="P100" s="26"/>
      <c r="Q100" s="26"/>
      <c r="R100" s="26"/>
      <c r="S100" s="25"/>
      <c r="T100" s="26"/>
      <c r="U100" s="26"/>
      <c r="V100" s="25"/>
      <c r="W100" s="25"/>
      <c r="X100" s="26"/>
      <c r="Y100" s="25"/>
      <c r="Z100" s="10"/>
    </row>
    <row r="101" spans="1:26" ht="12.75">
      <c r="A101" s="25"/>
      <c r="B101" s="25"/>
      <c r="C101" s="25"/>
      <c r="D101" s="26"/>
      <c r="E101" s="26"/>
      <c r="F101" s="26"/>
      <c r="G101" s="26"/>
      <c r="H101" s="25"/>
      <c r="I101" s="26"/>
      <c r="J101" s="25"/>
      <c r="K101" s="25"/>
      <c r="L101" s="26"/>
      <c r="M101" s="25"/>
      <c r="N101" s="25"/>
      <c r="O101" s="26"/>
      <c r="P101" s="26"/>
      <c r="Q101" s="26"/>
      <c r="R101" s="26"/>
      <c r="S101" s="25"/>
      <c r="T101" s="26"/>
      <c r="U101" s="26"/>
      <c r="V101" s="25"/>
      <c r="W101" s="25"/>
      <c r="X101" s="26"/>
      <c r="Y101" s="25"/>
      <c r="Z101" s="10"/>
    </row>
    <row r="102" spans="1:26" ht="12.75">
      <c r="A102" s="25"/>
      <c r="B102" s="25"/>
      <c r="C102" s="25"/>
      <c r="D102" s="26"/>
      <c r="E102" s="26"/>
      <c r="F102" s="26"/>
      <c r="G102" s="26"/>
      <c r="H102" s="25"/>
      <c r="I102" s="26"/>
      <c r="J102" s="25"/>
      <c r="K102" s="25"/>
      <c r="L102" s="26"/>
      <c r="M102" s="25"/>
      <c r="N102" s="25"/>
      <c r="O102" s="26"/>
      <c r="P102" s="26"/>
      <c r="Q102" s="26"/>
      <c r="R102" s="26"/>
      <c r="S102" s="25"/>
      <c r="T102" s="26"/>
      <c r="U102" s="26"/>
      <c r="V102" s="25"/>
      <c r="W102" s="25"/>
      <c r="X102" s="26"/>
      <c r="Y102" s="25"/>
      <c r="Z102" s="10"/>
    </row>
    <row r="103" spans="1:26" ht="12.75">
      <c r="A103" s="25"/>
      <c r="B103" s="25"/>
      <c r="C103" s="25"/>
      <c r="D103" s="26"/>
      <c r="E103" s="26"/>
      <c r="F103" s="26"/>
      <c r="G103" s="26"/>
      <c r="H103" s="25"/>
      <c r="I103" s="26"/>
      <c r="J103" s="25"/>
      <c r="K103" s="25"/>
      <c r="L103" s="26"/>
      <c r="M103" s="25"/>
      <c r="N103" s="25"/>
      <c r="O103" s="26"/>
      <c r="P103" s="26"/>
      <c r="Q103" s="26"/>
      <c r="R103" s="26"/>
      <c r="S103" s="25"/>
      <c r="T103" s="26"/>
      <c r="U103" s="26"/>
      <c r="V103" s="25"/>
      <c r="W103" s="25"/>
      <c r="X103" s="26"/>
      <c r="Y103" s="25"/>
      <c r="Z103" s="10"/>
    </row>
    <row r="104" spans="1:26" ht="12.75">
      <c r="A104" s="25"/>
      <c r="B104" s="25"/>
      <c r="C104" s="25"/>
      <c r="D104" s="26"/>
      <c r="E104" s="26"/>
      <c r="F104" s="26"/>
      <c r="G104" s="26"/>
      <c r="H104" s="25"/>
      <c r="I104" s="26"/>
      <c r="J104" s="25"/>
      <c r="K104" s="25"/>
      <c r="L104" s="26"/>
      <c r="M104" s="25"/>
      <c r="N104" s="25"/>
      <c r="O104" s="26"/>
      <c r="P104" s="26"/>
      <c r="Q104" s="26"/>
      <c r="R104" s="26"/>
      <c r="S104" s="25"/>
      <c r="T104" s="26"/>
      <c r="U104" s="26"/>
      <c r="V104" s="25"/>
      <c r="W104" s="25"/>
      <c r="X104" s="26"/>
      <c r="Y104" s="25"/>
      <c r="Z104" s="10"/>
    </row>
    <row r="105" spans="1:26" ht="12.75">
      <c r="A105" s="25"/>
      <c r="B105" s="25"/>
      <c r="C105" s="25"/>
      <c r="D105" s="26"/>
      <c r="E105" s="26"/>
      <c r="F105" s="26"/>
      <c r="G105" s="26"/>
      <c r="H105" s="25"/>
      <c r="I105" s="26"/>
      <c r="J105" s="25"/>
      <c r="K105" s="25"/>
      <c r="L105" s="26"/>
      <c r="M105" s="25"/>
      <c r="N105" s="25"/>
      <c r="O105" s="26"/>
      <c r="P105" s="26"/>
      <c r="Q105" s="26"/>
      <c r="R105" s="26"/>
      <c r="S105" s="25"/>
      <c r="T105" s="26"/>
      <c r="U105" s="26"/>
      <c r="V105" s="25"/>
      <c r="W105" s="25"/>
      <c r="X105" s="26"/>
      <c r="Y105" s="25"/>
      <c r="Z105" s="10"/>
    </row>
    <row r="106" spans="1:26" ht="12.75">
      <c r="A106" s="25"/>
      <c r="B106" s="25"/>
      <c r="C106" s="25"/>
      <c r="D106" s="26"/>
      <c r="E106" s="26"/>
      <c r="F106" s="26"/>
      <c r="G106" s="26"/>
      <c r="H106" s="25"/>
      <c r="I106" s="26"/>
      <c r="J106" s="25"/>
      <c r="K106" s="25"/>
      <c r="L106" s="26"/>
      <c r="M106" s="25"/>
      <c r="N106" s="25"/>
      <c r="O106" s="26"/>
      <c r="P106" s="26"/>
      <c r="Q106" s="26"/>
      <c r="R106" s="26"/>
      <c r="S106" s="25"/>
      <c r="T106" s="26"/>
      <c r="U106" s="26"/>
      <c r="V106" s="25"/>
      <c r="W106" s="25"/>
      <c r="X106" s="26"/>
      <c r="Y106" s="25"/>
      <c r="Z106" s="10"/>
    </row>
    <row r="107" spans="1:26" ht="12.75">
      <c r="A107" s="25"/>
      <c r="B107" s="25"/>
      <c r="C107" s="25"/>
      <c r="D107" s="26"/>
      <c r="E107" s="26"/>
      <c r="F107" s="26"/>
      <c r="G107" s="26"/>
      <c r="H107" s="25"/>
      <c r="I107" s="26"/>
      <c r="J107" s="25"/>
      <c r="K107" s="25"/>
      <c r="L107" s="26"/>
      <c r="M107" s="25"/>
      <c r="N107" s="25"/>
      <c r="O107" s="26"/>
      <c r="P107" s="26"/>
      <c r="Q107" s="26"/>
      <c r="R107" s="26"/>
      <c r="S107" s="25"/>
      <c r="T107" s="26"/>
      <c r="U107" s="26"/>
      <c r="V107" s="25"/>
      <c r="W107" s="25"/>
      <c r="X107" s="26"/>
      <c r="Y107" s="25"/>
      <c r="Z107" s="10"/>
    </row>
    <row r="108" spans="1:26" ht="12.75">
      <c r="A108" s="25"/>
      <c r="B108" s="25"/>
      <c r="C108" s="25"/>
      <c r="D108" s="26"/>
      <c r="E108" s="26"/>
      <c r="F108" s="26"/>
      <c r="G108" s="26"/>
      <c r="H108" s="25"/>
      <c r="I108" s="26"/>
      <c r="J108" s="25"/>
      <c r="K108" s="25"/>
      <c r="L108" s="26"/>
      <c r="M108" s="25"/>
      <c r="N108" s="25"/>
      <c r="O108" s="26"/>
      <c r="P108" s="26"/>
      <c r="Q108" s="26"/>
      <c r="R108" s="26"/>
      <c r="S108" s="25"/>
      <c r="T108" s="26"/>
      <c r="U108" s="26"/>
      <c r="V108" s="25"/>
      <c r="W108" s="25"/>
      <c r="X108" s="26"/>
      <c r="Y108" s="25"/>
      <c r="Z108" s="10"/>
    </row>
    <row r="109" spans="1:26" ht="12.75">
      <c r="A109" s="25"/>
      <c r="B109" s="25"/>
      <c r="C109" s="25"/>
      <c r="D109" s="26"/>
      <c r="E109" s="26"/>
      <c r="F109" s="26"/>
      <c r="G109" s="26"/>
      <c r="H109" s="25"/>
      <c r="I109" s="26"/>
      <c r="J109" s="25"/>
      <c r="K109" s="25"/>
      <c r="L109" s="26"/>
      <c r="M109" s="25"/>
      <c r="N109" s="25"/>
      <c r="O109" s="26"/>
      <c r="P109" s="26"/>
      <c r="Q109" s="26"/>
      <c r="R109" s="26"/>
      <c r="S109" s="25"/>
      <c r="T109" s="26"/>
      <c r="U109" s="26"/>
      <c r="V109" s="25"/>
      <c r="W109" s="25"/>
      <c r="X109" s="26"/>
      <c r="Y109" s="25"/>
      <c r="Z109" s="10"/>
    </row>
    <row r="110" spans="1:26" ht="12.75">
      <c r="A110" s="25"/>
      <c r="B110" s="25"/>
      <c r="C110" s="25"/>
      <c r="D110" s="26"/>
      <c r="E110" s="26"/>
      <c r="F110" s="26"/>
      <c r="G110" s="26"/>
      <c r="H110" s="25"/>
      <c r="I110" s="26"/>
      <c r="J110" s="25"/>
      <c r="K110" s="25"/>
      <c r="L110" s="26"/>
      <c r="M110" s="25"/>
      <c r="N110" s="25"/>
      <c r="O110" s="26"/>
      <c r="P110" s="26"/>
      <c r="Q110" s="26"/>
      <c r="R110" s="26"/>
      <c r="S110" s="25"/>
      <c r="T110" s="26"/>
      <c r="U110" s="26"/>
      <c r="V110" s="25"/>
      <c r="W110" s="25"/>
      <c r="X110" s="26"/>
      <c r="Y110" s="25"/>
      <c r="Z110" s="10"/>
    </row>
    <row r="111" spans="1:26" ht="12.75">
      <c r="A111" s="25"/>
      <c r="B111" s="25"/>
      <c r="C111" s="25"/>
      <c r="D111" s="26"/>
      <c r="E111" s="26"/>
      <c r="F111" s="26"/>
      <c r="G111" s="26"/>
      <c r="H111" s="25"/>
      <c r="I111" s="26"/>
      <c r="J111" s="25"/>
      <c r="K111" s="25"/>
      <c r="L111" s="26"/>
      <c r="M111" s="25"/>
      <c r="N111" s="25"/>
      <c r="O111" s="26"/>
      <c r="P111" s="26"/>
      <c r="Q111" s="26"/>
      <c r="R111" s="26"/>
      <c r="S111" s="25"/>
      <c r="T111" s="26"/>
      <c r="U111" s="26"/>
      <c r="V111" s="25"/>
      <c r="W111" s="25"/>
      <c r="X111" s="26"/>
      <c r="Y111" s="25"/>
      <c r="Z111" s="10"/>
    </row>
    <row r="112" spans="1:26" ht="12.75">
      <c r="A112" s="25"/>
      <c r="B112" s="25"/>
      <c r="C112" s="25"/>
      <c r="D112" s="26"/>
      <c r="E112" s="26"/>
      <c r="F112" s="26"/>
      <c r="G112" s="26"/>
      <c r="H112" s="25"/>
      <c r="I112" s="26"/>
      <c r="J112" s="25"/>
      <c r="K112" s="25"/>
      <c r="L112" s="26"/>
      <c r="M112" s="25"/>
      <c r="N112" s="25"/>
      <c r="O112" s="26"/>
      <c r="P112" s="26"/>
      <c r="Q112" s="26"/>
      <c r="R112" s="26"/>
      <c r="S112" s="25"/>
      <c r="T112" s="26"/>
      <c r="U112" s="26"/>
      <c r="V112" s="25"/>
      <c r="W112" s="25"/>
      <c r="X112" s="26"/>
      <c r="Y112" s="25"/>
      <c r="Z112" s="10"/>
    </row>
    <row r="113" spans="1:26" ht="12.75">
      <c r="A113" s="25"/>
      <c r="B113" s="25"/>
      <c r="C113" s="25"/>
      <c r="D113" s="26"/>
      <c r="E113" s="26"/>
      <c r="F113" s="26"/>
      <c r="G113" s="26"/>
      <c r="H113" s="25"/>
      <c r="I113" s="26"/>
      <c r="J113" s="25"/>
      <c r="K113" s="25"/>
      <c r="L113" s="26"/>
      <c r="M113" s="25"/>
      <c r="N113" s="25"/>
      <c r="O113" s="26"/>
      <c r="P113" s="26"/>
      <c r="Q113" s="26"/>
      <c r="R113" s="26"/>
      <c r="S113" s="25"/>
      <c r="T113" s="26"/>
      <c r="U113" s="26"/>
      <c r="V113" s="25"/>
      <c r="W113" s="25"/>
      <c r="X113" s="26"/>
      <c r="Y113" s="25"/>
      <c r="Z113" s="10"/>
    </row>
    <row r="114" spans="1:26" ht="12.75">
      <c r="A114" s="25"/>
      <c r="B114" s="25"/>
      <c r="C114" s="25"/>
      <c r="D114" s="26"/>
      <c r="E114" s="26"/>
      <c r="F114" s="26"/>
      <c r="G114" s="26"/>
      <c r="H114" s="25"/>
      <c r="I114" s="26"/>
      <c r="J114" s="25"/>
      <c r="K114" s="25"/>
      <c r="L114" s="26"/>
      <c r="M114" s="25"/>
      <c r="N114" s="25"/>
      <c r="O114" s="26"/>
      <c r="P114" s="26"/>
      <c r="Q114" s="26"/>
      <c r="R114" s="26"/>
      <c r="S114" s="25"/>
      <c r="T114" s="26"/>
      <c r="U114" s="26"/>
      <c r="V114" s="25"/>
      <c r="W114" s="25"/>
      <c r="X114" s="26"/>
      <c r="Y114" s="25"/>
      <c r="Z114" s="10"/>
    </row>
    <row r="115" spans="1:26" ht="12.75">
      <c r="A115" s="25"/>
      <c r="B115" s="25"/>
      <c r="C115" s="25"/>
      <c r="D115" s="26"/>
      <c r="E115" s="26"/>
      <c r="F115" s="26"/>
      <c r="G115" s="26"/>
      <c r="H115" s="25"/>
      <c r="I115" s="26"/>
      <c r="J115" s="25"/>
      <c r="K115" s="25"/>
      <c r="L115" s="26"/>
      <c r="M115" s="25"/>
      <c r="N115" s="25"/>
      <c r="O115" s="26"/>
      <c r="P115" s="26"/>
      <c r="Q115" s="26"/>
      <c r="R115" s="26"/>
      <c r="S115" s="25"/>
      <c r="T115" s="26"/>
      <c r="U115" s="26"/>
      <c r="V115" s="25"/>
      <c r="W115" s="25"/>
      <c r="X115" s="26"/>
      <c r="Y115" s="25"/>
      <c r="Z115" s="10"/>
    </row>
    <row r="116" spans="1:26" ht="12.75">
      <c r="A116" s="25"/>
      <c r="B116" s="25"/>
      <c r="C116" s="25"/>
      <c r="D116" s="26"/>
      <c r="E116" s="26"/>
      <c r="F116" s="26"/>
      <c r="G116" s="26"/>
      <c r="H116" s="25"/>
      <c r="I116" s="26"/>
      <c r="J116" s="25"/>
      <c r="K116" s="25"/>
      <c r="L116" s="26"/>
      <c r="M116" s="25"/>
      <c r="N116" s="25"/>
      <c r="O116" s="26"/>
      <c r="P116" s="26"/>
      <c r="Q116" s="26"/>
      <c r="R116" s="26"/>
      <c r="S116" s="25"/>
      <c r="T116" s="26"/>
      <c r="U116" s="26"/>
      <c r="V116" s="25"/>
      <c r="W116" s="25"/>
      <c r="X116" s="26"/>
      <c r="Y116" s="25"/>
      <c r="Z116" s="10"/>
    </row>
    <row r="117" spans="1:26" ht="12.75">
      <c r="A117" s="25"/>
      <c r="B117" s="25"/>
      <c r="C117" s="25"/>
      <c r="D117" s="26"/>
      <c r="E117" s="26"/>
      <c r="F117" s="26"/>
      <c r="G117" s="26"/>
      <c r="H117" s="25"/>
      <c r="I117" s="26"/>
      <c r="J117" s="25"/>
      <c r="K117" s="25"/>
      <c r="L117" s="26"/>
      <c r="M117" s="25"/>
      <c r="N117" s="25"/>
      <c r="O117" s="26"/>
      <c r="P117" s="26"/>
      <c r="Q117" s="26"/>
      <c r="R117" s="26"/>
      <c r="S117" s="25"/>
      <c r="T117" s="26"/>
      <c r="U117" s="26"/>
      <c r="V117" s="25"/>
      <c r="W117" s="25"/>
      <c r="X117" s="26"/>
      <c r="Y117" s="25"/>
      <c r="Z117" s="10"/>
    </row>
    <row r="118" spans="1:26" ht="12.75">
      <c r="A118" s="25"/>
      <c r="B118" s="25"/>
      <c r="C118" s="25"/>
      <c r="D118" s="26"/>
      <c r="E118" s="26"/>
      <c r="F118" s="26"/>
      <c r="G118" s="26"/>
      <c r="H118" s="25"/>
      <c r="I118" s="26"/>
      <c r="J118" s="25"/>
      <c r="K118" s="25"/>
      <c r="L118" s="26"/>
      <c r="M118" s="25"/>
      <c r="N118" s="25"/>
      <c r="O118" s="26"/>
      <c r="P118" s="26"/>
      <c r="Q118" s="26"/>
      <c r="R118" s="26"/>
      <c r="S118" s="25"/>
      <c r="T118" s="26"/>
      <c r="U118" s="26"/>
      <c r="V118" s="25"/>
      <c r="W118" s="25"/>
      <c r="X118" s="26"/>
      <c r="Y118" s="25"/>
      <c r="Z118" s="10"/>
    </row>
    <row r="119" spans="1:26" ht="12.75">
      <c r="A119" s="25"/>
      <c r="B119" s="25"/>
      <c r="C119" s="25"/>
      <c r="D119" s="26"/>
      <c r="E119" s="26"/>
      <c r="F119" s="26"/>
      <c r="G119" s="26"/>
      <c r="H119" s="25"/>
      <c r="I119" s="26"/>
      <c r="J119" s="25"/>
      <c r="K119" s="25"/>
      <c r="L119" s="26"/>
      <c r="M119" s="25"/>
      <c r="N119" s="25"/>
      <c r="O119" s="26"/>
      <c r="P119" s="26"/>
      <c r="Q119" s="26"/>
      <c r="R119" s="26"/>
      <c r="S119" s="25"/>
      <c r="T119" s="26"/>
      <c r="U119" s="26"/>
      <c r="V119" s="25"/>
      <c r="W119" s="25"/>
      <c r="X119" s="26"/>
      <c r="Y119" s="25"/>
      <c r="Z119" s="10"/>
    </row>
    <row r="120" spans="1:26" ht="12.75">
      <c r="A120" s="25"/>
      <c r="B120" s="25"/>
      <c r="C120" s="25"/>
      <c r="D120" s="26"/>
      <c r="E120" s="26"/>
      <c r="F120" s="26"/>
      <c r="G120" s="26"/>
      <c r="H120" s="25"/>
      <c r="I120" s="26"/>
      <c r="J120" s="25"/>
      <c r="K120" s="25"/>
      <c r="L120" s="26"/>
      <c r="M120" s="25"/>
      <c r="N120" s="25"/>
      <c r="O120" s="26"/>
      <c r="P120" s="26"/>
      <c r="Q120" s="26"/>
      <c r="R120" s="26"/>
      <c r="S120" s="25"/>
      <c r="T120" s="26"/>
      <c r="U120" s="26"/>
      <c r="V120" s="25"/>
      <c r="W120" s="25"/>
      <c r="X120" s="26"/>
      <c r="Y120" s="25"/>
      <c r="Z120" s="10"/>
    </row>
    <row r="121" spans="1:26" ht="12.75">
      <c r="A121" s="25"/>
      <c r="B121" s="25"/>
      <c r="C121" s="25"/>
      <c r="D121" s="26"/>
      <c r="E121" s="26"/>
      <c r="F121" s="26"/>
      <c r="G121" s="26"/>
      <c r="H121" s="25"/>
      <c r="I121" s="26"/>
      <c r="J121" s="25"/>
      <c r="K121" s="25"/>
      <c r="L121" s="26"/>
      <c r="M121" s="25"/>
      <c r="N121" s="25"/>
      <c r="O121" s="26"/>
      <c r="P121" s="26"/>
      <c r="Q121" s="26"/>
      <c r="R121" s="26"/>
      <c r="S121" s="25"/>
      <c r="T121" s="26"/>
      <c r="U121" s="26"/>
      <c r="V121" s="25"/>
      <c r="W121" s="25"/>
      <c r="X121" s="26"/>
      <c r="Y121" s="25"/>
      <c r="Z121" s="10"/>
    </row>
    <row r="122" spans="1:26" ht="12.75">
      <c r="A122" s="25"/>
      <c r="B122" s="25"/>
      <c r="C122" s="25"/>
      <c r="D122" s="26"/>
      <c r="E122" s="26"/>
      <c r="F122" s="26"/>
      <c r="G122" s="26"/>
      <c r="H122" s="25"/>
      <c r="I122" s="26"/>
      <c r="J122" s="25"/>
      <c r="K122" s="25"/>
      <c r="L122" s="26"/>
      <c r="M122" s="25"/>
      <c r="N122" s="25"/>
      <c r="O122" s="26"/>
      <c r="P122" s="26"/>
      <c r="Q122" s="26"/>
      <c r="R122" s="26"/>
      <c r="S122" s="25"/>
      <c r="T122" s="26"/>
      <c r="U122" s="26"/>
      <c r="V122" s="25"/>
      <c r="W122" s="25"/>
      <c r="X122" s="26"/>
      <c r="Y122" s="25"/>
      <c r="Z122" s="10"/>
    </row>
    <row r="123" spans="1:26" ht="12.75">
      <c r="A123" s="25"/>
      <c r="B123" s="25"/>
      <c r="C123" s="25"/>
      <c r="D123" s="26"/>
      <c r="E123" s="26"/>
      <c r="F123" s="26"/>
      <c r="G123" s="26"/>
      <c r="H123" s="25"/>
      <c r="I123" s="26"/>
      <c r="J123" s="25"/>
      <c r="K123" s="25"/>
      <c r="L123" s="26"/>
      <c r="M123" s="25"/>
      <c r="N123" s="25"/>
      <c r="O123" s="26"/>
      <c r="P123" s="26"/>
      <c r="Q123" s="26"/>
      <c r="R123" s="26"/>
      <c r="S123" s="25"/>
      <c r="T123" s="26"/>
      <c r="U123" s="26"/>
      <c r="V123" s="25"/>
      <c r="W123" s="25"/>
      <c r="X123" s="26"/>
      <c r="Y123" s="25"/>
      <c r="Z123" s="10"/>
    </row>
    <row r="124" spans="1:26" ht="12.75">
      <c r="A124" s="25"/>
      <c r="B124" s="25"/>
      <c r="C124" s="25"/>
      <c r="D124" s="26"/>
      <c r="E124" s="26"/>
      <c r="F124" s="26"/>
      <c r="G124" s="26"/>
      <c r="H124" s="25"/>
      <c r="I124" s="26"/>
      <c r="J124" s="25"/>
      <c r="K124" s="25"/>
      <c r="L124" s="26"/>
      <c r="M124" s="25"/>
      <c r="N124" s="25"/>
      <c r="O124" s="26"/>
      <c r="P124" s="26"/>
      <c r="Q124" s="26"/>
      <c r="R124" s="26"/>
      <c r="S124" s="25"/>
      <c r="T124" s="26"/>
      <c r="U124" s="26"/>
      <c r="V124" s="25"/>
      <c r="W124" s="25"/>
      <c r="X124" s="26"/>
      <c r="Y124" s="25"/>
      <c r="Z124" s="10"/>
    </row>
    <row r="125" spans="1:26" ht="12.75">
      <c r="A125" s="25"/>
      <c r="B125" s="25"/>
      <c r="C125" s="25"/>
      <c r="D125" s="26"/>
      <c r="E125" s="26"/>
      <c r="F125" s="26"/>
      <c r="G125" s="26"/>
      <c r="H125" s="25"/>
      <c r="I125" s="26"/>
      <c r="J125" s="25"/>
      <c r="K125" s="25"/>
      <c r="L125" s="26"/>
      <c r="M125" s="25"/>
      <c r="N125" s="25"/>
      <c r="O125" s="26"/>
      <c r="P125" s="26"/>
      <c r="Q125" s="26"/>
      <c r="R125" s="26"/>
      <c r="S125" s="25"/>
      <c r="T125" s="26"/>
      <c r="U125" s="26"/>
      <c r="V125" s="25"/>
      <c r="W125" s="25"/>
      <c r="X125" s="26"/>
      <c r="Y125" s="25"/>
      <c r="Z125" s="10"/>
    </row>
    <row r="126" spans="1:26" ht="12.75">
      <c r="A126" s="25"/>
      <c r="B126" s="25"/>
      <c r="C126" s="25"/>
      <c r="D126" s="26"/>
      <c r="E126" s="26"/>
      <c r="F126" s="26"/>
      <c r="G126" s="26"/>
      <c r="H126" s="25"/>
      <c r="I126" s="26"/>
      <c r="J126" s="25"/>
      <c r="K126" s="25"/>
      <c r="L126" s="26"/>
      <c r="M126" s="25"/>
      <c r="N126" s="25"/>
      <c r="O126" s="26"/>
      <c r="P126" s="26"/>
      <c r="Q126" s="26"/>
      <c r="R126" s="26"/>
      <c r="S126" s="25"/>
      <c r="T126" s="26"/>
      <c r="U126" s="26"/>
      <c r="V126" s="25"/>
      <c r="W126" s="25"/>
      <c r="X126" s="26"/>
      <c r="Y126" s="25"/>
      <c r="Z126" s="10"/>
    </row>
    <row r="127" spans="1:26" ht="12.75">
      <c r="A127" s="25"/>
      <c r="B127" s="25"/>
      <c r="C127" s="25"/>
      <c r="D127" s="26"/>
      <c r="E127" s="26"/>
      <c r="F127" s="26"/>
      <c r="G127" s="26"/>
      <c r="H127" s="25"/>
      <c r="I127" s="26"/>
      <c r="J127" s="25"/>
      <c r="K127" s="25"/>
      <c r="L127" s="26"/>
      <c r="M127" s="25"/>
      <c r="N127" s="25"/>
      <c r="O127" s="26"/>
      <c r="P127" s="26"/>
      <c r="Q127" s="26"/>
      <c r="R127" s="26"/>
      <c r="S127" s="25"/>
      <c r="T127" s="26"/>
      <c r="U127" s="26"/>
      <c r="V127" s="25"/>
      <c r="W127" s="25"/>
      <c r="X127" s="26"/>
      <c r="Y127" s="25"/>
      <c r="Z127" s="10"/>
    </row>
    <row r="128" spans="1:26" ht="12.75">
      <c r="A128" s="25"/>
      <c r="B128" s="25"/>
      <c r="C128" s="25"/>
      <c r="D128" s="26"/>
      <c r="E128" s="26"/>
      <c r="F128" s="26"/>
      <c r="G128" s="26"/>
      <c r="H128" s="25"/>
      <c r="I128" s="26"/>
      <c r="J128" s="25"/>
      <c r="K128" s="25"/>
      <c r="L128" s="26"/>
      <c r="M128" s="25"/>
      <c r="N128" s="25"/>
      <c r="O128" s="26"/>
      <c r="P128" s="26"/>
      <c r="Q128" s="26"/>
      <c r="R128" s="26"/>
      <c r="S128" s="25"/>
      <c r="T128" s="26"/>
      <c r="U128" s="26"/>
      <c r="V128" s="25"/>
      <c r="W128" s="25"/>
      <c r="X128" s="26"/>
      <c r="Y128" s="25"/>
      <c r="Z128" s="10"/>
    </row>
    <row r="129" spans="1:26" ht="12.75">
      <c r="A129" s="25"/>
      <c r="B129" s="25"/>
      <c r="C129" s="25"/>
      <c r="D129" s="26"/>
      <c r="E129" s="26"/>
      <c r="F129" s="26"/>
      <c r="G129" s="26"/>
      <c r="H129" s="25"/>
      <c r="I129" s="26"/>
      <c r="J129" s="25"/>
      <c r="K129" s="25"/>
      <c r="L129" s="26"/>
      <c r="M129" s="25"/>
      <c r="N129" s="25"/>
      <c r="O129" s="26"/>
      <c r="P129" s="26"/>
      <c r="Q129" s="26"/>
      <c r="R129" s="26"/>
      <c r="S129" s="25"/>
      <c r="T129" s="26"/>
      <c r="U129" s="26"/>
      <c r="V129" s="25"/>
      <c r="W129" s="25"/>
      <c r="X129" s="26"/>
      <c r="Y129" s="25"/>
      <c r="Z129" s="10"/>
    </row>
    <row r="130" spans="1:26" ht="12.75">
      <c r="A130" s="25"/>
      <c r="B130" s="25"/>
      <c r="C130" s="25"/>
      <c r="D130" s="26"/>
      <c r="E130" s="26"/>
      <c r="F130" s="26"/>
      <c r="G130" s="26"/>
      <c r="H130" s="25"/>
      <c r="I130" s="26"/>
      <c r="J130" s="25"/>
      <c r="K130" s="25"/>
      <c r="L130" s="26"/>
      <c r="M130" s="25"/>
      <c r="N130" s="25"/>
      <c r="O130" s="26"/>
      <c r="P130" s="26"/>
      <c r="Q130" s="26"/>
      <c r="R130" s="26"/>
      <c r="S130" s="25"/>
      <c r="T130" s="26"/>
      <c r="U130" s="26"/>
      <c r="V130" s="25"/>
      <c r="W130" s="25"/>
      <c r="X130" s="26"/>
      <c r="Y130" s="25"/>
      <c r="Z130" s="10"/>
    </row>
    <row r="131" spans="1:26" ht="12.75">
      <c r="A131" s="25"/>
      <c r="B131" s="25"/>
      <c r="C131" s="25"/>
      <c r="D131" s="26"/>
      <c r="E131" s="26"/>
      <c r="F131" s="26"/>
      <c r="G131" s="26"/>
      <c r="H131" s="25"/>
      <c r="I131" s="26"/>
      <c r="J131" s="25"/>
      <c r="K131" s="25"/>
      <c r="L131" s="26"/>
      <c r="M131" s="25"/>
      <c r="N131" s="25"/>
      <c r="O131" s="26"/>
      <c r="P131" s="26"/>
      <c r="Q131" s="26"/>
      <c r="R131" s="26"/>
      <c r="S131" s="25"/>
      <c r="T131" s="26"/>
      <c r="U131" s="26"/>
      <c r="V131" s="25"/>
      <c r="W131" s="25"/>
      <c r="X131" s="26"/>
      <c r="Y131" s="25"/>
      <c r="Z131" s="10"/>
    </row>
    <row r="132" spans="1:26" ht="12.75">
      <c r="A132" s="25"/>
      <c r="B132" s="25"/>
      <c r="C132" s="25"/>
      <c r="D132" s="26"/>
      <c r="E132" s="26"/>
      <c r="F132" s="26"/>
      <c r="G132" s="26"/>
      <c r="H132" s="25"/>
      <c r="I132" s="26"/>
      <c r="J132" s="25"/>
      <c r="K132" s="25"/>
      <c r="L132" s="26"/>
      <c r="M132" s="25"/>
      <c r="N132" s="25"/>
      <c r="O132" s="26"/>
      <c r="P132" s="26"/>
      <c r="Q132" s="26"/>
      <c r="R132" s="26"/>
      <c r="S132" s="25"/>
      <c r="T132" s="26"/>
      <c r="U132" s="26"/>
      <c r="V132" s="25"/>
      <c r="W132" s="25"/>
      <c r="X132" s="26"/>
      <c r="Y132" s="25"/>
      <c r="Z132" s="10"/>
    </row>
    <row r="133" spans="1:26" ht="12.75">
      <c r="A133" s="25"/>
      <c r="B133" s="25"/>
      <c r="C133" s="25"/>
      <c r="D133" s="26"/>
      <c r="E133" s="26"/>
      <c r="F133" s="26"/>
      <c r="G133" s="26"/>
      <c r="H133" s="25"/>
      <c r="I133" s="26"/>
      <c r="J133" s="25"/>
      <c r="K133" s="25"/>
      <c r="L133" s="26"/>
      <c r="M133" s="25"/>
      <c r="N133" s="25"/>
      <c r="O133" s="26"/>
      <c r="P133" s="26"/>
      <c r="Q133" s="26"/>
      <c r="R133" s="26"/>
      <c r="S133" s="25"/>
      <c r="T133" s="26"/>
      <c r="U133" s="26"/>
      <c r="V133" s="25"/>
      <c r="W133" s="25"/>
      <c r="X133" s="26"/>
      <c r="Y133" s="25"/>
      <c r="Z133" s="10"/>
    </row>
    <row r="134" spans="1:26" ht="12.75">
      <c r="A134" s="25"/>
      <c r="B134" s="25"/>
      <c r="C134" s="25"/>
      <c r="D134" s="26"/>
      <c r="E134" s="26"/>
      <c r="F134" s="26"/>
      <c r="G134" s="26"/>
      <c r="H134" s="25"/>
      <c r="I134" s="26"/>
      <c r="J134" s="25"/>
      <c r="K134" s="25"/>
      <c r="L134" s="26"/>
      <c r="M134" s="25"/>
      <c r="N134" s="25"/>
      <c r="O134" s="26"/>
      <c r="P134" s="26"/>
      <c r="Q134" s="26"/>
      <c r="R134" s="26"/>
      <c r="S134" s="25"/>
      <c r="T134" s="26"/>
      <c r="U134" s="26"/>
      <c r="V134" s="25"/>
      <c r="W134" s="25"/>
      <c r="X134" s="26"/>
      <c r="Y134" s="25"/>
      <c r="Z134" s="10"/>
    </row>
    <row r="135" spans="1:26" ht="12.75">
      <c r="A135" s="25"/>
      <c r="B135" s="25"/>
      <c r="C135" s="25"/>
      <c r="D135" s="26"/>
      <c r="E135" s="26"/>
      <c r="F135" s="26"/>
      <c r="G135" s="26"/>
      <c r="H135" s="25"/>
      <c r="I135" s="26"/>
      <c r="J135" s="25"/>
      <c r="K135" s="25"/>
      <c r="L135" s="26"/>
      <c r="M135" s="25"/>
      <c r="N135" s="25"/>
      <c r="O135" s="26"/>
      <c r="P135" s="26"/>
      <c r="Q135" s="26"/>
      <c r="R135" s="26"/>
      <c r="S135" s="25"/>
      <c r="T135" s="26"/>
      <c r="U135" s="26"/>
      <c r="V135" s="25"/>
      <c r="W135" s="25"/>
      <c r="X135" s="26"/>
      <c r="Y135" s="25"/>
      <c r="Z135" s="10"/>
    </row>
    <row r="136" spans="1:26" ht="12.75">
      <c r="A136" s="25"/>
      <c r="B136" s="25"/>
      <c r="C136" s="25"/>
      <c r="D136" s="26"/>
      <c r="E136" s="26"/>
      <c r="F136" s="26"/>
      <c r="G136" s="26"/>
      <c r="H136" s="25"/>
      <c r="I136" s="26"/>
      <c r="J136" s="25"/>
      <c r="K136" s="25"/>
      <c r="L136" s="26"/>
      <c r="M136" s="25"/>
      <c r="N136" s="25"/>
      <c r="O136" s="26"/>
      <c r="P136" s="26"/>
      <c r="Q136" s="26"/>
      <c r="R136" s="26"/>
      <c r="S136" s="25"/>
      <c r="T136" s="26"/>
      <c r="U136" s="26"/>
      <c r="V136" s="25"/>
      <c r="W136" s="25"/>
      <c r="X136" s="26"/>
      <c r="Y136" s="25"/>
      <c r="Z136" s="10"/>
    </row>
    <row r="137" spans="1:26" ht="12.75">
      <c r="A137" s="25"/>
      <c r="B137" s="25"/>
      <c r="C137" s="25"/>
      <c r="D137" s="26"/>
      <c r="E137" s="26"/>
      <c r="F137" s="26"/>
      <c r="G137" s="26"/>
      <c r="H137" s="25"/>
      <c r="I137" s="26"/>
      <c r="J137" s="25"/>
      <c r="K137" s="25"/>
      <c r="L137" s="26"/>
      <c r="M137" s="25"/>
      <c r="N137" s="25"/>
      <c r="O137" s="26"/>
      <c r="P137" s="26"/>
      <c r="Q137" s="26"/>
      <c r="R137" s="26"/>
      <c r="S137" s="25"/>
      <c r="T137" s="26"/>
      <c r="U137" s="26"/>
      <c r="V137" s="25"/>
      <c r="W137" s="25"/>
      <c r="X137" s="26"/>
      <c r="Y137" s="25"/>
      <c r="Z137" s="10"/>
    </row>
    <row r="138" spans="1:26" ht="12.75">
      <c r="A138" s="25"/>
      <c r="B138" s="25"/>
      <c r="C138" s="25"/>
      <c r="D138" s="26"/>
      <c r="E138" s="26"/>
      <c r="F138" s="26"/>
      <c r="G138" s="26"/>
      <c r="H138" s="25"/>
      <c r="I138" s="26"/>
      <c r="J138" s="25"/>
      <c r="K138" s="25"/>
      <c r="L138" s="26"/>
      <c r="M138" s="25"/>
      <c r="N138" s="25"/>
      <c r="O138" s="26"/>
      <c r="P138" s="26"/>
      <c r="Q138" s="26"/>
      <c r="R138" s="26"/>
      <c r="S138" s="25"/>
      <c r="T138" s="26"/>
      <c r="U138" s="26"/>
      <c r="V138" s="25"/>
      <c r="W138" s="25"/>
      <c r="X138" s="26"/>
      <c r="Y138" s="25"/>
      <c r="Z138" s="10"/>
    </row>
    <row r="139" spans="1:26" ht="12.75">
      <c r="A139" s="25"/>
      <c r="B139" s="25"/>
      <c r="C139" s="25"/>
      <c r="D139" s="26"/>
      <c r="E139" s="26"/>
      <c r="F139" s="26"/>
      <c r="G139" s="26"/>
      <c r="H139" s="25"/>
      <c r="I139" s="26"/>
      <c r="J139" s="25"/>
      <c r="K139" s="25"/>
      <c r="L139" s="26"/>
      <c r="M139" s="25"/>
      <c r="N139" s="25"/>
      <c r="O139" s="26"/>
      <c r="P139" s="26"/>
      <c r="Q139" s="26"/>
      <c r="R139" s="26"/>
      <c r="S139" s="25"/>
      <c r="T139" s="26"/>
      <c r="U139" s="26"/>
      <c r="V139" s="25"/>
      <c r="W139" s="25"/>
      <c r="X139" s="26"/>
      <c r="Y139" s="25"/>
      <c r="Z139" s="10"/>
    </row>
    <row r="140" spans="1:26" ht="12.75">
      <c r="A140" s="25"/>
      <c r="B140" s="25"/>
      <c r="C140" s="25"/>
      <c r="D140" s="26"/>
      <c r="E140" s="26"/>
      <c r="F140" s="26"/>
      <c r="G140" s="26"/>
      <c r="H140" s="25"/>
      <c r="I140" s="26"/>
      <c r="J140" s="25"/>
      <c r="K140" s="25"/>
      <c r="L140" s="26"/>
      <c r="M140" s="25"/>
      <c r="N140" s="25"/>
      <c r="O140" s="26"/>
      <c r="P140" s="26"/>
      <c r="Q140" s="26"/>
      <c r="R140" s="26"/>
      <c r="S140" s="25"/>
      <c r="T140" s="26"/>
      <c r="U140" s="26"/>
      <c r="V140" s="25"/>
      <c r="W140" s="25"/>
      <c r="X140" s="26"/>
      <c r="Y140" s="25"/>
      <c r="Z140" s="10"/>
    </row>
    <row r="141" spans="1:26" ht="12.75">
      <c r="A141" s="25"/>
      <c r="B141" s="25"/>
      <c r="C141" s="25"/>
      <c r="D141" s="26"/>
      <c r="E141" s="26"/>
      <c r="F141" s="26"/>
      <c r="G141" s="26"/>
      <c r="H141" s="25"/>
      <c r="I141" s="26"/>
      <c r="J141" s="25"/>
      <c r="K141" s="25"/>
      <c r="L141" s="26"/>
      <c r="M141" s="25"/>
      <c r="N141" s="25"/>
      <c r="O141" s="26"/>
      <c r="P141" s="26"/>
      <c r="Q141" s="26"/>
      <c r="R141" s="26"/>
      <c r="S141" s="25"/>
      <c r="T141" s="26"/>
      <c r="U141" s="26"/>
      <c r="V141" s="25"/>
      <c r="W141" s="25"/>
      <c r="X141" s="26"/>
      <c r="Y141" s="25"/>
      <c r="Z141" s="10"/>
    </row>
    <row r="142" spans="1:26" ht="12.75">
      <c r="A142" s="25"/>
      <c r="B142" s="25"/>
      <c r="C142" s="25"/>
      <c r="D142" s="26"/>
      <c r="E142" s="26"/>
      <c r="F142" s="26"/>
      <c r="G142" s="26"/>
      <c r="H142" s="25"/>
      <c r="I142" s="26"/>
      <c r="J142" s="25"/>
      <c r="K142" s="25"/>
      <c r="L142" s="26"/>
      <c r="M142" s="25"/>
      <c r="N142" s="25"/>
      <c r="O142" s="26"/>
      <c r="P142" s="26"/>
      <c r="Q142" s="26"/>
      <c r="R142" s="26"/>
      <c r="S142" s="25"/>
      <c r="T142" s="26"/>
      <c r="U142" s="26"/>
      <c r="V142" s="25"/>
      <c r="W142" s="25"/>
      <c r="X142" s="26"/>
      <c r="Y142" s="25"/>
      <c r="Z142" s="10"/>
    </row>
    <row r="143" spans="1:26" ht="12.75">
      <c r="A143" s="25"/>
      <c r="B143" s="25"/>
      <c r="C143" s="25"/>
      <c r="D143" s="26"/>
      <c r="E143" s="26"/>
      <c r="F143" s="26"/>
      <c r="G143" s="26"/>
      <c r="H143" s="25"/>
      <c r="I143" s="26"/>
      <c r="J143" s="25"/>
      <c r="K143" s="25"/>
      <c r="L143" s="26"/>
      <c r="M143" s="25"/>
      <c r="N143" s="25"/>
      <c r="O143" s="26"/>
      <c r="P143" s="26"/>
      <c r="Q143" s="26"/>
      <c r="R143" s="26"/>
      <c r="S143" s="25"/>
      <c r="T143" s="26"/>
      <c r="U143" s="26"/>
      <c r="V143" s="25"/>
      <c r="W143" s="25"/>
      <c r="X143" s="26"/>
      <c r="Y143" s="25"/>
      <c r="Z143" s="10"/>
    </row>
    <row r="144" spans="1:26" ht="12.75">
      <c r="A144" s="25"/>
      <c r="B144" s="25"/>
      <c r="C144" s="25"/>
      <c r="D144" s="26"/>
      <c r="E144" s="26"/>
      <c r="F144" s="26"/>
      <c r="G144" s="26"/>
      <c r="H144" s="25"/>
      <c r="I144" s="26"/>
      <c r="J144" s="25"/>
      <c r="K144" s="25"/>
      <c r="L144" s="26"/>
      <c r="M144" s="25"/>
      <c r="N144" s="25"/>
      <c r="O144" s="26"/>
      <c r="P144" s="26"/>
      <c r="Q144" s="26"/>
      <c r="R144" s="26"/>
      <c r="S144" s="25"/>
      <c r="T144" s="26"/>
      <c r="U144" s="26"/>
      <c r="V144" s="25"/>
      <c r="W144" s="25"/>
      <c r="X144" s="26"/>
      <c r="Y144" s="25"/>
      <c r="Z144" s="10"/>
    </row>
    <row r="145" spans="1:26" ht="12.75">
      <c r="A145" s="25"/>
      <c r="B145" s="25"/>
      <c r="C145" s="25"/>
      <c r="D145" s="26"/>
      <c r="E145" s="26"/>
      <c r="F145" s="26"/>
      <c r="G145" s="26"/>
      <c r="H145" s="25"/>
      <c r="I145" s="26"/>
      <c r="J145" s="25"/>
      <c r="K145" s="25"/>
      <c r="L145" s="26"/>
      <c r="M145" s="25"/>
      <c r="N145" s="25"/>
      <c r="O145" s="26"/>
      <c r="P145" s="26"/>
      <c r="Q145" s="26"/>
      <c r="R145" s="26"/>
      <c r="S145" s="25"/>
      <c r="T145" s="26"/>
      <c r="U145" s="26"/>
      <c r="V145" s="25"/>
      <c r="W145" s="25"/>
      <c r="X145" s="26"/>
      <c r="Y145" s="25"/>
      <c r="Z145" s="10"/>
    </row>
    <row r="146" spans="1:26" ht="12.75">
      <c r="A146" s="25"/>
      <c r="B146" s="25"/>
      <c r="C146" s="25"/>
      <c r="D146" s="26"/>
      <c r="E146" s="26"/>
      <c r="F146" s="26"/>
      <c r="G146" s="26"/>
      <c r="H146" s="25"/>
      <c r="I146" s="26"/>
      <c r="J146" s="25"/>
      <c r="K146" s="25"/>
      <c r="L146" s="26"/>
      <c r="M146" s="25"/>
      <c r="N146" s="25"/>
      <c r="O146" s="26"/>
      <c r="P146" s="26"/>
      <c r="Q146" s="26"/>
      <c r="R146" s="26"/>
      <c r="S146" s="25"/>
      <c r="T146" s="26"/>
      <c r="U146" s="26"/>
      <c r="V146" s="25"/>
      <c r="W146" s="25"/>
      <c r="X146" s="26"/>
      <c r="Y146" s="25"/>
      <c r="Z146" s="10"/>
    </row>
    <row r="147" spans="1:26" ht="12.75">
      <c r="A147" s="25"/>
      <c r="B147" s="25"/>
      <c r="C147" s="25"/>
      <c r="D147" s="26"/>
      <c r="E147" s="26"/>
      <c r="F147" s="26"/>
      <c r="G147" s="26"/>
      <c r="H147" s="25"/>
      <c r="I147" s="26"/>
      <c r="J147" s="25"/>
      <c r="K147" s="25"/>
      <c r="L147" s="26"/>
      <c r="M147" s="25"/>
      <c r="N147" s="25"/>
      <c r="O147" s="26"/>
      <c r="P147" s="26"/>
      <c r="Q147" s="26"/>
      <c r="R147" s="26"/>
      <c r="S147" s="25"/>
      <c r="T147" s="26"/>
      <c r="U147" s="26"/>
      <c r="V147" s="25"/>
      <c r="W147" s="25"/>
      <c r="X147" s="26"/>
      <c r="Y147" s="25"/>
      <c r="Z147" s="10"/>
    </row>
    <row r="148" spans="1:26" ht="12.75">
      <c r="A148" s="25"/>
      <c r="B148" s="25"/>
      <c r="C148" s="25"/>
      <c r="D148" s="26"/>
      <c r="E148" s="26"/>
      <c r="F148" s="26"/>
      <c r="G148" s="26"/>
      <c r="H148" s="25"/>
      <c r="I148" s="26"/>
      <c r="J148" s="25"/>
      <c r="K148" s="25"/>
      <c r="L148" s="26"/>
      <c r="M148" s="25"/>
      <c r="N148" s="25"/>
      <c r="O148" s="26"/>
      <c r="P148" s="26"/>
      <c r="Q148" s="26"/>
      <c r="R148" s="26"/>
      <c r="S148" s="25"/>
      <c r="T148" s="26"/>
      <c r="U148" s="26"/>
      <c r="V148" s="25"/>
      <c r="W148" s="25"/>
      <c r="X148" s="26"/>
      <c r="Y148" s="25"/>
      <c r="Z148" s="10"/>
    </row>
    <row r="149" spans="1:26" ht="12.75">
      <c r="A149" s="25"/>
      <c r="B149" s="25"/>
      <c r="C149" s="25"/>
      <c r="D149" s="26"/>
      <c r="E149" s="26"/>
      <c r="F149" s="26"/>
      <c r="G149" s="26"/>
      <c r="H149" s="25"/>
      <c r="I149" s="26"/>
      <c r="J149" s="25"/>
      <c r="K149" s="25"/>
      <c r="L149" s="26"/>
      <c r="M149" s="25"/>
      <c r="N149" s="25"/>
      <c r="O149" s="26"/>
      <c r="P149" s="26"/>
      <c r="Q149" s="26"/>
      <c r="R149" s="26"/>
      <c r="S149" s="25"/>
      <c r="T149" s="26"/>
      <c r="U149" s="26"/>
      <c r="V149" s="25"/>
      <c r="W149" s="25"/>
      <c r="X149" s="26"/>
      <c r="Y149" s="25"/>
      <c r="Z149" s="10"/>
    </row>
    <row r="150" spans="1:26" ht="12.75">
      <c r="A150" s="25"/>
      <c r="B150" s="25"/>
      <c r="C150" s="25"/>
      <c r="D150" s="26"/>
      <c r="E150" s="26"/>
      <c r="F150" s="26"/>
      <c r="G150" s="26"/>
      <c r="H150" s="25"/>
      <c r="I150" s="26"/>
      <c r="J150" s="25"/>
      <c r="K150" s="25"/>
      <c r="L150" s="26"/>
      <c r="M150" s="25"/>
      <c r="N150" s="25"/>
      <c r="O150" s="26"/>
      <c r="P150" s="26"/>
      <c r="Q150" s="26"/>
      <c r="R150" s="26"/>
      <c r="S150" s="25"/>
      <c r="T150" s="26"/>
      <c r="U150" s="26"/>
      <c r="V150" s="25"/>
      <c r="W150" s="25"/>
      <c r="X150" s="26"/>
      <c r="Y150" s="25"/>
      <c r="Z150" s="10"/>
    </row>
    <row r="151" spans="1:26" ht="12.75">
      <c r="A151" s="25"/>
      <c r="B151" s="25"/>
      <c r="C151" s="25"/>
      <c r="D151" s="26"/>
      <c r="E151" s="26"/>
      <c r="F151" s="26"/>
      <c r="G151" s="26"/>
      <c r="H151" s="25"/>
      <c r="I151" s="26"/>
      <c r="J151" s="25"/>
      <c r="K151" s="25"/>
      <c r="L151" s="26"/>
      <c r="M151" s="25"/>
      <c r="N151" s="25"/>
      <c r="O151" s="26"/>
      <c r="P151" s="26"/>
      <c r="Q151" s="26"/>
      <c r="R151" s="26"/>
      <c r="S151" s="25"/>
      <c r="T151" s="26"/>
      <c r="U151" s="26"/>
      <c r="V151" s="25"/>
      <c r="W151" s="25"/>
      <c r="X151" s="26"/>
      <c r="Y151" s="25"/>
      <c r="Z151" s="10"/>
    </row>
    <row r="152" spans="1:26" ht="12.75">
      <c r="A152" s="25"/>
      <c r="B152" s="25"/>
      <c r="C152" s="25"/>
      <c r="D152" s="26"/>
      <c r="E152" s="26"/>
      <c r="F152" s="26"/>
      <c r="G152" s="26"/>
      <c r="H152" s="25"/>
      <c r="I152" s="26"/>
      <c r="J152" s="25"/>
      <c r="K152" s="25"/>
      <c r="L152" s="26"/>
      <c r="M152" s="25"/>
      <c r="N152" s="25"/>
      <c r="O152" s="26"/>
      <c r="P152" s="26"/>
      <c r="Q152" s="26"/>
      <c r="R152" s="26"/>
      <c r="S152" s="25"/>
      <c r="T152" s="26"/>
      <c r="U152" s="26"/>
      <c r="V152" s="25"/>
      <c r="W152" s="25"/>
      <c r="X152" s="26"/>
      <c r="Y152" s="25"/>
      <c r="Z152" s="10"/>
    </row>
    <row r="153" spans="1:26" ht="12.75">
      <c r="A153" s="25"/>
      <c r="B153" s="25"/>
      <c r="C153" s="25"/>
      <c r="D153" s="26"/>
      <c r="E153" s="26"/>
      <c r="F153" s="26"/>
      <c r="G153" s="26"/>
      <c r="H153" s="25"/>
      <c r="I153" s="26"/>
      <c r="J153" s="25"/>
      <c r="K153" s="25"/>
      <c r="L153" s="26"/>
      <c r="M153" s="25"/>
      <c r="N153" s="25"/>
      <c r="O153" s="26"/>
      <c r="P153" s="26"/>
      <c r="Q153" s="26"/>
      <c r="R153" s="26"/>
      <c r="S153" s="25"/>
      <c r="T153" s="26"/>
      <c r="U153" s="26"/>
      <c r="V153" s="25"/>
      <c r="W153" s="25"/>
      <c r="X153" s="26"/>
      <c r="Y153" s="25"/>
      <c r="Z153" s="10"/>
    </row>
    <row r="154" spans="1:26" ht="12.75">
      <c r="A154" s="25"/>
      <c r="B154" s="25"/>
      <c r="C154" s="25"/>
      <c r="D154" s="26"/>
      <c r="E154" s="26"/>
      <c r="F154" s="26"/>
      <c r="G154" s="26"/>
      <c r="H154" s="25"/>
      <c r="I154" s="26"/>
      <c r="J154" s="25"/>
      <c r="K154" s="25"/>
      <c r="L154" s="26"/>
      <c r="M154" s="25"/>
      <c r="N154" s="25"/>
      <c r="O154" s="26"/>
      <c r="P154" s="26"/>
      <c r="Q154" s="26"/>
      <c r="R154" s="26"/>
      <c r="S154" s="25"/>
      <c r="T154" s="26"/>
      <c r="U154" s="26"/>
      <c r="V154" s="25"/>
      <c r="W154" s="25"/>
      <c r="X154" s="26"/>
      <c r="Y154" s="25"/>
      <c r="Z154" s="10"/>
    </row>
    <row r="155" spans="1:26" ht="12.75">
      <c r="A155" s="25"/>
      <c r="B155" s="25"/>
      <c r="C155" s="25"/>
      <c r="D155" s="26"/>
      <c r="E155" s="26"/>
      <c r="F155" s="26"/>
      <c r="G155" s="26"/>
      <c r="H155" s="25"/>
      <c r="I155" s="26"/>
      <c r="J155" s="25"/>
      <c r="K155" s="25"/>
      <c r="L155" s="26"/>
      <c r="M155" s="25"/>
      <c r="N155" s="25"/>
      <c r="O155" s="26"/>
      <c r="P155" s="26"/>
      <c r="Q155" s="26"/>
      <c r="R155" s="26"/>
      <c r="S155" s="25"/>
      <c r="T155" s="26"/>
      <c r="U155" s="26"/>
      <c r="V155" s="25"/>
      <c r="W155" s="25"/>
      <c r="X155" s="26"/>
      <c r="Y155" s="25"/>
      <c r="Z155" s="10"/>
    </row>
    <row r="156" spans="1:26" ht="12.75">
      <c r="A156" s="25"/>
      <c r="B156" s="25"/>
      <c r="C156" s="25"/>
      <c r="D156" s="26"/>
      <c r="E156" s="26"/>
      <c r="F156" s="26"/>
      <c r="G156" s="26"/>
      <c r="H156" s="25"/>
      <c r="I156" s="26"/>
      <c r="J156" s="25"/>
      <c r="K156" s="25"/>
      <c r="L156" s="26"/>
      <c r="M156" s="25"/>
      <c r="N156" s="25"/>
      <c r="O156" s="26"/>
      <c r="P156" s="26"/>
      <c r="Q156" s="26"/>
      <c r="R156" s="26"/>
      <c r="S156" s="25"/>
      <c r="T156" s="26"/>
      <c r="U156" s="26"/>
      <c r="V156" s="25"/>
      <c r="W156" s="25"/>
      <c r="X156" s="26"/>
      <c r="Y156" s="25"/>
      <c r="Z156" s="10"/>
    </row>
    <row r="157" spans="1:26" ht="12.75">
      <c r="A157" s="25"/>
      <c r="B157" s="25"/>
      <c r="C157" s="25"/>
      <c r="D157" s="26"/>
      <c r="E157" s="26"/>
      <c r="F157" s="26"/>
      <c r="G157" s="26"/>
      <c r="H157" s="25"/>
      <c r="I157" s="26"/>
      <c r="J157" s="25"/>
      <c r="K157" s="25"/>
      <c r="L157" s="26"/>
      <c r="M157" s="25"/>
      <c r="N157" s="25"/>
      <c r="O157" s="26"/>
      <c r="P157" s="26"/>
      <c r="Q157" s="26"/>
      <c r="R157" s="26"/>
      <c r="S157" s="25"/>
      <c r="T157" s="26"/>
      <c r="U157" s="26"/>
      <c r="V157" s="25"/>
      <c r="W157" s="25"/>
      <c r="X157" s="26"/>
      <c r="Y157" s="25"/>
      <c r="Z157" s="10"/>
    </row>
    <row r="158" spans="1:26" ht="12.75">
      <c r="A158" s="25"/>
      <c r="B158" s="25"/>
      <c r="C158" s="25"/>
      <c r="D158" s="26"/>
      <c r="E158" s="26"/>
      <c r="F158" s="26"/>
      <c r="G158" s="26"/>
      <c r="H158" s="25"/>
      <c r="I158" s="26"/>
      <c r="J158" s="25"/>
      <c r="K158" s="25"/>
      <c r="L158" s="26"/>
      <c r="M158" s="25"/>
      <c r="N158" s="25"/>
      <c r="O158" s="26"/>
      <c r="P158" s="26"/>
      <c r="Q158" s="26"/>
      <c r="R158" s="26"/>
      <c r="S158" s="25"/>
      <c r="T158" s="26"/>
      <c r="U158" s="26"/>
      <c r="V158" s="25"/>
      <c r="W158" s="25"/>
      <c r="X158" s="26"/>
      <c r="Y158" s="25"/>
      <c r="Z158" s="10"/>
    </row>
    <row r="159" spans="1:26" ht="12.75">
      <c r="A159" s="25"/>
      <c r="B159" s="25"/>
      <c r="C159" s="25"/>
      <c r="D159" s="26"/>
      <c r="E159" s="26"/>
      <c r="F159" s="26"/>
      <c r="G159" s="26"/>
      <c r="H159" s="25"/>
      <c r="I159" s="26"/>
      <c r="J159" s="25"/>
      <c r="K159" s="25"/>
      <c r="L159" s="26"/>
      <c r="M159" s="25"/>
      <c r="N159" s="25"/>
      <c r="O159" s="26"/>
      <c r="P159" s="26"/>
      <c r="Q159" s="26"/>
      <c r="R159" s="26"/>
      <c r="S159" s="25"/>
      <c r="T159" s="26"/>
      <c r="U159" s="26"/>
      <c r="V159" s="25"/>
      <c r="W159" s="25"/>
      <c r="X159" s="26"/>
      <c r="Y159" s="25"/>
      <c r="Z159" s="10"/>
    </row>
    <row r="160" spans="1:26" ht="12.75">
      <c r="A160" s="25"/>
      <c r="B160" s="25"/>
      <c r="C160" s="25"/>
      <c r="D160" s="26"/>
      <c r="E160" s="26"/>
      <c r="F160" s="26"/>
      <c r="G160" s="26"/>
      <c r="H160" s="25"/>
      <c r="I160" s="26"/>
      <c r="J160" s="25"/>
      <c r="K160" s="25"/>
      <c r="L160" s="26"/>
      <c r="M160" s="25"/>
      <c r="N160" s="25"/>
      <c r="O160" s="26"/>
      <c r="P160" s="26"/>
      <c r="Q160" s="26"/>
      <c r="R160" s="26"/>
      <c r="S160" s="25"/>
      <c r="T160" s="26"/>
      <c r="U160" s="26"/>
      <c r="V160" s="25"/>
      <c r="W160" s="25"/>
      <c r="X160" s="26"/>
      <c r="Y160" s="25"/>
      <c r="Z160" s="10"/>
    </row>
    <row r="161" spans="1:26" ht="12.75">
      <c r="A161" s="25"/>
      <c r="B161" s="25"/>
      <c r="C161" s="25"/>
      <c r="D161" s="26"/>
      <c r="E161" s="26"/>
      <c r="F161" s="26"/>
      <c r="G161" s="26"/>
      <c r="H161" s="25"/>
      <c r="I161" s="26"/>
      <c r="J161" s="25"/>
      <c r="K161" s="25"/>
      <c r="L161" s="26"/>
      <c r="M161" s="25"/>
      <c r="N161" s="25"/>
      <c r="O161" s="26"/>
      <c r="P161" s="26"/>
      <c r="Q161" s="26"/>
      <c r="R161" s="26"/>
      <c r="S161" s="25"/>
      <c r="T161" s="26"/>
      <c r="U161" s="26"/>
      <c r="V161" s="25"/>
      <c r="W161" s="25"/>
      <c r="X161" s="26"/>
      <c r="Y161" s="25"/>
      <c r="Z161" s="10"/>
    </row>
    <row r="162" spans="1:26" ht="12.75">
      <c r="A162" s="25"/>
      <c r="B162" s="25"/>
      <c r="C162" s="25"/>
      <c r="D162" s="26"/>
      <c r="E162" s="26"/>
      <c r="F162" s="26"/>
      <c r="G162" s="26"/>
      <c r="H162" s="25"/>
      <c r="I162" s="26"/>
      <c r="J162" s="25"/>
      <c r="K162" s="25"/>
      <c r="L162" s="26"/>
      <c r="M162" s="25"/>
      <c r="N162" s="25"/>
      <c r="O162" s="26"/>
      <c r="P162" s="26"/>
      <c r="Q162" s="26"/>
      <c r="R162" s="26"/>
      <c r="S162" s="25"/>
      <c r="T162" s="26"/>
      <c r="U162" s="26"/>
      <c r="V162" s="25"/>
      <c r="W162" s="25"/>
      <c r="X162" s="26"/>
      <c r="Y162" s="25"/>
      <c r="Z162" s="10"/>
    </row>
    <row r="163" spans="1:26" ht="12.75">
      <c r="A163" s="25"/>
      <c r="B163" s="25"/>
      <c r="C163" s="25"/>
      <c r="D163" s="26"/>
      <c r="E163" s="26"/>
      <c r="F163" s="26"/>
      <c r="G163" s="26"/>
      <c r="H163" s="25"/>
      <c r="I163" s="26"/>
      <c r="J163" s="25"/>
      <c r="K163" s="25"/>
      <c r="L163" s="26"/>
      <c r="M163" s="25"/>
      <c r="N163" s="25"/>
      <c r="O163" s="26"/>
      <c r="P163" s="26"/>
      <c r="Q163" s="26"/>
      <c r="R163" s="26"/>
      <c r="S163" s="25"/>
      <c r="T163" s="26"/>
      <c r="U163" s="26"/>
      <c r="V163" s="25"/>
      <c r="W163" s="25"/>
      <c r="X163" s="26"/>
      <c r="Y163" s="25"/>
      <c r="Z163" s="10"/>
    </row>
    <row r="164" spans="1:26" ht="12.75">
      <c r="A164" s="25"/>
      <c r="B164" s="25"/>
      <c r="C164" s="25"/>
      <c r="D164" s="26"/>
      <c r="E164" s="26"/>
      <c r="F164" s="26"/>
      <c r="G164" s="26"/>
      <c r="H164" s="25"/>
      <c r="I164" s="26"/>
      <c r="J164" s="25"/>
      <c r="K164" s="25"/>
      <c r="L164" s="26"/>
      <c r="M164" s="25"/>
      <c r="N164" s="25"/>
      <c r="O164" s="26"/>
      <c r="P164" s="26"/>
      <c r="Q164" s="26"/>
      <c r="R164" s="26"/>
      <c r="S164" s="25"/>
      <c r="T164" s="26"/>
      <c r="U164" s="26"/>
      <c r="V164" s="25"/>
      <c r="W164" s="25"/>
      <c r="X164" s="26"/>
      <c r="Y164" s="25"/>
      <c r="Z164" s="10"/>
    </row>
    <row r="165" spans="1:26" ht="12.75">
      <c r="A165" s="25"/>
      <c r="B165" s="25"/>
      <c r="C165" s="25"/>
      <c r="D165" s="26"/>
      <c r="E165" s="26"/>
      <c r="F165" s="26"/>
      <c r="G165" s="26"/>
      <c r="H165" s="25"/>
      <c r="I165" s="26"/>
      <c r="J165" s="25"/>
      <c r="K165" s="25"/>
      <c r="L165" s="26"/>
      <c r="M165" s="25"/>
      <c r="N165" s="25"/>
      <c r="O165" s="26"/>
      <c r="P165" s="26"/>
      <c r="Q165" s="26"/>
      <c r="R165" s="26"/>
      <c r="S165" s="25"/>
      <c r="T165" s="26"/>
      <c r="U165" s="26"/>
      <c r="V165" s="25"/>
      <c r="W165" s="25"/>
      <c r="X165" s="26"/>
      <c r="Y165" s="25"/>
      <c r="Z165" s="10"/>
    </row>
    <row r="166" spans="1:26" ht="12.75">
      <c r="A166" s="25"/>
      <c r="B166" s="25"/>
      <c r="C166" s="25"/>
      <c r="D166" s="26"/>
      <c r="E166" s="26"/>
      <c r="F166" s="26"/>
      <c r="G166" s="26"/>
      <c r="H166" s="25"/>
      <c r="I166" s="26"/>
      <c r="J166" s="25"/>
      <c r="K166" s="25"/>
      <c r="L166" s="26"/>
      <c r="M166" s="25"/>
      <c r="N166" s="25"/>
      <c r="O166" s="26"/>
      <c r="P166" s="26"/>
      <c r="Q166" s="26"/>
      <c r="R166" s="26"/>
      <c r="S166" s="25"/>
      <c r="T166" s="26"/>
      <c r="U166" s="26"/>
      <c r="V166" s="25"/>
      <c r="W166" s="25"/>
      <c r="X166" s="26"/>
      <c r="Y166" s="25"/>
      <c r="Z166" s="10"/>
    </row>
    <row r="167" spans="1:26" ht="12.75">
      <c r="A167" s="25"/>
      <c r="B167" s="25"/>
      <c r="C167" s="25"/>
      <c r="D167" s="26"/>
      <c r="E167" s="26"/>
      <c r="F167" s="26"/>
      <c r="G167" s="26"/>
      <c r="H167" s="25"/>
      <c r="I167" s="26"/>
      <c r="J167" s="25"/>
      <c r="K167" s="25"/>
      <c r="L167" s="26"/>
      <c r="M167" s="25"/>
      <c r="N167" s="25"/>
      <c r="O167" s="26"/>
      <c r="P167" s="26"/>
      <c r="Q167" s="26"/>
      <c r="R167" s="26"/>
      <c r="S167" s="25"/>
      <c r="T167" s="26"/>
      <c r="U167" s="26"/>
      <c r="V167" s="25"/>
      <c r="W167" s="25"/>
      <c r="X167" s="26"/>
      <c r="Y167" s="25"/>
      <c r="Z167" s="10"/>
    </row>
    <row r="168" spans="1:26" ht="12.75">
      <c r="A168" s="25"/>
      <c r="B168" s="25"/>
      <c r="C168" s="25"/>
      <c r="D168" s="26"/>
      <c r="E168" s="26"/>
      <c r="F168" s="26"/>
      <c r="G168" s="26"/>
      <c r="H168" s="25"/>
      <c r="I168" s="26"/>
      <c r="J168" s="25"/>
      <c r="K168" s="25"/>
      <c r="L168" s="26"/>
      <c r="M168" s="25"/>
      <c r="N168" s="25"/>
      <c r="O168" s="26"/>
      <c r="P168" s="26"/>
      <c r="Q168" s="26"/>
      <c r="R168" s="26"/>
      <c r="S168" s="25"/>
      <c r="T168" s="26"/>
      <c r="U168" s="26"/>
      <c r="V168" s="25"/>
      <c r="W168" s="25"/>
      <c r="X168" s="26"/>
      <c r="Y168" s="25"/>
      <c r="Z168" s="10"/>
    </row>
    <row r="169" spans="1:26" ht="12.75">
      <c r="A169" s="25"/>
      <c r="B169" s="25"/>
      <c r="C169" s="25"/>
      <c r="D169" s="26"/>
      <c r="E169" s="26"/>
      <c r="F169" s="26"/>
      <c r="G169" s="26"/>
      <c r="H169" s="25"/>
      <c r="I169" s="26"/>
      <c r="J169" s="25"/>
      <c r="K169" s="25"/>
      <c r="L169" s="26"/>
      <c r="M169" s="25"/>
      <c r="N169" s="25"/>
      <c r="O169" s="26"/>
      <c r="P169" s="26"/>
      <c r="Q169" s="26"/>
      <c r="R169" s="26"/>
      <c r="S169" s="25"/>
      <c r="T169" s="26"/>
      <c r="U169" s="26"/>
      <c r="V169" s="25"/>
      <c r="W169" s="25"/>
      <c r="X169" s="26"/>
      <c r="Y169" s="25"/>
      <c r="Z169" s="10"/>
    </row>
    <row r="170" spans="1:26" ht="12.75">
      <c r="A170" s="25"/>
      <c r="B170" s="25"/>
      <c r="C170" s="25"/>
      <c r="D170" s="26"/>
      <c r="E170" s="26"/>
      <c r="F170" s="26"/>
      <c r="G170" s="26"/>
      <c r="H170" s="25"/>
      <c r="I170" s="26"/>
      <c r="J170" s="25"/>
      <c r="K170" s="25"/>
      <c r="L170" s="26"/>
      <c r="M170" s="25"/>
      <c r="N170" s="25"/>
      <c r="O170" s="26"/>
      <c r="P170" s="26"/>
      <c r="Q170" s="26"/>
      <c r="R170" s="26"/>
      <c r="S170" s="25"/>
      <c r="T170" s="26"/>
      <c r="U170" s="26"/>
      <c r="V170" s="25"/>
      <c r="W170" s="25"/>
      <c r="X170" s="26"/>
      <c r="Y170" s="25"/>
      <c r="Z170" s="10"/>
    </row>
    <row r="171" spans="1:26" ht="12.75">
      <c r="A171" s="25"/>
      <c r="B171" s="25"/>
      <c r="C171" s="25"/>
      <c r="D171" s="26"/>
      <c r="E171" s="26"/>
      <c r="F171" s="26"/>
      <c r="G171" s="26"/>
      <c r="H171" s="25"/>
      <c r="I171" s="26"/>
      <c r="J171" s="25"/>
      <c r="K171" s="25"/>
      <c r="L171" s="26"/>
      <c r="M171" s="25"/>
      <c r="N171" s="25"/>
      <c r="O171" s="26"/>
      <c r="P171" s="26"/>
      <c r="Q171" s="26"/>
      <c r="R171" s="26"/>
      <c r="S171" s="25"/>
      <c r="T171" s="26"/>
      <c r="U171" s="26"/>
      <c r="V171" s="25"/>
      <c r="W171" s="25"/>
      <c r="X171" s="26"/>
      <c r="Y171" s="25"/>
      <c r="Z171" s="10"/>
    </row>
    <row r="172" spans="1:26" ht="12.75">
      <c r="A172" s="25"/>
      <c r="B172" s="25"/>
      <c r="C172" s="25"/>
      <c r="D172" s="26"/>
      <c r="E172" s="26"/>
      <c r="F172" s="26"/>
      <c r="G172" s="26"/>
      <c r="H172" s="25"/>
      <c r="I172" s="26"/>
      <c r="J172" s="25"/>
      <c r="K172" s="25"/>
      <c r="L172" s="26"/>
      <c r="M172" s="25"/>
      <c r="N172" s="25"/>
      <c r="O172" s="26"/>
      <c r="P172" s="26"/>
      <c r="Q172" s="26"/>
      <c r="R172" s="26"/>
      <c r="S172" s="25"/>
      <c r="T172" s="26"/>
      <c r="U172" s="26"/>
      <c r="V172" s="25"/>
      <c r="W172" s="25"/>
      <c r="X172" s="26"/>
      <c r="Y172" s="25"/>
      <c r="Z172" s="10"/>
    </row>
    <row r="173" spans="1:26" ht="12.75">
      <c r="A173" s="25"/>
      <c r="B173" s="25"/>
      <c r="C173" s="25"/>
      <c r="D173" s="26"/>
      <c r="E173" s="26"/>
      <c r="F173" s="26"/>
      <c r="G173" s="26"/>
      <c r="H173" s="25"/>
      <c r="I173" s="26"/>
      <c r="J173" s="25"/>
      <c r="K173" s="25"/>
      <c r="L173" s="26"/>
      <c r="M173" s="25"/>
      <c r="N173" s="25"/>
      <c r="O173" s="26"/>
      <c r="P173" s="26"/>
      <c r="Q173" s="26"/>
      <c r="R173" s="26"/>
      <c r="S173" s="25"/>
      <c r="T173" s="26"/>
      <c r="U173" s="26"/>
      <c r="V173" s="25"/>
      <c r="W173" s="25"/>
      <c r="X173" s="26"/>
      <c r="Y173" s="25"/>
      <c r="Z173" s="10"/>
    </row>
    <row r="174" spans="1:26" ht="12.75">
      <c r="A174" s="25"/>
      <c r="B174" s="25"/>
      <c r="C174" s="25"/>
      <c r="D174" s="26"/>
      <c r="E174" s="26"/>
      <c r="F174" s="26"/>
      <c r="G174" s="26"/>
      <c r="H174" s="25"/>
      <c r="I174" s="26"/>
      <c r="J174" s="25"/>
      <c r="K174" s="25"/>
      <c r="L174" s="26"/>
      <c r="M174" s="25"/>
      <c r="N174" s="25"/>
      <c r="O174" s="26"/>
      <c r="P174" s="26"/>
      <c r="Q174" s="26"/>
      <c r="R174" s="26"/>
      <c r="S174" s="25"/>
      <c r="T174" s="26"/>
      <c r="U174" s="26"/>
      <c r="V174" s="25"/>
      <c r="W174" s="25"/>
      <c r="X174" s="26"/>
      <c r="Y174" s="25"/>
      <c r="Z174" s="10"/>
    </row>
    <row r="175" spans="1:26" ht="12.75">
      <c r="A175" s="25"/>
      <c r="B175" s="25"/>
      <c r="C175" s="25"/>
      <c r="D175" s="26"/>
      <c r="E175" s="26"/>
      <c r="F175" s="26"/>
      <c r="G175" s="26"/>
      <c r="H175" s="25"/>
      <c r="I175" s="26"/>
      <c r="J175" s="25"/>
      <c r="K175" s="25"/>
      <c r="L175" s="26"/>
      <c r="M175" s="25"/>
      <c r="N175" s="25"/>
      <c r="O175" s="26"/>
      <c r="P175" s="26"/>
      <c r="Q175" s="26"/>
      <c r="R175" s="26"/>
      <c r="S175" s="25"/>
      <c r="T175" s="26"/>
      <c r="U175" s="26"/>
      <c r="V175" s="25"/>
      <c r="W175" s="25"/>
      <c r="X175" s="26"/>
      <c r="Y175" s="25"/>
      <c r="Z175" s="10"/>
    </row>
    <row r="176" spans="1:26" ht="12.75">
      <c r="A176" s="25"/>
      <c r="B176" s="25"/>
      <c r="C176" s="25"/>
      <c r="D176" s="26"/>
      <c r="E176" s="26"/>
      <c r="F176" s="26"/>
      <c r="G176" s="26"/>
      <c r="H176" s="25"/>
      <c r="I176" s="26"/>
      <c r="J176" s="25"/>
      <c r="K176" s="25"/>
      <c r="L176" s="26"/>
      <c r="M176" s="25"/>
      <c r="N176" s="25"/>
      <c r="O176" s="26"/>
      <c r="P176" s="26"/>
      <c r="Q176" s="26"/>
      <c r="R176" s="26"/>
      <c r="S176" s="25"/>
      <c r="T176" s="26"/>
      <c r="U176" s="26"/>
      <c r="V176" s="25"/>
      <c r="W176" s="25"/>
      <c r="X176" s="26"/>
      <c r="Y176" s="25"/>
      <c r="Z176" s="10"/>
    </row>
    <row r="177" spans="1:26" ht="12.75">
      <c r="A177" s="25"/>
      <c r="B177" s="25"/>
      <c r="C177" s="25"/>
      <c r="D177" s="26"/>
      <c r="E177" s="26"/>
      <c r="F177" s="26"/>
      <c r="G177" s="26"/>
      <c r="H177" s="25"/>
      <c r="I177" s="26"/>
      <c r="J177" s="25"/>
      <c r="K177" s="25"/>
      <c r="L177" s="26"/>
      <c r="M177" s="25"/>
      <c r="N177" s="25"/>
      <c r="O177" s="26"/>
      <c r="P177" s="26"/>
      <c r="Q177" s="26"/>
      <c r="R177" s="26"/>
      <c r="S177" s="25"/>
      <c r="T177" s="26"/>
      <c r="U177" s="26"/>
      <c r="V177" s="25"/>
      <c r="W177" s="25"/>
      <c r="X177" s="26"/>
      <c r="Y177" s="25"/>
      <c r="Z177" s="10"/>
    </row>
    <row r="178" spans="1:26" ht="12.75">
      <c r="A178" s="25"/>
      <c r="B178" s="25"/>
      <c r="C178" s="25"/>
      <c r="D178" s="26"/>
      <c r="E178" s="26"/>
      <c r="F178" s="26"/>
      <c r="G178" s="26"/>
      <c r="H178" s="25"/>
      <c r="I178" s="26"/>
      <c r="J178" s="25"/>
      <c r="K178" s="25"/>
      <c r="L178" s="26"/>
      <c r="M178" s="25"/>
      <c r="N178" s="25"/>
      <c r="O178" s="26"/>
      <c r="P178" s="26"/>
      <c r="Q178" s="26"/>
      <c r="R178" s="26"/>
      <c r="S178" s="25"/>
      <c r="T178" s="26"/>
      <c r="U178" s="26"/>
      <c r="V178" s="25"/>
      <c r="W178" s="25"/>
      <c r="X178" s="26"/>
      <c r="Y178" s="25"/>
      <c r="Z178" s="10"/>
    </row>
    <row r="179" spans="1:26" ht="12.75">
      <c r="A179" s="25"/>
      <c r="B179" s="25"/>
      <c r="C179" s="25"/>
      <c r="D179" s="26"/>
      <c r="E179" s="26"/>
      <c r="F179" s="26"/>
      <c r="G179" s="26"/>
      <c r="H179" s="25"/>
      <c r="I179" s="26"/>
      <c r="J179" s="25"/>
      <c r="K179" s="25"/>
      <c r="L179" s="26"/>
      <c r="M179" s="25"/>
      <c r="N179" s="25"/>
      <c r="O179" s="26"/>
      <c r="P179" s="26"/>
      <c r="Q179" s="26"/>
      <c r="R179" s="26"/>
      <c r="S179" s="25"/>
      <c r="T179" s="26"/>
      <c r="U179" s="26"/>
      <c r="V179" s="25"/>
      <c r="W179" s="25"/>
      <c r="X179" s="26"/>
      <c r="Y179" s="25"/>
      <c r="Z179" s="10"/>
    </row>
    <row r="180" spans="1:26" ht="12.75">
      <c r="A180" s="25"/>
      <c r="B180" s="25"/>
      <c r="C180" s="25"/>
      <c r="D180" s="26"/>
      <c r="E180" s="26"/>
      <c r="F180" s="26"/>
      <c r="G180" s="26"/>
      <c r="H180" s="25"/>
      <c r="I180" s="26"/>
      <c r="J180" s="25"/>
      <c r="K180" s="25"/>
      <c r="L180" s="26"/>
      <c r="M180" s="25"/>
      <c r="N180" s="25"/>
      <c r="O180" s="26"/>
      <c r="P180" s="26"/>
      <c r="Q180" s="26"/>
      <c r="R180" s="26"/>
      <c r="S180" s="25"/>
      <c r="T180" s="26"/>
      <c r="U180" s="26"/>
      <c r="V180" s="25"/>
      <c r="W180" s="25"/>
      <c r="X180" s="26"/>
      <c r="Y180" s="25"/>
      <c r="Z180" s="10"/>
    </row>
    <row r="181" spans="1:26" ht="12.75">
      <c r="A181" s="25"/>
      <c r="B181" s="25"/>
      <c r="C181" s="25"/>
      <c r="D181" s="26"/>
      <c r="E181" s="26"/>
      <c r="F181" s="26"/>
      <c r="G181" s="26"/>
      <c r="H181" s="25"/>
      <c r="I181" s="26"/>
      <c r="J181" s="25"/>
      <c r="K181" s="25"/>
      <c r="L181" s="26"/>
      <c r="M181" s="25"/>
      <c r="N181" s="25"/>
      <c r="O181" s="26"/>
      <c r="P181" s="26"/>
      <c r="Q181" s="26"/>
      <c r="R181" s="26"/>
      <c r="S181" s="25"/>
      <c r="T181" s="26"/>
      <c r="U181" s="26"/>
      <c r="V181" s="25"/>
      <c r="W181" s="25"/>
      <c r="X181" s="26"/>
      <c r="Y181" s="25"/>
      <c r="Z181" s="10"/>
    </row>
    <row r="182" spans="1:26" ht="12.75">
      <c r="A182" s="25"/>
      <c r="B182" s="25"/>
      <c r="C182" s="25"/>
      <c r="D182" s="26"/>
      <c r="E182" s="26"/>
      <c r="F182" s="26"/>
      <c r="G182" s="26"/>
      <c r="H182" s="25"/>
      <c r="I182" s="26"/>
      <c r="J182" s="25"/>
      <c r="K182" s="25"/>
      <c r="L182" s="26"/>
      <c r="M182" s="25"/>
      <c r="N182" s="25"/>
      <c r="O182" s="26"/>
      <c r="P182" s="26"/>
      <c r="Q182" s="26"/>
      <c r="R182" s="26"/>
      <c r="S182" s="25"/>
      <c r="T182" s="26"/>
      <c r="U182" s="26"/>
      <c r="V182" s="25"/>
      <c r="W182" s="25"/>
      <c r="X182" s="26"/>
      <c r="Y182" s="25"/>
      <c r="Z182" s="10"/>
    </row>
    <row r="183" spans="1:26" ht="12.75">
      <c r="A183" s="25"/>
      <c r="B183" s="25"/>
      <c r="C183" s="25"/>
      <c r="D183" s="26"/>
      <c r="E183" s="26"/>
      <c r="F183" s="26"/>
      <c r="G183" s="26"/>
      <c r="H183" s="25"/>
      <c r="I183" s="26"/>
      <c r="J183" s="25"/>
      <c r="K183" s="25"/>
      <c r="L183" s="26"/>
      <c r="M183" s="25"/>
      <c r="N183" s="25"/>
      <c r="O183" s="26"/>
      <c r="P183" s="26"/>
      <c r="Q183" s="26"/>
      <c r="R183" s="26"/>
      <c r="S183" s="25"/>
      <c r="T183" s="26"/>
      <c r="U183" s="26"/>
      <c r="V183" s="25"/>
      <c r="W183" s="25"/>
      <c r="X183" s="26"/>
      <c r="Y183" s="25"/>
      <c r="Z183" s="10"/>
    </row>
    <row r="184" spans="1:26" ht="12.75">
      <c r="A184" s="25"/>
      <c r="B184" s="25"/>
      <c r="C184" s="25"/>
      <c r="D184" s="26"/>
      <c r="E184" s="26"/>
      <c r="F184" s="26"/>
      <c r="G184" s="26"/>
      <c r="H184" s="25"/>
      <c r="I184" s="26"/>
      <c r="J184" s="25"/>
      <c r="K184" s="25"/>
      <c r="L184" s="26"/>
      <c r="M184" s="25"/>
      <c r="N184" s="25"/>
      <c r="O184" s="26"/>
      <c r="P184" s="26"/>
      <c r="Q184" s="26"/>
      <c r="R184" s="26"/>
      <c r="S184" s="25"/>
      <c r="T184" s="26"/>
      <c r="U184" s="26"/>
      <c r="V184" s="25"/>
      <c r="W184" s="25"/>
      <c r="X184" s="26"/>
      <c r="Y184" s="25"/>
      <c r="Z184" s="10"/>
    </row>
    <row r="185" spans="1:26" ht="12.75">
      <c r="A185" s="25"/>
      <c r="B185" s="25"/>
      <c r="C185" s="25"/>
      <c r="D185" s="26"/>
      <c r="E185" s="26"/>
      <c r="F185" s="26"/>
      <c r="G185" s="26"/>
      <c r="H185" s="25"/>
      <c r="I185" s="26"/>
      <c r="J185" s="25"/>
      <c r="K185" s="25"/>
      <c r="L185" s="26"/>
      <c r="M185" s="25"/>
      <c r="N185" s="25"/>
      <c r="O185" s="26"/>
      <c r="P185" s="26"/>
      <c r="Q185" s="26"/>
      <c r="R185" s="26"/>
      <c r="S185" s="25"/>
      <c r="T185" s="26"/>
      <c r="U185" s="26"/>
      <c r="V185" s="25"/>
      <c r="W185" s="25"/>
      <c r="X185" s="26"/>
      <c r="Y185" s="25"/>
      <c r="Z185" s="10"/>
    </row>
    <row r="186" spans="1:26" ht="12.75">
      <c r="A186" s="25"/>
      <c r="B186" s="25"/>
      <c r="C186" s="25"/>
      <c r="D186" s="26"/>
      <c r="E186" s="26"/>
      <c r="F186" s="26"/>
      <c r="G186" s="26"/>
      <c r="H186" s="25"/>
      <c r="I186" s="26"/>
      <c r="J186" s="25"/>
      <c r="K186" s="25"/>
      <c r="L186" s="26"/>
      <c r="M186" s="25"/>
      <c r="N186" s="25"/>
      <c r="O186" s="26"/>
      <c r="P186" s="26"/>
      <c r="Q186" s="26"/>
      <c r="R186" s="26"/>
      <c r="S186" s="25"/>
      <c r="T186" s="26"/>
      <c r="U186" s="26"/>
      <c r="V186" s="25"/>
      <c r="W186" s="25"/>
      <c r="X186" s="26"/>
      <c r="Y186" s="25"/>
      <c r="Z186" s="10"/>
    </row>
    <row r="187" spans="1:26" ht="12.75">
      <c r="A187" s="25"/>
      <c r="B187" s="25"/>
      <c r="C187" s="25"/>
      <c r="D187" s="26"/>
      <c r="E187" s="26"/>
      <c r="F187" s="26"/>
      <c r="G187" s="26"/>
      <c r="H187" s="25"/>
      <c r="I187" s="26"/>
      <c r="J187" s="25"/>
      <c r="K187" s="25"/>
      <c r="L187" s="26"/>
      <c r="M187" s="25"/>
      <c r="N187" s="25"/>
      <c r="O187" s="26"/>
      <c r="P187" s="26"/>
      <c r="Q187" s="26"/>
      <c r="R187" s="26"/>
      <c r="S187" s="25"/>
      <c r="T187" s="26"/>
      <c r="U187" s="26"/>
      <c r="V187" s="25"/>
      <c r="W187" s="25"/>
      <c r="X187" s="26"/>
      <c r="Y187" s="25"/>
      <c r="Z187" s="10"/>
    </row>
    <row r="188" spans="1:26" ht="12.75">
      <c r="A188" s="25"/>
      <c r="B188" s="25"/>
      <c r="C188" s="25"/>
      <c r="D188" s="26"/>
      <c r="E188" s="26"/>
      <c r="F188" s="26"/>
      <c r="G188" s="26"/>
      <c r="H188" s="25"/>
      <c r="I188" s="26"/>
      <c r="J188" s="25"/>
      <c r="K188" s="25"/>
      <c r="L188" s="26"/>
      <c r="M188" s="25"/>
      <c r="N188" s="25"/>
      <c r="O188" s="26"/>
      <c r="P188" s="26"/>
      <c r="Q188" s="26"/>
      <c r="R188" s="26"/>
      <c r="S188" s="25"/>
      <c r="T188" s="26"/>
      <c r="U188" s="26"/>
      <c r="V188" s="25"/>
      <c r="W188" s="25"/>
      <c r="X188" s="26"/>
      <c r="Y188" s="25"/>
      <c r="Z188" s="10"/>
    </row>
    <row r="189" spans="1:26" ht="12.75">
      <c r="A189" s="25"/>
      <c r="B189" s="25"/>
      <c r="C189" s="25"/>
      <c r="D189" s="26"/>
      <c r="E189" s="26"/>
      <c r="F189" s="26"/>
      <c r="G189" s="26"/>
      <c r="H189" s="25"/>
      <c r="I189" s="26"/>
      <c r="J189" s="25"/>
      <c r="K189" s="25"/>
      <c r="L189" s="26"/>
      <c r="M189" s="25"/>
      <c r="N189" s="25"/>
      <c r="O189" s="26"/>
      <c r="P189" s="26"/>
      <c r="Q189" s="26"/>
      <c r="R189" s="26"/>
      <c r="S189" s="25"/>
      <c r="T189" s="26"/>
      <c r="U189" s="26"/>
      <c r="V189" s="25"/>
      <c r="W189" s="25"/>
      <c r="X189" s="26"/>
      <c r="Y189" s="25"/>
      <c r="Z189" s="10"/>
    </row>
    <row r="190" spans="1:26" ht="12.75">
      <c r="A190" s="25"/>
      <c r="B190" s="25"/>
      <c r="C190" s="25"/>
      <c r="D190" s="26"/>
      <c r="E190" s="26"/>
      <c r="F190" s="26"/>
      <c r="G190" s="26"/>
      <c r="H190" s="25"/>
      <c r="I190" s="26"/>
      <c r="J190" s="25"/>
      <c r="K190" s="25"/>
      <c r="L190" s="26"/>
      <c r="M190" s="25"/>
      <c r="N190" s="25"/>
      <c r="O190" s="26"/>
      <c r="P190" s="26"/>
      <c r="Q190" s="26"/>
      <c r="R190" s="26"/>
      <c r="S190" s="25"/>
      <c r="T190" s="26"/>
      <c r="U190" s="26"/>
      <c r="V190" s="25"/>
      <c r="W190" s="25"/>
      <c r="X190" s="26"/>
      <c r="Y190" s="25"/>
      <c r="Z190" s="10"/>
    </row>
    <row r="191" spans="1:26" ht="12.75">
      <c r="A191" s="25"/>
      <c r="B191" s="25"/>
      <c r="C191" s="25"/>
      <c r="D191" s="26"/>
      <c r="E191" s="26"/>
      <c r="F191" s="26"/>
      <c r="G191" s="26"/>
      <c r="H191" s="25"/>
      <c r="I191" s="26"/>
      <c r="J191" s="25"/>
      <c r="K191" s="25"/>
      <c r="L191" s="26"/>
      <c r="M191" s="25"/>
      <c r="N191" s="25"/>
      <c r="O191" s="26"/>
      <c r="P191" s="26"/>
      <c r="Q191" s="26"/>
      <c r="R191" s="26"/>
      <c r="S191" s="25"/>
      <c r="T191" s="26"/>
      <c r="U191" s="26"/>
      <c r="V191" s="25"/>
      <c r="W191" s="25"/>
      <c r="X191" s="26"/>
      <c r="Y191" s="25"/>
      <c r="Z191" s="10"/>
    </row>
    <row r="192" spans="1:26" ht="12.75">
      <c r="A192" s="25"/>
      <c r="B192" s="25"/>
      <c r="C192" s="25"/>
      <c r="D192" s="26"/>
      <c r="E192" s="26"/>
      <c r="F192" s="26"/>
      <c r="G192" s="26"/>
      <c r="H192" s="25"/>
      <c r="I192" s="26"/>
      <c r="J192" s="25"/>
      <c r="K192" s="25"/>
      <c r="L192" s="26"/>
      <c r="M192" s="25"/>
      <c r="N192" s="25"/>
      <c r="O192" s="26"/>
      <c r="P192" s="26"/>
      <c r="Q192" s="26"/>
      <c r="R192" s="26"/>
      <c r="S192" s="25"/>
      <c r="T192" s="26"/>
      <c r="U192" s="26"/>
      <c r="V192" s="25"/>
      <c r="W192" s="25"/>
      <c r="X192" s="26"/>
      <c r="Y192" s="25"/>
      <c r="Z192" s="10"/>
    </row>
    <row r="193" spans="1:26" ht="12.75">
      <c r="A193" s="25"/>
      <c r="B193" s="25"/>
      <c r="C193" s="25"/>
      <c r="D193" s="26"/>
      <c r="E193" s="26"/>
      <c r="F193" s="26"/>
      <c r="G193" s="26"/>
      <c r="H193" s="25"/>
      <c r="I193" s="26"/>
      <c r="J193" s="25"/>
      <c r="K193" s="25"/>
      <c r="L193" s="26"/>
      <c r="M193" s="25"/>
      <c r="N193" s="25"/>
      <c r="O193" s="26"/>
      <c r="P193" s="26"/>
      <c r="Q193" s="26"/>
      <c r="R193" s="26"/>
      <c r="S193" s="25"/>
      <c r="T193" s="26"/>
      <c r="U193" s="26"/>
      <c r="V193" s="25"/>
      <c r="W193" s="25"/>
      <c r="X193" s="26"/>
      <c r="Y193" s="25"/>
      <c r="Z193" s="10"/>
    </row>
    <row r="194" spans="1:26" ht="12.75">
      <c r="A194" s="25"/>
      <c r="B194" s="25"/>
      <c r="C194" s="25"/>
      <c r="D194" s="26"/>
      <c r="E194" s="26"/>
      <c r="F194" s="26"/>
      <c r="G194" s="26"/>
      <c r="H194" s="25"/>
      <c r="I194" s="26"/>
      <c r="J194" s="25"/>
      <c r="K194" s="25"/>
      <c r="L194" s="26"/>
      <c r="M194" s="25"/>
      <c r="N194" s="25"/>
      <c r="O194" s="26"/>
      <c r="P194" s="26"/>
      <c r="Q194" s="26"/>
      <c r="R194" s="26"/>
      <c r="S194" s="25"/>
      <c r="T194" s="26"/>
      <c r="U194" s="26"/>
      <c r="V194" s="25"/>
      <c r="W194" s="25"/>
      <c r="X194" s="26"/>
      <c r="Y194" s="25"/>
      <c r="Z194" s="10"/>
    </row>
    <row r="195" spans="1:26" ht="12.75">
      <c r="A195" s="25"/>
      <c r="B195" s="25"/>
      <c r="C195" s="25"/>
      <c r="D195" s="26"/>
      <c r="E195" s="26"/>
      <c r="F195" s="26"/>
      <c r="G195" s="26"/>
      <c r="H195" s="25"/>
      <c r="I195" s="26"/>
      <c r="J195" s="25"/>
      <c r="K195" s="25"/>
      <c r="L195" s="26"/>
      <c r="M195" s="25"/>
      <c r="N195" s="25"/>
      <c r="O195" s="26"/>
      <c r="P195" s="26"/>
      <c r="Q195" s="26"/>
      <c r="R195" s="26"/>
      <c r="S195" s="25"/>
      <c r="T195" s="26"/>
      <c r="U195" s="26"/>
      <c r="V195" s="25"/>
      <c r="W195" s="25"/>
      <c r="X195" s="26"/>
      <c r="Y195" s="25"/>
      <c r="Z195" s="10"/>
    </row>
    <row r="196" spans="1:26" ht="12.75">
      <c r="A196" s="25"/>
      <c r="B196" s="25"/>
      <c r="C196" s="25"/>
      <c r="D196" s="26"/>
      <c r="E196" s="26"/>
      <c r="F196" s="26"/>
      <c r="G196" s="26"/>
      <c r="H196" s="25"/>
      <c r="I196" s="26"/>
      <c r="J196" s="25"/>
      <c r="K196" s="25"/>
      <c r="L196" s="26"/>
      <c r="M196" s="25"/>
      <c r="N196" s="25"/>
      <c r="O196" s="26"/>
      <c r="P196" s="26"/>
      <c r="Q196" s="26"/>
      <c r="R196" s="26"/>
      <c r="S196" s="25"/>
      <c r="T196" s="26"/>
      <c r="U196" s="26"/>
      <c r="V196" s="25"/>
      <c r="W196" s="25"/>
      <c r="X196" s="26"/>
      <c r="Y196" s="25"/>
      <c r="Z196" s="10"/>
    </row>
    <row r="197" spans="1:26" ht="12.75">
      <c r="A197" s="25"/>
      <c r="B197" s="25"/>
      <c r="C197" s="25"/>
      <c r="D197" s="26"/>
      <c r="E197" s="26"/>
      <c r="F197" s="26"/>
      <c r="G197" s="26"/>
      <c r="H197" s="25"/>
      <c r="I197" s="26"/>
      <c r="J197" s="25"/>
      <c r="K197" s="25"/>
      <c r="L197" s="26"/>
      <c r="M197" s="25"/>
      <c r="N197" s="25"/>
      <c r="O197" s="26"/>
      <c r="P197" s="26"/>
      <c r="Q197" s="26"/>
      <c r="R197" s="26"/>
      <c r="S197" s="25"/>
      <c r="T197" s="26"/>
      <c r="U197" s="26"/>
      <c r="V197" s="25"/>
      <c r="W197" s="25"/>
      <c r="X197" s="26"/>
      <c r="Y197" s="25"/>
      <c r="Z197" s="10"/>
    </row>
    <row r="198" spans="1:26" ht="12.75">
      <c r="A198" s="25"/>
      <c r="B198" s="25"/>
      <c r="C198" s="25"/>
      <c r="D198" s="26"/>
      <c r="E198" s="26"/>
      <c r="F198" s="26"/>
      <c r="G198" s="26"/>
      <c r="H198" s="25"/>
      <c r="I198" s="26"/>
      <c r="J198" s="25"/>
      <c r="K198" s="25"/>
      <c r="L198" s="26"/>
      <c r="M198" s="25"/>
      <c r="N198" s="25"/>
      <c r="O198" s="26"/>
      <c r="P198" s="26"/>
      <c r="Q198" s="26"/>
      <c r="R198" s="26"/>
      <c r="S198" s="25"/>
      <c r="T198" s="26"/>
      <c r="U198" s="26"/>
      <c r="V198" s="25"/>
      <c r="W198" s="25"/>
      <c r="X198" s="26"/>
      <c r="Y198" s="25"/>
      <c r="Z198" s="10"/>
    </row>
    <row r="199" spans="1:26" ht="12.75">
      <c r="A199" s="25"/>
      <c r="B199" s="25"/>
      <c r="C199" s="25"/>
      <c r="D199" s="26"/>
      <c r="E199" s="26"/>
      <c r="F199" s="26"/>
      <c r="G199" s="26"/>
      <c r="H199" s="25"/>
      <c r="I199" s="26"/>
      <c r="J199" s="25"/>
      <c r="K199" s="25"/>
      <c r="L199" s="26"/>
      <c r="M199" s="25"/>
      <c r="N199" s="25"/>
      <c r="O199" s="26"/>
      <c r="P199" s="26"/>
      <c r="Q199" s="26"/>
      <c r="R199" s="26"/>
      <c r="S199" s="25"/>
      <c r="T199" s="26"/>
      <c r="U199" s="26"/>
      <c r="V199" s="25"/>
      <c r="W199" s="25"/>
      <c r="X199" s="26"/>
      <c r="Y199" s="25"/>
      <c r="Z199" s="10"/>
    </row>
    <row r="200" spans="1:26" ht="12.75">
      <c r="A200" s="25"/>
      <c r="B200" s="25"/>
      <c r="C200" s="25"/>
      <c r="D200" s="26"/>
      <c r="E200" s="26"/>
      <c r="F200" s="26"/>
      <c r="G200" s="26"/>
      <c r="H200" s="25"/>
      <c r="I200" s="26"/>
      <c r="J200" s="25"/>
      <c r="K200" s="25"/>
      <c r="L200" s="26"/>
      <c r="M200" s="25"/>
      <c r="N200" s="25"/>
      <c r="O200" s="26"/>
      <c r="P200" s="26"/>
      <c r="Q200" s="26"/>
      <c r="R200" s="26"/>
      <c r="S200" s="25"/>
      <c r="T200" s="26"/>
      <c r="U200" s="26"/>
      <c r="V200" s="25"/>
      <c r="W200" s="25"/>
      <c r="X200" s="26"/>
      <c r="Y200" s="25"/>
      <c r="Z200" s="10"/>
    </row>
    <row r="201" spans="1:26" ht="12.75">
      <c r="A201" s="25"/>
      <c r="B201" s="25"/>
      <c r="C201" s="25"/>
      <c r="D201" s="26"/>
      <c r="E201" s="26"/>
      <c r="F201" s="26"/>
      <c r="G201" s="26"/>
      <c r="H201" s="25"/>
      <c r="I201" s="26"/>
      <c r="J201" s="25"/>
      <c r="K201" s="25"/>
      <c r="L201" s="26"/>
      <c r="M201" s="25"/>
      <c r="N201" s="25"/>
      <c r="O201" s="26"/>
      <c r="P201" s="26"/>
      <c r="Q201" s="26"/>
      <c r="R201" s="26"/>
      <c r="S201" s="25"/>
      <c r="T201" s="26"/>
      <c r="U201" s="26"/>
      <c r="V201" s="25"/>
      <c r="W201" s="25"/>
      <c r="X201" s="26"/>
      <c r="Y201" s="25"/>
      <c r="Z201" s="10"/>
    </row>
    <row r="202" spans="1:26" ht="12.75">
      <c r="A202" s="25"/>
      <c r="B202" s="25"/>
      <c r="C202" s="25"/>
      <c r="D202" s="26"/>
      <c r="E202" s="26"/>
      <c r="F202" s="26"/>
      <c r="G202" s="26"/>
      <c r="H202" s="25"/>
      <c r="I202" s="26"/>
      <c r="J202" s="25"/>
      <c r="K202" s="25"/>
      <c r="L202" s="26"/>
      <c r="M202" s="25"/>
      <c r="N202" s="25"/>
      <c r="O202" s="26"/>
      <c r="P202" s="26"/>
      <c r="Q202" s="26"/>
      <c r="R202" s="26"/>
      <c r="S202" s="25"/>
      <c r="T202" s="26"/>
      <c r="U202" s="26"/>
      <c r="V202" s="25"/>
      <c r="W202" s="25"/>
      <c r="X202" s="26"/>
      <c r="Y202" s="25"/>
      <c r="Z202" s="10"/>
    </row>
    <row r="203" spans="1:26" ht="12.75">
      <c r="A203" s="25"/>
      <c r="B203" s="25"/>
      <c r="C203" s="25"/>
      <c r="D203" s="26"/>
      <c r="E203" s="26"/>
      <c r="F203" s="26"/>
      <c r="G203" s="26"/>
      <c r="H203" s="25"/>
      <c r="I203" s="26"/>
      <c r="J203" s="25"/>
      <c r="K203" s="25"/>
      <c r="L203" s="26"/>
      <c r="M203" s="25"/>
      <c r="N203" s="25"/>
      <c r="O203" s="26"/>
      <c r="P203" s="26"/>
      <c r="Q203" s="26"/>
      <c r="R203" s="26"/>
      <c r="S203" s="25"/>
      <c r="T203" s="26"/>
      <c r="U203" s="26"/>
      <c r="V203" s="25"/>
      <c r="W203" s="25"/>
      <c r="X203" s="26"/>
      <c r="Y203" s="25"/>
      <c r="Z203" s="10"/>
    </row>
    <row r="204" spans="1:26" ht="12.75">
      <c r="A204" s="25"/>
      <c r="B204" s="25"/>
      <c r="C204" s="25"/>
      <c r="D204" s="26"/>
      <c r="E204" s="26"/>
      <c r="F204" s="26"/>
      <c r="G204" s="26"/>
      <c r="H204" s="25"/>
      <c r="I204" s="26"/>
      <c r="J204" s="25"/>
      <c r="K204" s="25"/>
      <c r="L204" s="26"/>
      <c r="M204" s="25"/>
      <c r="N204" s="25"/>
      <c r="O204" s="26"/>
      <c r="P204" s="26"/>
      <c r="Q204" s="26"/>
      <c r="R204" s="26"/>
      <c r="S204" s="25"/>
      <c r="T204" s="26"/>
      <c r="U204" s="26"/>
      <c r="V204" s="25"/>
      <c r="W204" s="25"/>
      <c r="X204" s="26"/>
      <c r="Y204" s="25"/>
      <c r="Z204" s="10"/>
    </row>
    <row r="205" spans="1:26" ht="12.75">
      <c r="A205" s="25"/>
      <c r="B205" s="25"/>
      <c r="C205" s="25"/>
      <c r="D205" s="26"/>
      <c r="E205" s="26"/>
      <c r="F205" s="26"/>
      <c r="G205" s="26"/>
      <c r="H205" s="25"/>
      <c r="I205" s="26"/>
      <c r="J205" s="25"/>
      <c r="K205" s="25"/>
      <c r="L205" s="26"/>
      <c r="M205" s="25"/>
      <c r="N205" s="25"/>
      <c r="O205" s="26"/>
      <c r="P205" s="26"/>
      <c r="Q205" s="26"/>
      <c r="R205" s="26"/>
      <c r="S205" s="25"/>
      <c r="T205" s="26"/>
      <c r="U205" s="26"/>
      <c r="V205" s="25"/>
      <c r="W205" s="25"/>
      <c r="X205" s="26"/>
      <c r="Y205" s="25"/>
      <c r="Z205" s="10"/>
    </row>
    <row r="206" spans="1:26" ht="12.75">
      <c r="A206" s="25"/>
      <c r="B206" s="25"/>
      <c r="C206" s="25"/>
      <c r="D206" s="26"/>
      <c r="E206" s="26"/>
      <c r="F206" s="26"/>
      <c r="G206" s="26"/>
      <c r="H206" s="25"/>
      <c r="I206" s="26"/>
      <c r="J206" s="25"/>
      <c r="K206" s="25"/>
      <c r="L206" s="26"/>
      <c r="M206" s="25"/>
      <c r="N206" s="25"/>
      <c r="O206" s="26"/>
      <c r="P206" s="26"/>
      <c r="Q206" s="26"/>
      <c r="R206" s="26"/>
      <c r="S206" s="25"/>
      <c r="T206" s="26"/>
      <c r="U206" s="26"/>
      <c r="V206" s="25"/>
      <c r="W206" s="25"/>
      <c r="X206" s="26"/>
      <c r="Y206" s="25"/>
      <c r="Z206" s="10"/>
    </row>
    <row r="207" spans="1:26" ht="12.75">
      <c r="A207" s="25"/>
      <c r="B207" s="25"/>
      <c r="C207" s="25"/>
      <c r="D207" s="26"/>
      <c r="E207" s="26"/>
      <c r="F207" s="26"/>
      <c r="G207" s="26"/>
      <c r="H207" s="25"/>
      <c r="I207" s="26"/>
      <c r="J207" s="25"/>
      <c r="K207" s="25"/>
      <c r="L207" s="26"/>
      <c r="M207" s="25"/>
      <c r="N207" s="25"/>
      <c r="O207" s="26"/>
      <c r="P207" s="26"/>
      <c r="Q207" s="26"/>
      <c r="R207" s="26"/>
      <c r="S207" s="25"/>
      <c r="T207" s="26"/>
      <c r="U207" s="26"/>
      <c r="V207" s="25"/>
      <c r="W207" s="25"/>
      <c r="X207" s="26"/>
      <c r="Y207" s="25"/>
      <c r="Z207" s="10"/>
    </row>
    <row r="208" spans="1:26" ht="12.75">
      <c r="A208" s="25"/>
      <c r="B208" s="25"/>
      <c r="C208" s="25"/>
      <c r="D208" s="26"/>
      <c r="E208" s="26"/>
      <c r="F208" s="26"/>
      <c r="G208" s="26"/>
      <c r="H208" s="25"/>
      <c r="I208" s="26"/>
      <c r="J208" s="25"/>
      <c r="K208" s="25"/>
      <c r="L208" s="26"/>
      <c r="M208" s="25"/>
      <c r="N208" s="25"/>
      <c r="O208" s="26"/>
      <c r="P208" s="26"/>
      <c r="Q208" s="26"/>
      <c r="R208" s="26"/>
      <c r="S208" s="25"/>
      <c r="T208" s="26"/>
      <c r="U208" s="26"/>
      <c r="V208" s="25"/>
      <c r="W208" s="25"/>
      <c r="X208" s="26"/>
      <c r="Y208" s="25"/>
      <c r="Z208" s="10"/>
    </row>
    <row r="209" spans="1:26" ht="12.75">
      <c r="A209" s="25"/>
      <c r="B209" s="25"/>
      <c r="C209" s="25"/>
      <c r="D209" s="26"/>
      <c r="E209" s="26"/>
      <c r="F209" s="26"/>
      <c r="G209" s="26"/>
      <c r="H209" s="25"/>
      <c r="I209" s="26"/>
      <c r="J209" s="25"/>
      <c r="K209" s="25"/>
      <c r="L209" s="26"/>
      <c r="M209" s="25"/>
      <c r="N209" s="25"/>
      <c r="O209" s="26"/>
      <c r="P209" s="26"/>
      <c r="Q209" s="26"/>
      <c r="R209" s="26"/>
      <c r="S209" s="25"/>
      <c r="T209" s="26"/>
      <c r="U209" s="26"/>
      <c r="V209" s="25"/>
      <c r="W209" s="25"/>
      <c r="X209" s="26"/>
      <c r="Y209" s="25"/>
      <c r="Z209" s="10"/>
    </row>
    <row r="210" spans="1:26" ht="12.75">
      <c r="A210" s="25"/>
      <c r="B210" s="25"/>
      <c r="C210" s="25"/>
      <c r="D210" s="26"/>
      <c r="E210" s="26"/>
      <c r="F210" s="26"/>
      <c r="G210" s="26"/>
      <c r="H210" s="25"/>
      <c r="I210" s="26"/>
      <c r="J210" s="25"/>
      <c r="K210" s="25"/>
      <c r="L210" s="26"/>
      <c r="M210" s="25"/>
      <c r="N210" s="25"/>
      <c r="O210" s="26"/>
      <c r="P210" s="26"/>
      <c r="Q210" s="26"/>
      <c r="R210" s="26"/>
      <c r="S210" s="25"/>
      <c r="T210" s="26"/>
      <c r="U210" s="26"/>
      <c r="V210" s="25"/>
      <c r="W210" s="25"/>
      <c r="X210" s="26"/>
      <c r="Y210" s="25"/>
      <c r="Z210" s="10"/>
    </row>
    <row r="211" spans="1:26" ht="12.75">
      <c r="A211" s="25"/>
      <c r="B211" s="25"/>
      <c r="C211" s="25"/>
      <c r="D211" s="26"/>
      <c r="E211" s="26"/>
      <c r="F211" s="26"/>
      <c r="G211" s="26"/>
      <c r="H211" s="25"/>
      <c r="I211" s="26"/>
      <c r="J211" s="25"/>
      <c r="K211" s="25"/>
      <c r="L211" s="26"/>
      <c r="M211" s="25"/>
      <c r="N211" s="25"/>
      <c r="O211" s="26"/>
      <c r="P211" s="26"/>
      <c r="Q211" s="26"/>
      <c r="R211" s="26"/>
      <c r="S211" s="25"/>
      <c r="T211" s="26"/>
      <c r="U211" s="26"/>
      <c r="V211" s="25"/>
      <c r="W211" s="25"/>
      <c r="X211" s="26"/>
      <c r="Y211" s="25"/>
      <c r="Z211" s="10"/>
    </row>
    <row r="212" spans="1:26" ht="12.75">
      <c r="A212" s="25"/>
      <c r="B212" s="25"/>
      <c r="C212" s="25"/>
      <c r="D212" s="26"/>
      <c r="E212" s="26"/>
      <c r="F212" s="26"/>
      <c r="G212" s="26"/>
      <c r="H212" s="25"/>
      <c r="I212" s="26"/>
      <c r="J212" s="25"/>
      <c r="K212" s="25"/>
      <c r="L212" s="26"/>
      <c r="M212" s="25"/>
      <c r="N212" s="25"/>
      <c r="O212" s="26"/>
      <c r="P212" s="26"/>
      <c r="Q212" s="26"/>
      <c r="R212" s="26"/>
      <c r="S212" s="25"/>
      <c r="T212" s="26"/>
      <c r="U212" s="26"/>
      <c r="V212" s="25"/>
      <c r="W212" s="25"/>
      <c r="X212" s="26"/>
      <c r="Y212" s="25"/>
      <c r="Z212" s="10"/>
    </row>
    <row r="213" spans="1:26" ht="12.75">
      <c r="A213" s="25"/>
      <c r="B213" s="25"/>
      <c r="C213" s="25"/>
      <c r="D213" s="26"/>
      <c r="E213" s="26"/>
      <c r="F213" s="26"/>
      <c r="G213" s="26"/>
      <c r="H213" s="25"/>
      <c r="I213" s="26"/>
      <c r="J213" s="25"/>
      <c r="K213" s="25"/>
      <c r="L213" s="26"/>
      <c r="M213" s="25"/>
      <c r="N213" s="25"/>
      <c r="O213" s="26"/>
      <c r="P213" s="26"/>
      <c r="Q213" s="26"/>
      <c r="R213" s="26"/>
      <c r="S213" s="25"/>
      <c r="T213" s="26"/>
      <c r="U213" s="26"/>
      <c r="V213" s="25"/>
      <c r="W213" s="25"/>
      <c r="X213" s="26"/>
      <c r="Y213" s="25"/>
      <c r="Z213" s="10"/>
    </row>
    <row r="214" spans="1:26" ht="12.75">
      <c r="A214" s="25"/>
      <c r="B214" s="25"/>
      <c r="C214" s="25"/>
      <c r="D214" s="26"/>
      <c r="E214" s="26"/>
      <c r="F214" s="26"/>
      <c r="G214" s="26"/>
      <c r="H214" s="25"/>
      <c r="I214" s="26"/>
      <c r="J214" s="25"/>
      <c r="K214" s="25"/>
      <c r="L214" s="26"/>
      <c r="M214" s="25"/>
      <c r="N214" s="25"/>
      <c r="O214" s="26"/>
      <c r="P214" s="26"/>
      <c r="Q214" s="26"/>
      <c r="R214" s="26"/>
      <c r="S214" s="25"/>
      <c r="T214" s="26"/>
      <c r="U214" s="26"/>
      <c r="V214" s="25"/>
      <c r="W214" s="25"/>
      <c r="X214" s="26"/>
      <c r="Y214" s="25"/>
      <c r="Z214" s="10"/>
    </row>
    <row r="215" spans="1:26" ht="12.75">
      <c r="A215" s="25"/>
      <c r="B215" s="25"/>
      <c r="C215" s="25"/>
      <c r="D215" s="26"/>
      <c r="E215" s="26"/>
      <c r="F215" s="26"/>
      <c r="G215" s="26"/>
      <c r="H215" s="25"/>
      <c r="I215" s="26"/>
      <c r="J215" s="25"/>
      <c r="K215" s="25"/>
      <c r="L215" s="26"/>
      <c r="M215" s="25"/>
      <c r="N215" s="25"/>
      <c r="O215" s="26"/>
      <c r="P215" s="26"/>
      <c r="Q215" s="26"/>
      <c r="R215" s="26"/>
      <c r="S215" s="25"/>
      <c r="T215" s="26"/>
      <c r="U215" s="26"/>
      <c r="V215" s="25"/>
      <c r="W215" s="25"/>
      <c r="X215" s="26"/>
      <c r="Y215" s="25"/>
      <c r="Z215" s="10"/>
    </row>
    <row r="216" spans="1:26" ht="12.75">
      <c r="A216" s="25"/>
      <c r="B216" s="25"/>
      <c r="C216" s="25"/>
      <c r="D216" s="26"/>
      <c r="E216" s="26"/>
      <c r="F216" s="26"/>
      <c r="G216" s="26"/>
      <c r="H216" s="25"/>
      <c r="I216" s="26"/>
      <c r="J216" s="25"/>
      <c r="K216" s="25"/>
      <c r="L216" s="26"/>
      <c r="M216" s="25"/>
      <c r="N216" s="25"/>
      <c r="O216" s="26"/>
      <c r="P216" s="26"/>
      <c r="Q216" s="26"/>
      <c r="R216" s="26"/>
      <c r="S216" s="25"/>
      <c r="T216" s="26"/>
      <c r="U216" s="26"/>
      <c r="V216" s="25"/>
      <c r="W216" s="25"/>
      <c r="X216" s="26"/>
      <c r="Y216" s="25"/>
      <c r="Z216" s="10"/>
    </row>
    <row r="217" spans="1:26" ht="12.75">
      <c r="A217" s="25"/>
      <c r="B217" s="25"/>
      <c r="C217" s="25"/>
      <c r="D217" s="26"/>
      <c r="E217" s="26"/>
      <c r="F217" s="26"/>
      <c r="G217" s="26"/>
      <c r="H217" s="25"/>
      <c r="I217" s="26"/>
      <c r="J217" s="25"/>
      <c r="K217" s="25"/>
      <c r="L217" s="26"/>
      <c r="M217" s="25"/>
      <c r="N217" s="25"/>
      <c r="O217" s="26"/>
      <c r="P217" s="26"/>
      <c r="Q217" s="26"/>
      <c r="R217" s="26"/>
      <c r="S217" s="25"/>
      <c r="T217" s="26"/>
      <c r="U217" s="26"/>
      <c r="V217" s="25"/>
      <c r="W217" s="25"/>
      <c r="X217" s="26"/>
      <c r="Y217" s="25"/>
      <c r="Z217" s="10"/>
    </row>
    <row r="218" spans="1:26" ht="12.75">
      <c r="A218" s="25"/>
      <c r="B218" s="25"/>
      <c r="C218" s="25"/>
      <c r="D218" s="26"/>
      <c r="E218" s="26"/>
      <c r="F218" s="26"/>
      <c r="G218" s="26"/>
      <c r="H218" s="25"/>
      <c r="I218" s="26"/>
      <c r="J218" s="25"/>
      <c r="K218" s="25"/>
      <c r="L218" s="26"/>
      <c r="M218" s="25"/>
      <c r="N218" s="25"/>
      <c r="O218" s="26"/>
      <c r="P218" s="26"/>
      <c r="Q218" s="26"/>
      <c r="R218" s="26"/>
      <c r="S218" s="25"/>
      <c r="T218" s="26"/>
      <c r="U218" s="26"/>
      <c r="V218" s="25"/>
      <c r="W218" s="25"/>
      <c r="X218" s="26"/>
      <c r="Y218" s="25"/>
      <c r="Z218" s="10"/>
    </row>
    <row r="219" spans="1:26" ht="12.75">
      <c r="A219" s="25"/>
      <c r="B219" s="25"/>
      <c r="C219" s="25"/>
      <c r="D219" s="26"/>
      <c r="E219" s="26"/>
      <c r="F219" s="26"/>
      <c r="G219" s="26"/>
      <c r="H219" s="25"/>
      <c r="I219" s="26"/>
      <c r="J219" s="25"/>
      <c r="K219" s="25"/>
      <c r="L219" s="26"/>
      <c r="M219" s="25"/>
      <c r="N219" s="25"/>
      <c r="O219" s="26"/>
      <c r="P219" s="26"/>
      <c r="Q219" s="26"/>
      <c r="R219" s="26"/>
      <c r="S219" s="25"/>
      <c r="T219" s="26"/>
      <c r="U219" s="26"/>
      <c r="V219" s="25"/>
      <c r="W219" s="25"/>
      <c r="X219" s="26"/>
      <c r="Y219" s="25"/>
      <c r="Z219" s="10"/>
    </row>
    <row r="220" spans="1:26" ht="12.75">
      <c r="A220" s="25"/>
      <c r="B220" s="25"/>
      <c r="C220" s="25"/>
      <c r="D220" s="26"/>
      <c r="E220" s="26"/>
      <c r="F220" s="26"/>
      <c r="G220" s="26"/>
      <c r="H220" s="25"/>
      <c r="I220" s="26"/>
      <c r="J220" s="25"/>
      <c r="K220" s="25"/>
      <c r="L220" s="26"/>
      <c r="M220" s="25"/>
      <c r="N220" s="25"/>
      <c r="O220" s="26"/>
      <c r="P220" s="26"/>
      <c r="Q220" s="26"/>
      <c r="R220" s="26"/>
      <c r="S220" s="25"/>
      <c r="T220" s="26"/>
      <c r="U220" s="26"/>
      <c r="V220" s="25"/>
      <c r="W220" s="25"/>
      <c r="X220" s="26"/>
      <c r="Y220" s="25"/>
      <c r="Z220" s="10"/>
    </row>
    <row r="221" spans="1:26" ht="12.75">
      <c r="A221" s="25"/>
      <c r="B221" s="25"/>
      <c r="C221" s="25"/>
      <c r="D221" s="26"/>
      <c r="E221" s="26"/>
      <c r="F221" s="26"/>
      <c r="G221" s="26"/>
      <c r="H221" s="25"/>
      <c r="I221" s="26"/>
      <c r="J221" s="25"/>
      <c r="K221" s="25"/>
      <c r="L221" s="26"/>
      <c r="M221" s="25"/>
      <c r="N221" s="25"/>
      <c r="O221" s="26"/>
      <c r="P221" s="26"/>
      <c r="Q221" s="26"/>
      <c r="R221" s="26"/>
      <c r="S221" s="25"/>
      <c r="T221" s="26"/>
      <c r="U221" s="26"/>
      <c r="V221" s="25"/>
      <c r="W221" s="25"/>
      <c r="X221" s="26"/>
      <c r="Y221" s="25"/>
      <c r="Z221" s="10"/>
    </row>
    <row r="222" spans="1:26" ht="12.75">
      <c r="A222" s="25"/>
      <c r="B222" s="25"/>
      <c r="C222" s="25"/>
      <c r="D222" s="26"/>
      <c r="E222" s="26"/>
      <c r="F222" s="26"/>
      <c r="G222" s="26"/>
      <c r="H222" s="25"/>
      <c r="I222" s="26"/>
      <c r="J222" s="25"/>
      <c r="K222" s="25"/>
      <c r="L222" s="26"/>
      <c r="M222" s="25"/>
      <c r="N222" s="25"/>
      <c r="O222" s="26"/>
      <c r="P222" s="26"/>
      <c r="Q222" s="26"/>
      <c r="R222" s="26"/>
      <c r="S222" s="25"/>
      <c r="T222" s="26"/>
      <c r="U222" s="26"/>
      <c r="V222" s="25"/>
      <c r="W222" s="25"/>
      <c r="X222" s="26"/>
      <c r="Y222" s="25"/>
      <c r="Z222" s="10"/>
    </row>
    <row r="223" spans="1:26" ht="12.75">
      <c r="A223" s="25"/>
      <c r="B223" s="25"/>
      <c r="C223" s="25"/>
      <c r="D223" s="26"/>
      <c r="E223" s="26"/>
      <c r="F223" s="26"/>
      <c r="G223" s="26"/>
      <c r="H223" s="25"/>
      <c r="I223" s="26"/>
      <c r="J223" s="25"/>
      <c r="K223" s="25"/>
      <c r="L223" s="26"/>
      <c r="M223" s="25"/>
      <c r="N223" s="25"/>
      <c r="O223" s="26"/>
      <c r="P223" s="26"/>
      <c r="Q223" s="26"/>
      <c r="R223" s="26"/>
      <c r="S223" s="25"/>
      <c r="T223" s="26"/>
      <c r="U223" s="26"/>
      <c r="V223" s="25"/>
      <c r="W223" s="25"/>
      <c r="X223" s="26"/>
      <c r="Y223" s="25"/>
      <c r="Z223" s="10"/>
    </row>
    <row r="224" spans="1:26" ht="12.75">
      <c r="A224" s="25"/>
      <c r="B224" s="25"/>
      <c r="C224" s="25"/>
      <c r="D224" s="26"/>
      <c r="E224" s="26"/>
      <c r="F224" s="26"/>
      <c r="G224" s="26"/>
      <c r="H224" s="25"/>
      <c r="I224" s="26"/>
      <c r="J224" s="25"/>
      <c r="K224" s="25"/>
      <c r="L224" s="26"/>
      <c r="M224" s="25"/>
      <c r="N224" s="25"/>
      <c r="O224" s="26"/>
      <c r="P224" s="26"/>
      <c r="Q224" s="26"/>
      <c r="R224" s="26"/>
      <c r="S224" s="25"/>
      <c r="T224" s="26"/>
      <c r="U224" s="26"/>
      <c r="V224" s="25"/>
      <c r="W224" s="25"/>
      <c r="X224" s="26"/>
      <c r="Y224" s="25"/>
      <c r="Z224" s="10"/>
    </row>
    <row r="225" spans="1:26" ht="12.75">
      <c r="A225" s="25"/>
      <c r="B225" s="25"/>
      <c r="C225" s="25"/>
      <c r="D225" s="26"/>
      <c r="E225" s="26"/>
      <c r="F225" s="26"/>
      <c r="G225" s="26"/>
      <c r="H225" s="25"/>
      <c r="I225" s="26"/>
      <c r="J225" s="25"/>
      <c r="K225" s="25"/>
      <c r="L225" s="26"/>
      <c r="M225" s="25"/>
      <c r="N225" s="25"/>
      <c r="O225" s="26"/>
      <c r="P225" s="26"/>
      <c r="Q225" s="26"/>
      <c r="R225" s="26"/>
      <c r="S225" s="25"/>
      <c r="T225" s="26"/>
      <c r="U225" s="26"/>
      <c r="V225" s="25"/>
      <c r="W225" s="25"/>
      <c r="X225" s="26"/>
      <c r="Y225" s="25"/>
      <c r="Z225" s="10"/>
    </row>
    <row r="226" spans="1:26" ht="12.75">
      <c r="A226" s="25"/>
      <c r="B226" s="25"/>
      <c r="C226" s="25"/>
      <c r="D226" s="26"/>
      <c r="E226" s="26"/>
      <c r="F226" s="26"/>
      <c r="G226" s="26"/>
      <c r="H226" s="25"/>
      <c r="I226" s="26"/>
      <c r="J226" s="25"/>
      <c r="K226" s="25"/>
      <c r="L226" s="26"/>
      <c r="M226" s="25"/>
      <c r="N226" s="25"/>
      <c r="O226" s="26"/>
      <c r="P226" s="26"/>
      <c r="Q226" s="26"/>
      <c r="R226" s="26"/>
      <c r="S226" s="25"/>
      <c r="T226" s="26"/>
      <c r="U226" s="26"/>
      <c r="V226" s="25"/>
      <c r="W226" s="25"/>
      <c r="X226" s="26"/>
      <c r="Y226" s="25"/>
      <c r="Z226" s="10"/>
    </row>
    <row r="227" spans="1:26" ht="12.75">
      <c r="A227" s="25"/>
      <c r="B227" s="25"/>
      <c r="C227" s="25"/>
      <c r="D227" s="26"/>
      <c r="E227" s="26"/>
      <c r="F227" s="26"/>
      <c r="G227" s="26"/>
      <c r="H227" s="25"/>
      <c r="I227" s="26"/>
      <c r="J227" s="25"/>
      <c r="K227" s="25"/>
      <c r="L227" s="26"/>
      <c r="M227" s="25"/>
      <c r="N227" s="25"/>
      <c r="O227" s="26"/>
      <c r="P227" s="26"/>
      <c r="Q227" s="26"/>
      <c r="R227" s="26"/>
      <c r="S227" s="25"/>
      <c r="T227" s="26"/>
      <c r="U227" s="26"/>
      <c r="V227" s="25"/>
      <c r="W227" s="25"/>
      <c r="X227" s="26"/>
      <c r="Y227" s="25"/>
      <c r="Z227" s="10"/>
    </row>
    <row r="228" spans="1:26" ht="12.75">
      <c r="A228" s="25"/>
      <c r="B228" s="25"/>
      <c r="C228" s="25"/>
      <c r="D228" s="26"/>
      <c r="E228" s="26"/>
      <c r="F228" s="26"/>
      <c r="G228" s="26"/>
      <c r="H228" s="25"/>
      <c r="I228" s="26"/>
      <c r="J228" s="25"/>
      <c r="K228" s="25"/>
      <c r="L228" s="26"/>
      <c r="M228" s="25"/>
      <c r="N228" s="25"/>
      <c r="O228" s="26"/>
      <c r="P228" s="26"/>
      <c r="Q228" s="26"/>
      <c r="R228" s="26"/>
      <c r="S228" s="25"/>
      <c r="T228" s="26"/>
      <c r="U228" s="26"/>
      <c r="V228" s="25"/>
      <c r="W228" s="25"/>
      <c r="X228" s="26"/>
      <c r="Y228" s="25"/>
      <c r="Z228" s="10"/>
    </row>
    <row r="229" spans="1:26" ht="12.75">
      <c r="A229" s="25"/>
      <c r="B229" s="25"/>
      <c r="C229" s="25"/>
      <c r="D229" s="26"/>
      <c r="E229" s="26"/>
      <c r="F229" s="26"/>
      <c r="G229" s="26"/>
      <c r="H229" s="25"/>
      <c r="I229" s="26"/>
      <c r="J229" s="25"/>
      <c r="K229" s="25"/>
      <c r="L229" s="26"/>
      <c r="M229" s="25"/>
      <c r="N229" s="25"/>
      <c r="O229" s="26"/>
      <c r="P229" s="26"/>
      <c r="Q229" s="26"/>
      <c r="R229" s="26"/>
      <c r="S229" s="25"/>
      <c r="T229" s="26"/>
      <c r="U229" s="26"/>
      <c r="V229" s="25"/>
      <c r="W229" s="25"/>
      <c r="X229" s="26"/>
      <c r="Y229" s="25"/>
      <c r="Z229" s="10"/>
    </row>
    <row r="230" spans="1:26" ht="12.75">
      <c r="A230" s="25"/>
      <c r="B230" s="25"/>
      <c r="C230" s="25"/>
      <c r="D230" s="26"/>
      <c r="E230" s="26"/>
      <c r="F230" s="26"/>
      <c r="G230" s="26"/>
      <c r="H230" s="25"/>
      <c r="I230" s="26"/>
      <c r="J230" s="25"/>
      <c r="K230" s="25"/>
      <c r="L230" s="26"/>
      <c r="M230" s="25"/>
      <c r="N230" s="25"/>
      <c r="O230" s="26"/>
      <c r="P230" s="26"/>
      <c r="Q230" s="26"/>
      <c r="R230" s="26"/>
      <c r="S230" s="25"/>
      <c r="T230" s="26"/>
      <c r="U230" s="26"/>
      <c r="V230" s="25"/>
      <c r="W230" s="25"/>
      <c r="X230" s="26"/>
      <c r="Y230" s="25"/>
      <c r="Z230" s="10"/>
    </row>
    <row r="231" spans="1:26" ht="12.75">
      <c r="A231" s="25"/>
      <c r="B231" s="25"/>
      <c r="C231" s="25"/>
      <c r="D231" s="26"/>
      <c r="E231" s="26"/>
      <c r="F231" s="26"/>
      <c r="G231" s="26"/>
      <c r="H231" s="25"/>
      <c r="I231" s="26"/>
      <c r="J231" s="25"/>
      <c r="K231" s="25"/>
      <c r="L231" s="26"/>
      <c r="M231" s="25"/>
      <c r="N231" s="25"/>
      <c r="O231" s="26"/>
      <c r="P231" s="26"/>
      <c r="Q231" s="26"/>
      <c r="R231" s="26"/>
      <c r="S231" s="25"/>
      <c r="T231" s="26"/>
      <c r="U231" s="26"/>
      <c r="V231" s="25"/>
      <c r="W231" s="25"/>
      <c r="X231" s="26"/>
      <c r="Y231" s="25"/>
      <c r="Z231" s="10"/>
    </row>
    <row r="232" spans="1:26" ht="12.75">
      <c r="A232" s="25"/>
      <c r="B232" s="25"/>
      <c r="C232" s="25"/>
      <c r="D232" s="26"/>
      <c r="E232" s="26"/>
      <c r="F232" s="26"/>
      <c r="G232" s="26"/>
      <c r="H232" s="25"/>
      <c r="I232" s="26"/>
      <c r="J232" s="25"/>
      <c r="K232" s="25"/>
      <c r="L232" s="26"/>
      <c r="M232" s="25"/>
      <c r="N232" s="25"/>
      <c r="O232" s="26"/>
      <c r="P232" s="26"/>
      <c r="Q232" s="26"/>
      <c r="R232" s="26"/>
      <c r="S232" s="25"/>
      <c r="T232" s="26"/>
      <c r="U232" s="26"/>
      <c r="V232" s="25"/>
      <c r="W232" s="25"/>
      <c r="X232" s="26"/>
      <c r="Y232" s="25"/>
      <c r="Z232" s="10"/>
    </row>
    <row r="233" spans="1:26" ht="12.75">
      <c r="A233" s="25"/>
      <c r="B233" s="25"/>
      <c r="C233" s="25"/>
      <c r="D233" s="26"/>
      <c r="E233" s="26"/>
      <c r="F233" s="26"/>
      <c r="G233" s="26"/>
      <c r="H233" s="25"/>
      <c r="I233" s="26"/>
      <c r="J233" s="25"/>
      <c r="K233" s="25"/>
      <c r="L233" s="26"/>
      <c r="M233" s="25"/>
      <c r="N233" s="25"/>
      <c r="O233" s="26"/>
      <c r="P233" s="26"/>
      <c r="Q233" s="26"/>
      <c r="R233" s="26"/>
      <c r="S233" s="25"/>
      <c r="T233" s="26"/>
      <c r="U233" s="26"/>
      <c r="V233" s="25"/>
      <c r="W233" s="25"/>
      <c r="X233" s="26"/>
      <c r="Y233" s="25"/>
      <c r="Z233" s="10"/>
    </row>
    <row r="234" spans="1:26" ht="12.75">
      <c r="A234" s="25"/>
      <c r="B234" s="25"/>
      <c r="C234" s="25"/>
      <c r="D234" s="26"/>
      <c r="E234" s="26"/>
      <c r="F234" s="26"/>
      <c r="G234" s="26"/>
      <c r="H234" s="25"/>
      <c r="I234" s="26"/>
      <c r="J234" s="25"/>
      <c r="K234" s="25"/>
      <c r="L234" s="26"/>
      <c r="M234" s="25"/>
      <c r="N234" s="25"/>
      <c r="O234" s="26"/>
      <c r="P234" s="26"/>
      <c r="Q234" s="26"/>
      <c r="R234" s="26"/>
      <c r="S234" s="25"/>
      <c r="T234" s="26"/>
      <c r="U234" s="26"/>
      <c r="V234" s="25"/>
      <c r="W234" s="25"/>
      <c r="X234" s="26"/>
      <c r="Y234" s="25"/>
      <c r="Z234" s="10"/>
    </row>
    <row r="235" spans="1:26" ht="12.75">
      <c r="A235" s="25"/>
      <c r="B235" s="25"/>
      <c r="C235" s="25"/>
      <c r="D235" s="26"/>
      <c r="E235" s="26"/>
      <c r="F235" s="26"/>
      <c r="G235" s="26"/>
      <c r="H235" s="25"/>
      <c r="I235" s="26"/>
      <c r="J235" s="25"/>
      <c r="K235" s="25"/>
      <c r="L235" s="26"/>
      <c r="M235" s="25"/>
      <c r="N235" s="25"/>
      <c r="O235" s="26"/>
      <c r="P235" s="26"/>
      <c r="Q235" s="26"/>
      <c r="R235" s="26"/>
      <c r="S235" s="25"/>
      <c r="T235" s="26"/>
      <c r="U235" s="26"/>
      <c r="V235" s="25"/>
      <c r="W235" s="25"/>
      <c r="X235" s="26"/>
      <c r="Y235" s="25"/>
      <c r="Z235" s="10"/>
    </row>
    <row r="236" spans="1:26" ht="12.75">
      <c r="A236" s="25"/>
      <c r="B236" s="25"/>
      <c r="C236" s="25"/>
      <c r="D236" s="26"/>
      <c r="E236" s="26"/>
      <c r="F236" s="26"/>
      <c r="G236" s="26"/>
      <c r="H236" s="25"/>
      <c r="I236" s="26"/>
      <c r="J236" s="25"/>
      <c r="K236" s="25"/>
      <c r="L236" s="26"/>
      <c r="M236" s="25"/>
      <c r="N236" s="25"/>
      <c r="O236" s="26"/>
      <c r="P236" s="26"/>
      <c r="Q236" s="26"/>
      <c r="R236" s="26"/>
      <c r="S236" s="25"/>
      <c r="T236" s="26"/>
      <c r="U236" s="26"/>
      <c r="V236" s="25"/>
      <c r="W236" s="25"/>
      <c r="X236" s="26"/>
      <c r="Y236" s="25"/>
      <c r="Z236" s="10"/>
    </row>
    <row r="237" spans="1:26" ht="12.75">
      <c r="A237" s="25"/>
      <c r="B237" s="25"/>
      <c r="C237" s="25"/>
      <c r="D237" s="26"/>
      <c r="E237" s="26"/>
      <c r="F237" s="26"/>
      <c r="G237" s="26"/>
      <c r="H237" s="25"/>
      <c r="I237" s="26"/>
      <c r="J237" s="25"/>
      <c r="K237" s="25"/>
      <c r="L237" s="26"/>
      <c r="M237" s="25"/>
      <c r="N237" s="25"/>
      <c r="O237" s="26"/>
      <c r="P237" s="26"/>
      <c r="Q237" s="26"/>
      <c r="R237" s="26"/>
      <c r="S237" s="25"/>
      <c r="T237" s="26"/>
      <c r="U237" s="26"/>
      <c r="V237" s="25"/>
      <c r="W237" s="25"/>
      <c r="X237" s="26"/>
      <c r="Y237" s="25"/>
      <c r="Z237" s="10"/>
    </row>
    <row r="238" spans="1:26" ht="12.75">
      <c r="A238" s="25"/>
      <c r="B238" s="25"/>
      <c r="C238" s="25"/>
      <c r="D238" s="26"/>
      <c r="E238" s="26"/>
      <c r="F238" s="26"/>
      <c r="G238" s="26"/>
      <c r="H238" s="25"/>
      <c r="I238" s="26"/>
      <c r="J238" s="25"/>
      <c r="K238" s="25"/>
      <c r="L238" s="26"/>
      <c r="M238" s="25"/>
      <c r="N238" s="25"/>
      <c r="O238" s="26"/>
      <c r="P238" s="26"/>
      <c r="Q238" s="26"/>
      <c r="R238" s="26"/>
      <c r="S238" s="25"/>
      <c r="T238" s="26"/>
      <c r="U238" s="26"/>
      <c r="V238" s="25"/>
      <c r="W238" s="25"/>
      <c r="X238" s="26"/>
      <c r="Y238" s="25"/>
      <c r="Z238" s="10"/>
    </row>
    <row r="239" spans="1:26" ht="12.75">
      <c r="A239" s="25"/>
      <c r="B239" s="25"/>
      <c r="C239" s="25"/>
      <c r="D239" s="26"/>
      <c r="E239" s="26"/>
      <c r="F239" s="26"/>
      <c r="G239" s="26"/>
      <c r="H239" s="25"/>
      <c r="I239" s="26"/>
      <c r="J239" s="25"/>
      <c r="K239" s="25"/>
      <c r="L239" s="26"/>
      <c r="M239" s="25"/>
      <c r="N239" s="25"/>
      <c r="O239" s="26"/>
      <c r="P239" s="26"/>
      <c r="Q239" s="26"/>
      <c r="R239" s="26"/>
      <c r="S239" s="25"/>
      <c r="T239" s="26"/>
      <c r="U239" s="26"/>
      <c r="V239" s="25"/>
      <c r="W239" s="25"/>
      <c r="X239" s="26"/>
      <c r="Y239" s="25"/>
      <c r="Z239" s="10"/>
    </row>
    <row r="240" spans="1:26" ht="12.75">
      <c r="A240" s="25"/>
      <c r="B240" s="25"/>
      <c r="C240" s="25"/>
      <c r="D240" s="26"/>
      <c r="E240" s="26"/>
      <c r="F240" s="26"/>
      <c r="G240" s="26"/>
      <c r="H240" s="25"/>
      <c r="I240" s="26"/>
      <c r="J240" s="25"/>
      <c r="K240" s="25"/>
      <c r="L240" s="26"/>
      <c r="M240" s="25"/>
      <c r="N240" s="25"/>
      <c r="O240" s="26"/>
      <c r="P240" s="26"/>
      <c r="Q240" s="26"/>
      <c r="R240" s="26"/>
      <c r="S240" s="25"/>
      <c r="T240" s="26"/>
      <c r="U240" s="26"/>
      <c r="V240" s="25"/>
      <c r="W240" s="25"/>
      <c r="X240" s="26"/>
      <c r="Y240" s="25"/>
      <c r="Z240" s="10"/>
    </row>
    <row r="241" spans="1:26" ht="12.75">
      <c r="A241" s="25"/>
      <c r="B241" s="25"/>
      <c r="C241" s="25"/>
      <c r="D241" s="26"/>
      <c r="E241" s="26"/>
      <c r="F241" s="26"/>
      <c r="G241" s="26"/>
      <c r="H241" s="25"/>
      <c r="I241" s="26"/>
      <c r="J241" s="25"/>
      <c r="K241" s="25"/>
      <c r="L241" s="26"/>
      <c r="M241" s="25"/>
      <c r="N241" s="25"/>
      <c r="O241" s="26"/>
      <c r="P241" s="26"/>
      <c r="Q241" s="26"/>
      <c r="R241" s="26"/>
      <c r="S241" s="25"/>
      <c r="T241" s="26"/>
      <c r="U241" s="26"/>
      <c r="V241" s="25"/>
      <c r="W241" s="25"/>
      <c r="X241" s="26"/>
      <c r="Y241" s="25"/>
      <c r="Z241" s="10"/>
    </row>
    <row r="242" spans="1:26" ht="12.75">
      <c r="A242" s="25"/>
      <c r="B242" s="25"/>
      <c r="C242" s="25"/>
      <c r="D242" s="26"/>
      <c r="E242" s="26"/>
      <c r="F242" s="26"/>
      <c r="G242" s="26"/>
      <c r="H242" s="25"/>
      <c r="I242" s="26"/>
      <c r="J242" s="25"/>
      <c r="K242" s="25"/>
      <c r="L242" s="26"/>
      <c r="M242" s="25"/>
      <c r="N242" s="25"/>
      <c r="O242" s="26"/>
      <c r="P242" s="26"/>
      <c r="Q242" s="26"/>
      <c r="R242" s="26"/>
      <c r="S242" s="25"/>
      <c r="T242" s="26"/>
      <c r="U242" s="26"/>
      <c r="V242" s="25"/>
      <c r="W242" s="25"/>
      <c r="X242" s="26"/>
      <c r="Y242" s="25"/>
      <c r="Z242" s="10"/>
    </row>
    <row r="243" spans="1:26" ht="12.75">
      <c r="A243" s="25"/>
      <c r="B243" s="25"/>
      <c r="C243" s="25"/>
      <c r="D243" s="26"/>
      <c r="E243" s="26"/>
      <c r="F243" s="26"/>
      <c r="G243" s="26"/>
      <c r="H243" s="25"/>
      <c r="I243" s="26"/>
      <c r="J243" s="25"/>
      <c r="K243" s="25"/>
      <c r="L243" s="26"/>
      <c r="M243" s="25"/>
      <c r="N243" s="25"/>
      <c r="O243" s="26"/>
      <c r="P243" s="26"/>
      <c r="Q243" s="26"/>
      <c r="R243" s="26"/>
      <c r="S243" s="25"/>
      <c r="T243" s="26"/>
      <c r="U243" s="26"/>
      <c r="V243" s="25"/>
      <c r="W243" s="25"/>
      <c r="X243" s="26"/>
      <c r="Y243" s="25"/>
      <c r="Z243" s="10"/>
    </row>
    <row r="244" spans="1:26" ht="12.75">
      <c r="A244" s="25"/>
      <c r="B244" s="25"/>
      <c r="C244" s="25"/>
      <c r="D244" s="26"/>
      <c r="E244" s="26"/>
      <c r="F244" s="26"/>
      <c r="G244" s="26"/>
      <c r="H244" s="25"/>
      <c r="I244" s="26"/>
      <c r="J244" s="25"/>
      <c r="K244" s="25"/>
      <c r="L244" s="26"/>
      <c r="M244" s="25"/>
      <c r="N244" s="25"/>
      <c r="O244" s="26"/>
      <c r="P244" s="26"/>
      <c r="Q244" s="26"/>
      <c r="R244" s="26"/>
      <c r="S244" s="25"/>
      <c r="T244" s="26"/>
      <c r="U244" s="26"/>
      <c r="V244" s="25"/>
      <c r="W244" s="25"/>
      <c r="X244" s="26"/>
      <c r="Y244" s="25"/>
      <c r="Z244" s="10"/>
    </row>
    <row r="245" spans="1:26" ht="12.75">
      <c r="A245" s="25"/>
      <c r="B245" s="25"/>
      <c r="C245" s="25"/>
      <c r="D245" s="26"/>
      <c r="E245" s="26"/>
      <c r="F245" s="26"/>
      <c r="G245" s="26"/>
      <c r="H245" s="25"/>
      <c r="I245" s="26"/>
      <c r="J245" s="25"/>
      <c r="K245" s="25"/>
      <c r="L245" s="26"/>
      <c r="M245" s="25"/>
      <c r="N245" s="25"/>
      <c r="O245" s="26"/>
      <c r="P245" s="26"/>
      <c r="Q245" s="26"/>
      <c r="R245" s="26"/>
      <c r="S245" s="25"/>
      <c r="T245" s="26"/>
      <c r="U245" s="26"/>
      <c r="V245" s="25"/>
      <c r="W245" s="25"/>
      <c r="X245" s="26"/>
      <c r="Y245" s="25"/>
      <c r="Z245" s="10"/>
    </row>
    <row r="246" spans="1:26" ht="12.75">
      <c r="A246" s="25"/>
      <c r="B246" s="25"/>
      <c r="C246" s="25"/>
      <c r="D246" s="26"/>
      <c r="E246" s="26"/>
      <c r="F246" s="26"/>
      <c r="G246" s="26"/>
      <c r="H246" s="25"/>
      <c r="I246" s="26"/>
      <c r="J246" s="25"/>
      <c r="K246" s="25"/>
      <c r="L246" s="26"/>
      <c r="M246" s="25"/>
      <c r="N246" s="25"/>
      <c r="O246" s="26"/>
      <c r="P246" s="26"/>
      <c r="Q246" s="26"/>
      <c r="R246" s="26"/>
      <c r="S246" s="25"/>
      <c r="T246" s="26"/>
      <c r="U246" s="26"/>
      <c r="V246" s="25"/>
      <c r="W246" s="25"/>
      <c r="X246" s="26"/>
      <c r="Y246" s="25"/>
      <c r="Z246" s="10"/>
    </row>
    <row r="247" spans="1:26" ht="12.75">
      <c r="A247" s="25"/>
      <c r="B247" s="25"/>
      <c r="C247" s="25"/>
      <c r="D247" s="26"/>
      <c r="E247" s="26"/>
      <c r="F247" s="26"/>
      <c r="G247" s="26"/>
      <c r="H247" s="25"/>
      <c r="I247" s="26"/>
      <c r="J247" s="25"/>
      <c r="K247" s="25"/>
      <c r="L247" s="26"/>
      <c r="M247" s="25"/>
      <c r="N247" s="25"/>
      <c r="O247" s="26"/>
      <c r="P247" s="26"/>
      <c r="Q247" s="26"/>
      <c r="R247" s="26"/>
      <c r="S247" s="25"/>
      <c r="T247" s="26"/>
      <c r="U247" s="26"/>
      <c r="V247" s="25"/>
      <c r="W247" s="25"/>
      <c r="X247" s="26"/>
      <c r="Y247" s="25"/>
      <c r="Z247" s="10"/>
    </row>
    <row r="248" spans="1:26" ht="12.75">
      <c r="A248" s="25"/>
      <c r="B248" s="25"/>
      <c r="C248" s="25"/>
      <c r="D248" s="26"/>
      <c r="E248" s="26"/>
      <c r="F248" s="26"/>
      <c r="G248" s="26"/>
      <c r="H248" s="25"/>
      <c r="I248" s="26"/>
      <c r="J248" s="25"/>
      <c r="K248" s="25"/>
      <c r="L248" s="26"/>
      <c r="M248" s="25"/>
      <c r="N248" s="25"/>
      <c r="O248" s="26"/>
      <c r="P248" s="26"/>
      <c r="Q248" s="26"/>
      <c r="R248" s="26"/>
      <c r="S248" s="25"/>
      <c r="T248" s="26"/>
      <c r="U248" s="26"/>
      <c r="V248" s="25"/>
      <c r="W248" s="25"/>
      <c r="X248" s="26"/>
      <c r="Y248" s="25"/>
      <c r="Z248" s="10"/>
    </row>
    <row r="249" spans="1:26" ht="12.75">
      <c r="A249" s="25"/>
      <c r="B249" s="25"/>
      <c r="C249" s="25"/>
      <c r="D249" s="26"/>
      <c r="E249" s="26"/>
      <c r="F249" s="26"/>
      <c r="G249" s="26"/>
      <c r="H249" s="25"/>
      <c r="I249" s="26"/>
      <c r="J249" s="25"/>
      <c r="K249" s="25"/>
      <c r="L249" s="26"/>
      <c r="M249" s="25"/>
      <c r="N249" s="25"/>
      <c r="O249" s="26"/>
      <c r="P249" s="26"/>
      <c r="Q249" s="26"/>
      <c r="R249" s="26"/>
      <c r="S249" s="25"/>
      <c r="T249" s="26"/>
      <c r="U249" s="26"/>
      <c r="V249" s="25"/>
      <c r="W249" s="25"/>
      <c r="X249" s="26"/>
      <c r="Y249" s="25"/>
      <c r="Z249" s="10"/>
    </row>
    <row r="250" spans="1:26" ht="12.75">
      <c r="A250" s="25"/>
      <c r="B250" s="25"/>
      <c r="C250" s="25"/>
      <c r="D250" s="26"/>
      <c r="E250" s="26"/>
      <c r="F250" s="26"/>
      <c r="G250" s="26"/>
      <c r="H250" s="25"/>
      <c r="I250" s="26"/>
      <c r="J250" s="25"/>
      <c r="K250" s="25"/>
      <c r="L250" s="26"/>
      <c r="M250" s="25"/>
      <c r="N250" s="25"/>
      <c r="O250" s="26"/>
      <c r="P250" s="26"/>
      <c r="Q250" s="26"/>
      <c r="R250" s="26"/>
      <c r="S250" s="25"/>
      <c r="T250" s="26"/>
      <c r="U250" s="26"/>
      <c r="V250" s="25"/>
      <c r="W250" s="25"/>
      <c r="X250" s="26"/>
      <c r="Y250" s="25"/>
      <c r="Z250" s="10"/>
    </row>
    <row r="251" spans="1:26" ht="12.75">
      <c r="A251" s="25"/>
      <c r="B251" s="25"/>
      <c r="C251" s="25"/>
      <c r="D251" s="26"/>
      <c r="E251" s="26"/>
      <c r="F251" s="26"/>
      <c r="G251" s="26"/>
      <c r="H251" s="25"/>
      <c r="I251" s="26"/>
      <c r="J251" s="25"/>
      <c r="K251" s="25"/>
      <c r="L251" s="26"/>
      <c r="M251" s="25"/>
      <c r="N251" s="25"/>
      <c r="O251" s="26"/>
      <c r="P251" s="26"/>
      <c r="Q251" s="26"/>
      <c r="R251" s="26"/>
      <c r="S251" s="25"/>
      <c r="T251" s="26"/>
      <c r="U251" s="26"/>
      <c r="V251" s="25"/>
      <c r="W251" s="25"/>
      <c r="X251" s="26"/>
      <c r="Y251" s="25"/>
      <c r="Z251" s="10"/>
    </row>
    <row r="252" spans="1:26" ht="12.75">
      <c r="A252" s="25"/>
      <c r="B252" s="25"/>
      <c r="C252" s="25"/>
      <c r="D252" s="26"/>
      <c r="E252" s="26"/>
      <c r="F252" s="26"/>
      <c r="G252" s="26"/>
      <c r="H252" s="25"/>
      <c r="I252" s="26"/>
      <c r="J252" s="25"/>
      <c r="K252" s="25"/>
      <c r="L252" s="26"/>
      <c r="M252" s="25"/>
      <c r="N252" s="25"/>
      <c r="O252" s="26"/>
      <c r="P252" s="26"/>
      <c r="Q252" s="26"/>
      <c r="R252" s="26"/>
      <c r="S252" s="25"/>
      <c r="T252" s="26"/>
      <c r="U252" s="26"/>
      <c r="V252" s="25"/>
      <c r="W252" s="25"/>
      <c r="X252" s="26"/>
      <c r="Y252" s="25"/>
      <c r="Z252" s="10"/>
    </row>
    <row r="253" spans="1:26" ht="12.75">
      <c r="A253" s="25"/>
      <c r="B253" s="25"/>
      <c r="C253" s="25"/>
      <c r="D253" s="26"/>
      <c r="E253" s="26"/>
      <c r="F253" s="26"/>
      <c r="G253" s="26"/>
      <c r="H253" s="25"/>
      <c r="I253" s="26"/>
      <c r="J253" s="25"/>
      <c r="K253" s="25"/>
      <c r="L253" s="26"/>
      <c r="M253" s="25"/>
      <c r="N253" s="25"/>
      <c r="O253" s="26"/>
      <c r="P253" s="26"/>
      <c r="Q253" s="26"/>
      <c r="R253" s="26"/>
      <c r="S253" s="25"/>
      <c r="T253" s="26"/>
      <c r="U253" s="26"/>
      <c r="V253" s="25"/>
      <c r="W253" s="25"/>
      <c r="X253" s="26"/>
      <c r="Y253" s="25"/>
      <c r="Z253" s="10"/>
    </row>
    <row r="254" spans="1:26" ht="12.75">
      <c r="A254" s="25"/>
      <c r="B254" s="25"/>
      <c r="C254" s="25"/>
      <c r="D254" s="26"/>
      <c r="E254" s="26"/>
      <c r="F254" s="26"/>
      <c r="G254" s="26"/>
      <c r="H254" s="25"/>
      <c r="I254" s="26"/>
      <c r="J254" s="25"/>
      <c r="K254" s="25"/>
      <c r="L254" s="26"/>
      <c r="M254" s="25"/>
      <c r="N254" s="25"/>
      <c r="O254" s="26"/>
      <c r="P254" s="26"/>
      <c r="Q254" s="26"/>
      <c r="R254" s="26"/>
      <c r="S254" s="25"/>
      <c r="T254" s="26"/>
      <c r="U254" s="26"/>
      <c r="V254" s="25"/>
      <c r="W254" s="25"/>
      <c r="X254" s="26"/>
      <c r="Y254" s="25"/>
      <c r="Z254" s="10"/>
    </row>
    <row r="255" spans="1:26" ht="12.75">
      <c r="A255" s="25"/>
      <c r="B255" s="25"/>
      <c r="C255" s="25"/>
      <c r="D255" s="26"/>
      <c r="E255" s="26"/>
      <c r="F255" s="26"/>
      <c r="G255" s="26"/>
      <c r="H255" s="25"/>
      <c r="I255" s="26"/>
      <c r="J255" s="25"/>
      <c r="K255" s="25"/>
      <c r="L255" s="26"/>
      <c r="M255" s="25"/>
      <c r="N255" s="25"/>
      <c r="O255" s="26"/>
      <c r="P255" s="26"/>
      <c r="Q255" s="26"/>
      <c r="R255" s="26"/>
      <c r="S255" s="25"/>
      <c r="T255" s="26"/>
      <c r="U255" s="26"/>
      <c r="V255" s="25"/>
      <c r="W255" s="25"/>
      <c r="X255" s="26"/>
      <c r="Y255" s="25"/>
      <c r="Z255" s="10"/>
    </row>
    <row r="256" spans="1:26" ht="12.75">
      <c r="A256" s="25"/>
      <c r="B256" s="25"/>
      <c r="C256" s="25"/>
      <c r="D256" s="26"/>
      <c r="E256" s="26"/>
      <c r="F256" s="26"/>
      <c r="G256" s="26"/>
      <c r="H256" s="25"/>
      <c r="I256" s="26"/>
      <c r="J256" s="25"/>
      <c r="K256" s="25"/>
      <c r="L256" s="26"/>
      <c r="M256" s="25"/>
      <c r="N256" s="25"/>
      <c r="O256" s="26"/>
      <c r="P256" s="26"/>
      <c r="Q256" s="26"/>
      <c r="R256" s="26"/>
      <c r="S256" s="25"/>
      <c r="T256" s="26"/>
      <c r="U256" s="26"/>
      <c r="V256" s="25"/>
      <c r="W256" s="25"/>
      <c r="X256" s="26"/>
      <c r="Y256" s="25"/>
      <c r="Z256" s="10"/>
    </row>
    <row r="257" spans="1:26" ht="12.75">
      <c r="A257" s="25"/>
      <c r="B257" s="25"/>
      <c r="C257" s="25"/>
      <c r="D257" s="26"/>
      <c r="E257" s="26"/>
      <c r="F257" s="26"/>
      <c r="G257" s="26"/>
      <c r="H257" s="25"/>
      <c r="I257" s="26"/>
      <c r="J257" s="25"/>
      <c r="K257" s="25"/>
      <c r="L257" s="26"/>
      <c r="M257" s="25"/>
      <c r="N257" s="25"/>
      <c r="O257" s="26"/>
      <c r="P257" s="26"/>
      <c r="Q257" s="26"/>
      <c r="R257" s="26"/>
      <c r="S257" s="25"/>
      <c r="T257" s="26"/>
      <c r="U257" s="26"/>
      <c r="V257" s="25"/>
      <c r="W257" s="25"/>
      <c r="X257" s="26"/>
      <c r="Y257" s="25"/>
      <c r="Z257" s="10"/>
    </row>
    <row r="258" spans="1:26" ht="12.75">
      <c r="A258" s="25"/>
      <c r="B258" s="25"/>
      <c r="C258" s="25"/>
      <c r="D258" s="26"/>
      <c r="E258" s="26"/>
      <c r="F258" s="26"/>
      <c r="G258" s="26"/>
      <c r="H258" s="25"/>
      <c r="I258" s="26"/>
      <c r="J258" s="25"/>
      <c r="K258" s="25"/>
      <c r="L258" s="26"/>
      <c r="M258" s="25"/>
      <c r="N258" s="25"/>
      <c r="O258" s="26"/>
      <c r="P258" s="26"/>
      <c r="Q258" s="26"/>
      <c r="R258" s="26"/>
      <c r="S258" s="25"/>
      <c r="T258" s="26"/>
      <c r="U258" s="26"/>
      <c r="V258" s="25"/>
      <c r="W258" s="25"/>
      <c r="X258" s="26"/>
      <c r="Y258" s="25"/>
      <c r="Z258" s="10"/>
    </row>
    <row r="259" spans="1:26" ht="12.75">
      <c r="A259" s="25"/>
      <c r="B259" s="25"/>
      <c r="C259" s="25"/>
      <c r="D259" s="26"/>
      <c r="E259" s="26"/>
      <c r="F259" s="26"/>
      <c r="G259" s="26"/>
      <c r="H259" s="25"/>
      <c r="I259" s="26"/>
      <c r="J259" s="25"/>
      <c r="K259" s="25"/>
      <c r="L259" s="26"/>
      <c r="M259" s="25"/>
      <c r="N259" s="25"/>
      <c r="O259" s="26"/>
      <c r="P259" s="26"/>
      <c r="Q259" s="26"/>
      <c r="R259" s="26"/>
      <c r="S259" s="25"/>
      <c r="T259" s="26"/>
      <c r="U259" s="26"/>
      <c r="V259" s="25"/>
      <c r="W259" s="25"/>
      <c r="X259" s="26"/>
      <c r="Y259" s="25"/>
      <c r="Z259" s="10"/>
    </row>
    <row r="260" spans="1:26" ht="12.75">
      <c r="A260" s="25"/>
      <c r="B260" s="25"/>
      <c r="C260" s="25"/>
      <c r="D260" s="26"/>
      <c r="E260" s="26"/>
      <c r="F260" s="26"/>
      <c r="G260" s="26"/>
      <c r="H260" s="25"/>
      <c r="I260" s="26"/>
      <c r="J260" s="25"/>
      <c r="K260" s="25"/>
      <c r="L260" s="26"/>
      <c r="M260" s="25"/>
      <c r="N260" s="25"/>
      <c r="O260" s="26"/>
      <c r="P260" s="26"/>
      <c r="Q260" s="26"/>
      <c r="R260" s="26"/>
      <c r="S260" s="25"/>
      <c r="T260" s="26"/>
      <c r="U260" s="26"/>
      <c r="V260" s="25"/>
      <c r="W260" s="25"/>
      <c r="X260" s="26"/>
      <c r="Y260" s="25"/>
      <c r="Z260" s="10"/>
    </row>
    <row r="261" spans="1:26" ht="12.75">
      <c r="A261" s="25"/>
      <c r="B261" s="25"/>
      <c r="C261" s="25"/>
      <c r="D261" s="26"/>
      <c r="E261" s="26"/>
      <c r="F261" s="26"/>
      <c r="G261" s="26"/>
      <c r="H261" s="25"/>
      <c r="I261" s="26"/>
      <c r="J261" s="25"/>
      <c r="K261" s="25"/>
      <c r="L261" s="26"/>
      <c r="M261" s="25"/>
      <c r="N261" s="25"/>
      <c r="O261" s="26"/>
      <c r="P261" s="26"/>
      <c r="Q261" s="26"/>
      <c r="R261" s="26"/>
      <c r="S261" s="25"/>
      <c r="T261" s="26"/>
      <c r="U261" s="26"/>
      <c r="V261" s="25"/>
      <c r="W261" s="25"/>
      <c r="X261" s="26"/>
      <c r="Y261" s="25"/>
      <c r="Z261" s="10"/>
    </row>
    <row r="262" spans="1:26" ht="12.75">
      <c r="A262" s="25"/>
      <c r="B262" s="25"/>
      <c r="C262" s="25"/>
      <c r="D262" s="26"/>
      <c r="E262" s="26"/>
      <c r="F262" s="26"/>
      <c r="G262" s="26"/>
      <c r="H262" s="25"/>
      <c r="I262" s="26"/>
      <c r="J262" s="25"/>
      <c r="K262" s="25"/>
      <c r="L262" s="26"/>
      <c r="M262" s="25"/>
      <c r="N262" s="25"/>
      <c r="O262" s="26"/>
      <c r="P262" s="26"/>
      <c r="Q262" s="26"/>
      <c r="R262" s="26"/>
      <c r="S262" s="25"/>
      <c r="T262" s="26"/>
      <c r="U262" s="26"/>
      <c r="V262" s="25"/>
      <c r="W262" s="25"/>
      <c r="X262" s="26"/>
      <c r="Y262" s="25"/>
      <c r="Z262" s="10"/>
    </row>
    <row r="263" spans="1:26" ht="12.75">
      <c r="A263" s="25"/>
      <c r="B263" s="25"/>
      <c r="C263" s="25"/>
      <c r="D263" s="26"/>
      <c r="E263" s="26"/>
      <c r="F263" s="26"/>
      <c r="G263" s="26"/>
      <c r="H263" s="25"/>
      <c r="I263" s="26"/>
      <c r="J263" s="25"/>
      <c r="K263" s="25"/>
      <c r="L263" s="26"/>
      <c r="M263" s="25"/>
      <c r="N263" s="25"/>
      <c r="O263" s="26"/>
      <c r="P263" s="26"/>
      <c r="Q263" s="26"/>
      <c r="R263" s="26"/>
      <c r="S263" s="25"/>
      <c r="T263" s="26"/>
      <c r="U263" s="26"/>
      <c r="V263" s="25"/>
      <c r="W263" s="25"/>
      <c r="X263" s="26"/>
      <c r="Y263" s="25"/>
      <c r="Z263" s="10"/>
    </row>
    <row r="264" spans="1:26" ht="12.75">
      <c r="A264" s="25"/>
      <c r="B264" s="25"/>
      <c r="C264" s="25"/>
      <c r="D264" s="26"/>
      <c r="E264" s="26"/>
      <c r="F264" s="26"/>
      <c r="G264" s="26"/>
      <c r="H264" s="25"/>
      <c r="I264" s="26"/>
      <c r="J264" s="25"/>
      <c r="K264" s="25"/>
      <c r="L264" s="26"/>
      <c r="M264" s="25"/>
      <c r="N264" s="25"/>
      <c r="O264" s="26"/>
      <c r="P264" s="26"/>
      <c r="Q264" s="26"/>
      <c r="R264" s="26"/>
      <c r="S264" s="25"/>
      <c r="T264" s="26"/>
      <c r="U264" s="26"/>
      <c r="V264" s="25"/>
      <c r="W264" s="25"/>
      <c r="X264" s="26"/>
      <c r="Y264" s="25"/>
      <c r="Z264" s="10"/>
    </row>
    <row r="265" spans="1:26" ht="12.75">
      <c r="A265" s="25"/>
      <c r="B265" s="25"/>
      <c r="C265" s="25"/>
      <c r="D265" s="26"/>
      <c r="E265" s="26"/>
      <c r="F265" s="26"/>
      <c r="G265" s="26"/>
      <c r="H265" s="25"/>
      <c r="I265" s="26"/>
      <c r="J265" s="25"/>
      <c r="K265" s="25"/>
      <c r="L265" s="26"/>
      <c r="M265" s="25"/>
      <c r="N265" s="25"/>
      <c r="O265" s="26"/>
      <c r="P265" s="26"/>
      <c r="Q265" s="26"/>
      <c r="R265" s="26"/>
      <c r="S265" s="25"/>
      <c r="T265" s="26"/>
      <c r="U265" s="26"/>
      <c r="V265" s="25"/>
      <c r="W265" s="25"/>
      <c r="X265" s="26"/>
      <c r="Y265" s="25"/>
      <c r="Z265" s="10"/>
    </row>
    <row r="266" spans="1:26" ht="12.75">
      <c r="A266" s="25"/>
      <c r="B266" s="25"/>
      <c r="C266" s="25"/>
      <c r="D266" s="26"/>
      <c r="E266" s="26"/>
      <c r="F266" s="26"/>
      <c r="G266" s="26"/>
      <c r="H266" s="25"/>
      <c r="I266" s="26"/>
      <c r="J266" s="25"/>
      <c r="K266" s="25"/>
      <c r="L266" s="26"/>
      <c r="M266" s="25"/>
      <c r="N266" s="25"/>
      <c r="O266" s="26"/>
      <c r="P266" s="26"/>
      <c r="Q266" s="26"/>
      <c r="R266" s="26"/>
      <c r="S266" s="25"/>
      <c r="T266" s="26"/>
      <c r="U266" s="26"/>
      <c r="V266" s="25"/>
      <c r="W266" s="25"/>
      <c r="X266" s="26"/>
      <c r="Y266" s="25"/>
      <c r="Z266" s="10"/>
    </row>
    <row r="267" spans="1:26" ht="12.75">
      <c r="A267" s="25"/>
      <c r="B267" s="25"/>
      <c r="C267" s="25"/>
      <c r="D267" s="26"/>
      <c r="E267" s="26"/>
      <c r="F267" s="26"/>
      <c r="G267" s="26"/>
      <c r="H267" s="25"/>
      <c r="I267" s="26"/>
      <c r="J267" s="25"/>
      <c r="K267" s="25"/>
      <c r="L267" s="26"/>
      <c r="M267" s="25"/>
      <c r="N267" s="25"/>
      <c r="O267" s="26"/>
      <c r="P267" s="26"/>
      <c r="Q267" s="26"/>
      <c r="R267" s="26"/>
      <c r="S267" s="25"/>
      <c r="T267" s="26"/>
      <c r="U267" s="26"/>
      <c r="V267" s="25"/>
      <c r="W267" s="25"/>
      <c r="X267" s="26"/>
      <c r="Y267" s="25"/>
      <c r="Z267" s="10"/>
    </row>
    <row r="268" spans="1:26" ht="12.75">
      <c r="A268" s="25"/>
      <c r="B268" s="25"/>
      <c r="C268" s="25"/>
      <c r="D268" s="26"/>
      <c r="E268" s="26"/>
      <c r="F268" s="26"/>
      <c r="G268" s="26"/>
      <c r="H268" s="25"/>
      <c r="I268" s="26"/>
      <c r="J268" s="25"/>
      <c r="K268" s="25"/>
      <c r="L268" s="26"/>
      <c r="M268" s="25"/>
      <c r="N268" s="25"/>
      <c r="O268" s="26"/>
      <c r="P268" s="26"/>
      <c r="Q268" s="26"/>
      <c r="R268" s="26"/>
      <c r="S268" s="25"/>
      <c r="T268" s="26"/>
      <c r="U268" s="26"/>
      <c r="V268" s="25"/>
      <c r="W268" s="25"/>
      <c r="X268" s="26"/>
      <c r="Y268" s="25"/>
      <c r="Z268" s="10"/>
    </row>
    <row r="269" spans="1:26" ht="12.75">
      <c r="A269" s="25"/>
      <c r="B269" s="25"/>
      <c r="C269" s="25"/>
      <c r="D269" s="26"/>
      <c r="E269" s="26"/>
      <c r="F269" s="26"/>
      <c r="G269" s="26"/>
      <c r="H269" s="25"/>
      <c r="I269" s="26"/>
      <c r="J269" s="25"/>
      <c r="K269" s="25"/>
      <c r="L269" s="26"/>
      <c r="M269" s="25"/>
      <c r="N269" s="25"/>
      <c r="O269" s="26"/>
      <c r="P269" s="26"/>
      <c r="Q269" s="26"/>
      <c r="R269" s="26"/>
      <c r="S269" s="25"/>
      <c r="T269" s="26"/>
      <c r="U269" s="26"/>
      <c r="V269" s="25"/>
      <c r="W269" s="25"/>
      <c r="X269" s="26"/>
      <c r="Y269" s="25"/>
      <c r="Z269" s="10"/>
    </row>
    <row r="270" spans="1:26" ht="12.75">
      <c r="A270" s="25"/>
      <c r="B270" s="25"/>
      <c r="C270" s="25"/>
      <c r="D270" s="26"/>
      <c r="E270" s="26"/>
      <c r="F270" s="26"/>
      <c r="G270" s="26"/>
      <c r="H270" s="25"/>
      <c r="I270" s="26"/>
      <c r="J270" s="25"/>
      <c r="K270" s="25"/>
      <c r="L270" s="26"/>
      <c r="M270" s="25"/>
      <c r="N270" s="25"/>
      <c r="O270" s="26"/>
      <c r="P270" s="26"/>
      <c r="Q270" s="26"/>
      <c r="R270" s="26"/>
      <c r="S270" s="25"/>
      <c r="T270" s="26"/>
      <c r="U270" s="26"/>
      <c r="V270" s="25"/>
      <c r="W270" s="25"/>
      <c r="X270" s="26"/>
      <c r="Y270" s="25"/>
      <c r="Z270" s="10"/>
    </row>
    <row r="271" spans="1:26" ht="12.75">
      <c r="A271" s="25"/>
      <c r="B271" s="25"/>
      <c r="C271" s="25"/>
      <c r="D271" s="26"/>
      <c r="E271" s="26"/>
      <c r="F271" s="26"/>
      <c r="G271" s="26"/>
      <c r="H271" s="25"/>
      <c r="I271" s="26"/>
      <c r="J271" s="25"/>
      <c r="K271" s="25"/>
      <c r="L271" s="26"/>
      <c r="M271" s="25"/>
      <c r="N271" s="25"/>
      <c r="O271" s="26"/>
      <c r="P271" s="26"/>
      <c r="Q271" s="26"/>
      <c r="R271" s="26"/>
      <c r="S271" s="25"/>
      <c r="T271" s="26"/>
      <c r="U271" s="26"/>
      <c r="V271" s="25"/>
      <c r="W271" s="25"/>
      <c r="X271" s="26"/>
      <c r="Y271" s="25"/>
      <c r="Z271" s="10"/>
    </row>
    <row r="272" spans="1:26" ht="12.75">
      <c r="A272" s="25"/>
      <c r="B272" s="25"/>
      <c r="C272" s="25"/>
      <c r="D272" s="26"/>
      <c r="E272" s="26"/>
      <c r="F272" s="26"/>
      <c r="G272" s="26"/>
      <c r="H272" s="25"/>
      <c r="I272" s="26"/>
      <c r="J272" s="25"/>
      <c r="K272" s="25"/>
      <c r="L272" s="26"/>
      <c r="M272" s="25"/>
      <c r="N272" s="25"/>
      <c r="O272" s="26"/>
      <c r="P272" s="26"/>
      <c r="Q272" s="26"/>
      <c r="R272" s="26"/>
      <c r="S272" s="25"/>
      <c r="T272" s="26"/>
      <c r="U272" s="26"/>
      <c r="V272" s="25"/>
      <c r="W272" s="25"/>
      <c r="X272" s="26"/>
      <c r="Y272" s="25"/>
      <c r="Z272" s="10"/>
    </row>
    <row r="273" spans="1:26" ht="12.75">
      <c r="A273" s="25"/>
      <c r="B273" s="25"/>
      <c r="C273" s="25"/>
      <c r="D273" s="26"/>
      <c r="E273" s="26"/>
      <c r="F273" s="26"/>
      <c r="G273" s="26"/>
      <c r="H273" s="25"/>
      <c r="I273" s="26"/>
      <c r="J273" s="25"/>
      <c r="K273" s="25"/>
      <c r="L273" s="26"/>
      <c r="M273" s="25"/>
      <c r="N273" s="25"/>
      <c r="O273" s="26"/>
      <c r="P273" s="26"/>
      <c r="Q273" s="26"/>
      <c r="R273" s="26"/>
      <c r="S273" s="25"/>
      <c r="T273" s="26"/>
      <c r="U273" s="26"/>
      <c r="V273" s="25"/>
      <c r="W273" s="25"/>
      <c r="X273" s="26"/>
      <c r="Y273" s="25"/>
      <c r="Z273" s="10"/>
    </row>
    <row r="274" spans="1:26" ht="12.75">
      <c r="A274" s="25"/>
      <c r="B274" s="25"/>
      <c r="C274" s="25"/>
      <c r="D274" s="26"/>
      <c r="E274" s="26"/>
      <c r="F274" s="26"/>
      <c r="G274" s="26"/>
      <c r="H274" s="25"/>
      <c r="I274" s="26"/>
      <c r="J274" s="25"/>
      <c r="K274" s="25"/>
      <c r="L274" s="26"/>
      <c r="M274" s="25"/>
      <c r="N274" s="25"/>
      <c r="O274" s="26"/>
      <c r="P274" s="26"/>
      <c r="Q274" s="26"/>
      <c r="R274" s="26"/>
      <c r="S274" s="25"/>
      <c r="T274" s="26"/>
      <c r="U274" s="26"/>
      <c r="V274" s="25"/>
      <c r="W274" s="25"/>
      <c r="X274" s="26"/>
      <c r="Y274" s="25"/>
      <c r="Z274" s="10"/>
    </row>
    <row r="275" spans="1:26" ht="12.75">
      <c r="A275" s="25"/>
      <c r="B275" s="25"/>
      <c r="C275" s="25"/>
      <c r="D275" s="26"/>
      <c r="E275" s="26"/>
      <c r="F275" s="26"/>
      <c r="G275" s="26"/>
      <c r="H275" s="25"/>
      <c r="I275" s="26"/>
      <c r="J275" s="25"/>
      <c r="K275" s="25"/>
      <c r="L275" s="26"/>
      <c r="M275" s="25"/>
      <c r="N275" s="25"/>
      <c r="O275" s="26"/>
      <c r="P275" s="26"/>
      <c r="Q275" s="26"/>
      <c r="R275" s="26"/>
      <c r="S275" s="25"/>
      <c r="T275" s="26"/>
      <c r="U275" s="26"/>
      <c r="V275" s="25"/>
      <c r="W275" s="25"/>
      <c r="X275" s="26"/>
      <c r="Y275" s="25"/>
      <c r="Z275" s="10"/>
    </row>
    <row r="276" spans="1:26" ht="12.75">
      <c r="A276" s="25"/>
      <c r="B276" s="25"/>
      <c r="C276" s="25"/>
      <c r="D276" s="26"/>
      <c r="E276" s="26"/>
      <c r="F276" s="26"/>
      <c r="G276" s="26"/>
      <c r="H276" s="25"/>
      <c r="I276" s="26"/>
      <c r="J276" s="25"/>
      <c r="K276" s="25"/>
      <c r="L276" s="26"/>
      <c r="M276" s="25"/>
      <c r="N276" s="25"/>
      <c r="O276" s="26"/>
      <c r="P276" s="26"/>
      <c r="Q276" s="26"/>
      <c r="R276" s="26"/>
      <c r="S276" s="25"/>
      <c r="T276" s="26"/>
      <c r="U276" s="26"/>
      <c r="V276" s="25"/>
      <c r="W276" s="25"/>
      <c r="X276" s="26"/>
      <c r="Y276" s="25"/>
      <c r="Z276" s="10"/>
    </row>
    <row r="277" spans="1:26" ht="12.75">
      <c r="A277" s="25"/>
      <c r="B277" s="25"/>
      <c r="C277" s="25"/>
      <c r="D277" s="26"/>
      <c r="E277" s="26"/>
      <c r="F277" s="26"/>
      <c r="G277" s="26"/>
      <c r="H277" s="25"/>
      <c r="I277" s="26"/>
      <c r="J277" s="25"/>
      <c r="K277" s="25"/>
      <c r="L277" s="26"/>
      <c r="M277" s="25"/>
      <c r="N277" s="25"/>
      <c r="O277" s="26"/>
      <c r="P277" s="26"/>
      <c r="Q277" s="26"/>
      <c r="R277" s="26"/>
      <c r="S277" s="25"/>
      <c r="T277" s="26"/>
      <c r="U277" s="26"/>
      <c r="V277" s="25"/>
      <c r="W277" s="25"/>
      <c r="X277" s="26"/>
      <c r="Y277" s="25"/>
      <c r="Z277" s="10"/>
    </row>
    <row r="278" spans="1:26" ht="12.75">
      <c r="A278" s="25"/>
      <c r="B278" s="25"/>
      <c r="C278" s="25"/>
      <c r="D278" s="26"/>
      <c r="E278" s="26"/>
      <c r="F278" s="26"/>
      <c r="G278" s="26"/>
      <c r="H278" s="25"/>
      <c r="I278" s="26"/>
      <c r="J278" s="25"/>
      <c r="K278" s="25"/>
      <c r="L278" s="26"/>
      <c r="M278" s="25"/>
      <c r="N278" s="25"/>
      <c r="O278" s="26"/>
      <c r="P278" s="26"/>
      <c r="Q278" s="26"/>
      <c r="R278" s="26"/>
      <c r="S278" s="25"/>
      <c r="T278" s="26"/>
      <c r="U278" s="26"/>
      <c r="V278" s="25"/>
      <c r="W278" s="25"/>
      <c r="X278" s="26"/>
      <c r="Y278" s="25"/>
      <c r="Z278" s="10"/>
    </row>
    <row r="279" spans="1:26" ht="12.75">
      <c r="A279" s="25"/>
      <c r="B279" s="25"/>
      <c r="C279" s="25"/>
      <c r="D279" s="26"/>
      <c r="E279" s="26"/>
      <c r="F279" s="26"/>
      <c r="G279" s="26"/>
      <c r="H279" s="25"/>
      <c r="I279" s="26"/>
      <c r="J279" s="25"/>
      <c r="K279" s="25"/>
      <c r="L279" s="26"/>
      <c r="M279" s="25"/>
      <c r="N279" s="25"/>
      <c r="O279" s="26"/>
      <c r="P279" s="26"/>
      <c r="Q279" s="26"/>
      <c r="R279" s="26"/>
      <c r="S279" s="25"/>
      <c r="T279" s="26"/>
      <c r="U279" s="26"/>
      <c r="V279" s="25"/>
      <c r="W279" s="25"/>
      <c r="X279" s="26"/>
      <c r="Y279" s="25"/>
      <c r="Z279" s="10"/>
    </row>
    <row r="280" spans="1:26" ht="12.75">
      <c r="A280" s="25"/>
      <c r="B280" s="25"/>
      <c r="C280" s="25"/>
      <c r="D280" s="26"/>
      <c r="E280" s="26"/>
      <c r="F280" s="26"/>
      <c r="G280" s="26"/>
      <c r="H280" s="25"/>
      <c r="I280" s="26"/>
      <c r="J280" s="25"/>
      <c r="K280" s="25"/>
      <c r="L280" s="26"/>
      <c r="M280" s="25"/>
      <c r="N280" s="25"/>
      <c r="O280" s="26"/>
      <c r="P280" s="26"/>
      <c r="Q280" s="26"/>
      <c r="R280" s="26"/>
      <c r="S280" s="25"/>
      <c r="T280" s="26"/>
      <c r="U280" s="26"/>
      <c r="V280" s="25"/>
      <c r="W280" s="25"/>
      <c r="X280" s="26"/>
      <c r="Y280" s="25"/>
      <c r="Z280" s="10"/>
    </row>
    <row r="281" spans="1:26" ht="12.75">
      <c r="A281" s="25"/>
      <c r="B281" s="25"/>
      <c r="C281" s="25"/>
      <c r="D281" s="26"/>
      <c r="E281" s="26"/>
      <c r="F281" s="26"/>
      <c r="G281" s="26"/>
      <c r="H281" s="25"/>
      <c r="I281" s="26"/>
      <c r="J281" s="25"/>
      <c r="K281" s="25"/>
      <c r="L281" s="26"/>
      <c r="M281" s="25"/>
      <c r="N281" s="25"/>
      <c r="O281" s="26"/>
      <c r="P281" s="26"/>
      <c r="Q281" s="26"/>
      <c r="R281" s="26"/>
      <c r="S281" s="25"/>
      <c r="T281" s="26"/>
      <c r="U281" s="26"/>
      <c r="V281" s="25"/>
      <c r="W281" s="25"/>
      <c r="X281" s="26"/>
      <c r="Y281" s="25"/>
      <c r="Z281" s="10"/>
    </row>
    <row r="282" spans="1:26" ht="12.75">
      <c r="A282" s="25"/>
      <c r="B282" s="25"/>
      <c r="C282" s="25"/>
      <c r="D282" s="26"/>
      <c r="E282" s="26"/>
      <c r="F282" s="26"/>
      <c r="G282" s="26"/>
      <c r="H282" s="25"/>
      <c r="I282" s="26"/>
      <c r="J282" s="25"/>
      <c r="K282" s="25"/>
      <c r="L282" s="26"/>
      <c r="M282" s="25"/>
      <c r="N282" s="25"/>
      <c r="O282" s="26"/>
      <c r="P282" s="26"/>
      <c r="Q282" s="26"/>
      <c r="R282" s="26"/>
      <c r="S282" s="25"/>
      <c r="T282" s="26"/>
      <c r="U282" s="26"/>
      <c r="V282" s="25"/>
      <c r="W282" s="25"/>
      <c r="X282" s="26"/>
      <c r="Y282" s="25"/>
      <c r="Z282" s="10"/>
    </row>
    <row r="283" spans="1:26" ht="12.75">
      <c r="A283" s="25"/>
      <c r="B283" s="25"/>
      <c r="C283" s="25"/>
      <c r="D283" s="26"/>
      <c r="E283" s="26"/>
      <c r="F283" s="26"/>
      <c r="G283" s="26"/>
      <c r="H283" s="25"/>
      <c r="I283" s="26"/>
      <c r="J283" s="25"/>
      <c r="K283" s="25"/>
      <c r="L283" s="26"/>
      <c r="M283" s="25"/>
      <c r="N283" s="25"/>
      <c r="O283" s="26"/>
      <c r="P283" s="26"/>
      <c r="Q283" s="26"/>
      <c r="R283" s="26"/>
      <c r="S283" s="25"/>
      <c r="T283" s="26"/>
      <c r="U283" s="26"/>
      <c r="V283" s="25"/>
      <c r="W283" s="25"/>
      <c r="X283" s="26"/>
      <c r="Y283" s="25"/>
      <c r="Z283" s="10"/>
    </row>
    <row r="284" spans="1:26" ht="12.75">
      <c r="A284" s="25"/>
      <c r="B284" s="25"/>
      <c r="C284" s="25"/>
      <c r="D284" s="26"/>
      <c r="E284" s="26"/>
      <c r="F284" s="26"/>
      <c r="G284" s="26"/>
      <c r="H284" s="25"/>
      <c r="I284" s="26"/>
      <c r="J284" s="25"/>
      <c r="K284" s="25"/>
      <c r="L284" s="26"/>
      <c r="M284" s="25"/>
      <c r="N284" s="25"/>
      <c r="O284" s="26"/>
      <c r="P284" s="26"/>
      <c r="Q284" s="26"/>
      <c r="R284" s="26"/>
      <c r="S284" s="25"/>
      <c r="T284" s="26"/>
      <c r="U284" s="26"/>
      <c r="V284" s="25"/>
      <c r="W284" s="25"/>
      <c r="X284" s="26"/>
      <c r="Y284" s="25"/>
      <c r="Z284" s="10"/>
    </row>
    <row r="285" spans="1:26" ht="12.75">
      <c r="A285" s="25"/>
      <c r="B285" s="25"/>
      <c r="C285" s="25"/>
      <c r="D285" s="26"/>
      <c r="E285" s="26"/>
      <c r="F285" s="26"/>
      <c r="G285" s="26"/>
      <c r="H285" s="25"/>
      <c r="I285" s="26"/>
      <c r="J285" s="25"/>
      <c r="K285" s="25"/>
      <c r="L285" s="26"/>
      <c r="M285" s="25"/>
      <c r="N285" s="25"/>
      <c r="O285" s="26"/>
      <c r="P285" s="26"/>
      <c r="Q285" s="26"/>
      <c r="R285" s="26"/>
      <c r="S285" s="25"/>
      <c r="T285" s="26"/>
      <c r="U285" s="26"/>
      <c r="V285" s="25"/>
      <c r="W285" s="25"/>
      <c r="X285" s="26"/>
      <c r="Y285" s="25"/>
      <c r="Z285" s="10"/>
    </row>
    <row r="286" spans="1:26" ht="12.75">
      <c r="A286" s="25"/>
      <c r="B286" s="25"/>
      <c r="C286" s="25"/>
      <c r="D286" s="26"/>
      <c r="E286" s="26"/>
      <c r="F286" s="26"/>
      <c r="G286" s="26"/>
      <c r="H286" s="25"/>
      <c r="I286" s="26"/>
      <c r="J286" s="25"/>
      <c r="K286" s="25"/>
      <c r="L286" s="26"/>
      <c r="M286" s="25"/>
      <c r="N286" s="25"/>
      <c r="O286" s="26"/>
      <c r="P286" s="26"/>
      <c r="Q286" s="26"/>
      <c r="R286" s="26"/>
      <c r="S286" s="25"/>
      <c r="T286" s="26"/>
      <c r="U286" s="26"/>
      <c r="V286" s="25"/>
      <c r="W286" s="25"/>
      <c r="X286" s="26"/>
      <c r="Y286" s="25"/>
      <c r="Z286" s="10"/>
    </row>
    <row r="287" spans="1:26" ht="12.75">
      <c r="A287" s="25"/>
      <c r="B287" s="25"/>
      <c r="C287" s="25"/>
      <c r="D287" s="26"/>
      <c r="E287" s="26"/>
      <c r="F287" s="26"/>
      <c r="G287" s="26"/>
      <c r="H287" s="25"/>
      <c r="I287" s="26"/>
      <c r="J287" s="25"/>
      <c r="K287" s="25"/>
      <c r="L287" s="26"/>
      <c r="M287" s="25"/>
      <c r="N287" s="25"/>
      <c r="O287" s="26"/>
      <c r="P287" s="26"/>
      <c r="Q287" s="26"/>
      <c r="R287" s="26"/>
      <c r="S287" s="25"/>
      <c r="T287" s="26"/>
      <c r="U287" s="26"/>
      <c r="V287" s="25"/>
      <c r="W287" s="25"/>
      <c r="X287" s="26"/>
      <c r="Y287" s="25"/>
      <c r="Z287" s="10"/>
    </row>
    <row r="288" spans="1:26" ht="12.75">
      <c r="A288" s="25"/>
      <c r="B288" s="25"/>
      <c r="C288" s="25"/>
      <c r="D288" s="26"/>
      <c r="E288" s="26"/>
      <c r="F288" s="26"/>
      <c r="G288" s="26"/>
      <c r="H288" s="25"/>
      <c r="I288" s="26"/>
      <c r="J288" s="25"/>
      <c r="K288" s="25"/>
      <c r="L288" s="26"/>
      <c r="M288" s="25"/>
      <c r="N288" s="25"/>
      <c r="O288" s="26"/>
      <c r="P288" s="26"/>
      <c r="Q288" s="26"/>
      <c r="R288" s="26"/>
      <c r="S288" s="25"/>
      <c r="T288" s="26"/>
      <c r="U288" s="26"/>
      <c r="V288" s="25"/>
      <c r="W288" s="25"/>
      <c r="X288" s="26"/>
      <c r="Y288" s="25"/>
      <c r="Z288" s="10"/>
    </row>
    <row r="289" spans="1:26" ht="12.75">
      <c r="A289" s="25"/>
      <c r="B289" s="25"/>
      <c r="C289" s="25"/>
      <c r="D289" s="26"/>
      <c r="E289" s="26"/>
      <c r="F289" s="26"/>
      <c r="G289" s="26"/>
      <c r="H289" s="25"/>
      <c r="I289" s="26"/>
      <c r="J289" s="25"/>
      <c r="K289" s="25"/>
      <c r="L289" s="26"/>
      <c r="M289" s="25"/>
      <c r="N289" s="25"/>
      <c r="O289" s="26"/>
      <c r="P289" s="26"/>
      <c r="Q289" s="26"/>
      <c r="R289" s="26"/>
      <c r="S289" s="25"/>
      <c r="T289" s="26"/>
      <c r="U289" s="26"/>
      <c r="V289" s="25"/>
      <c r="W289" s="25"/>
      <c r="X289" s="26"/>
      <c r="Y289" s="25"/>
      <c r="Z289" s="10"/>
    </row>
    <row r="290" spans="1:26" ht="12.75">
      <c r="A290" s="25"/>
      <c r="B290" s="25"/>
      <c r="C290" s="25"/>
      <c r="D290" s="26"/>
      <c r="E290" s="26"/>
      <c r="F290" s="26"/>
      <c r="G290" s="26"/>
      <c r="H290" s="25"/>
      <c r="I290" s="26"/>
      <c r="J290" s="25"/>
      <c r="K290" s="25"/>
      <c r="L290" s="26"/>
      <c r="M290" s="25"/>
      <c r="N290" s="25"/>
      <c r="O290" s="26"/>
      <c r="P290" s="26"/>
      <c r="Q290" s="26"/>
      <c r="R290" s="26"/>
      <c r="S290" s="25"/>
      <c r="T290" s="26"/>
      <c r="U290" s="26"/>
      <c r="V290" s="25"/>
      <c r="W290" s="25"/>
      <c r="X290" s="26"/>
      <c r="Y290" s="25"/>
      <c r="Z290" s="10"/>
    </row>
    <row r="291" spans="1:26" ht="12.75">
      <c r="A291" s="25"/>
      <c r="B291" s="25"/>
      <c r="C291" s="25"/>
      <c r="D291" s="26"/>
      <c r="E291" s="26"/>
      <c r="F291" s="26"/>
      <c r="G291" s="26"/>
      <c r="H291" s="25"/>
      <c r="I291" s="26"/>
      <c r="J291" s="25"/>
      <c r="K291" s="25"/>
      <c r="L291" s="26"/>
      <c r="M291" s="25"/>
      <c r="N291" s="25"/>
      <c r="O291" s="26"/>
      <c r="P291" s="26"/>
      <c r="Q291" s="26"/>
      <c r="R291" s="26"/>
      <c r="S291" s="25"/>
      <c r="T291" s="26"/>
      <c r="U291" s="26"/>
      <c r="V291" s="25"/>
      <c r="W291" s="25"/>
      <c r="X291" s="26"/>
      <c r="Y291" s="25"/>
      <c r="Z291" s="10"/>
    </row>
    <row r="292" spans="1:26" ht="12.75">
      <c r="A292" s="25"/>
      <c r="B292" s="25"/>
      <c r="C292" s="25"/>
      <c r="D292" s="26"/>
      <c r="E292" s="26"/>
      <c r="F292" s="26"/>
      <c r="G292" s="26"/>
      <c r="H292" s="25"/>
      <c r="I292" s="26"/>
      <c r="J292" s="25"/>
      <c r="K292" s="25"/>
      <c r="L292" s="26"/>
      <c r="M292" s="25"/>
      <c r="N292" s="25"/>
      <c r="O292" s="26"/>
      <c r="P292" s="26"/>
      <c r="Q292" s="26"/>
      <c r="R292" s="26"/>
      <c r="S292" s="25"/>
      <c r="T292" s="26"/>
      <c r="U292" s="26"/>
      <c r="V292" s="25"/>
      <c r="W292" s="25"/>
      <c r="X292" s="26"/>
      <c r="Y292" s="25"/>
      <c r="Z292" s="10"/>
    </row>
    <row r="293" spans="1:26" ht="12.75">
      <c r="A293" s="25"/>
      <c r="B293" s="25"/>
      <c r="C293" s="25"/>
      <c r="D293" s="26"/>
      <c r="E293" s="26"/>
      <c r="F293" s="26"/>
      <c r="G293" s="26"/>
      <c r="H293" s="25"/>
      <c r="I293" s="26"/>
      <c r="J293" s="25"/>
      <c r="K293" s="25"/>
      <c r="L293" s="26"/>
      <c r="M293" s="25"/>
      <c r="N293" s="25"/>
      <c r="O293" s="26"/>
      <c r="P293" s="26"/>
      <c r="Q293" s="26"/>
      <c r="R293" s="26"/>
      <c r="S293" s="25"/>
      <c r="T293" s="26"/>
      <c r="U293" s="26"/>
      <c r="V293" s="25"/>
      <c r="W293" s="25"/>
      <c r="X293" s="26"/>
      <c r="Y293" s="25"/>
      <c r="Z293" s="10"/>
    </row>
    <row r="294" spans="1:26" ht="12.75">
      <c r="A294" s="25"/>
      <c r="B294" s="25"/>
      <c r="C294" s="25"/>
      <c r="D294" s="26"/>
      <c r="E294" s="26"/>
      <c r="F294" s="26"/>
      <c r="G294" s="26"/>
      <c r="H294" s="25"/>
      <c r="I294" s="26"/>
      <c r="J294" s="25"/>
      <c r="K294" s="25"/>
      <c r="L294" s="26"/>
      <c r="M294" s="25"/>
      <c r="N294" s="25"/>
      <c r="O294" s="26"/>
      <c r="P294" s="26"/>
      <c r="Q294" s="26"/>
      <c r="R294" s="26"/>
      <c r="S294" s="25"/>
      <c r="T294" s="26"/>
      <c r="U294" s="26"/>
      <c r="V294" s="25"/>
      <c r="W294" s="25"/>
      <c r="X294" s="26"/>
      <c r="Y294" s="25"/>
      <c r="Z294" s="10"/>
    </row>
    <row r="295" spans="1:26" ht="12.75">
      <c r="A295" s="25"/>
      <c r="B295" s="25"/>
      <c r="C295" s="25"/>
      <c r="D295" s="26"/>
      <c r="E295" s="26"/>
      <c r="F295" s="26"/>
      <c r="G295" s="26"/>
      <c r="H295" s="25"/>
      <c r="I295" s="26"/>
      <c r="J295" s="25"/>
      <c r="K295" s="25"/>
      <c r="L295" s="26"/>
      <c r="M295" s="25"/>
      <c r="N295" s="25"/>
      <c r="O295" s="26"/>
      <c r="P295" s="26"/>
      <c r="Q295" s="26"/>
      <c r="R295" s="26"/>
      <c r="S295" s="25"/>
      <c r="T295" s="26"/>
      <c r="U295" s="26"/>
      <c r="V295" s="25"/>
      <c r="W295" s="25"/>
      <c r="X295" s="26"/>
      <c r="Y295" s="25"/>
      <c r="Z295" s="10"/>
    </row>
    <row r="296" spans="1:26" ht="12.75">
      <c r="A296" s="25"/>
      <c r="B296" s="25"/>
      <c r="C296" s="25"/>
      <c r="D296" s="26"/>
      <c r="E296" s="26"/>
      <c r="F296" s="26"/>
      <c r="G296" s="26"/>
      <c r="H296" s="25"/>
      <c r="I296" s="26"/>
      <c r="J296" s="25"/>
      <c r="K296" s="25"/>
      <c r="L296" s="26"/>
      <c r="M296" s="25"/>
      <c r="N296" s="25"/>
      <c r="O296" s="26"/>
      <c r="P296" s="26"/>
      <c r="Q296" s="26"/>
      <c r="R296" s="26"/>
      <c r="S296" s="25"/>
      <c r="T296" s="26"/>
      <c r="U296" s="26"/>
      <c r="V296" s="25"/>
      <c r="W296" s="25"/>
      <c r="X296" s="26"/>
      <c r="Y296" s="25"/>
      <c r="Z296" s="10"/>
    </row>
    <row r="297" spans="1:26" ht="12.75">
      <c r="A297" s="25"/>
      <c r="B297" s="25"/>
      <c r="C297" s="25"/>
      <c r="D297" s="26"/>
      <c r="E297" s="26"/>
      <c r="F297" s="26"/>
      <c r="G297" s="26"/>
      <c r="H297" s="25"/>
      <c r="I297" s="26"/>
      <c r="J297" s="25"/>
      <c r="K297" s="25"/>
      <c r="L297" s="26"/>
      <c r="M297" s="25"/>
      <c r="N297" s="25"/>
      <c r="O297" s="26"/>
      <c r="P297" s="26"/>
      <c r="Q297" s="26"/>
      <c r="R297" s="26"/>
      <c r="S297" s="25"/>
      <c r="T297" s="26"/>
      <c r="U297" s="26"/>
      <c r="V297" s="25"/>
      <c r="W297" s="25"/>
      <c r="X297" s="26"/>
      <c r="Y297" s="25"/>
      <c r="Z297" s="10"/>
    </row>
    <row r="298" spans="1:26" ht="12.75">
      <c r="A298" s="25"/>
      <c r="B298" s="25"/>
      <c r="C298" s="25"/>
      <c r="D298" s="26"/>
      <c r="E298" s="26"/>
      <c r="F298" s="26"/>
      <c r="G298" s="26"/>
      <c r="H298" s="25"/>
      <c r="I298" s="26"/>
      <c r="J298" s="25"/>
      <c r="K298" s="25"/>
      <c r="L298" s="26"/>
      <c r="M298" s="25"/>
      <c r="N298" s="25"/>
      <c r="O298" s="26"/>
      <c r="P298" s="26"/>
      <c r="Q298" s="26"/>
      <c r="R298" s="26"/>
      <c r="S298" s="25"/>
      <c r="T298" s="26"/>
      <c r="U298" s="26"/>
      <c r="V298" s="25"/>
      <c r="W298" s="25"/>
      <c r="X298" s="26"/>
      <c r="Y298" s="25"/>
      <c r="Z298" s="10"/>
    </row>
    <row r="299" spans="1:26" ht="12.75">
      <c r="A299" s="25"/>
      <c r="B299" s="25"/>
      <c r="C299" s="25"/>
      <c r="D299" s="26"/>
      <c r="E299" s="26"/>
      <c r="F299" s="26"/>
      <c r="G299" s="26"/>
      <c r="H299" s="25"/>
      <c r="I299" s="26"/>
      <c r="J299" s="25"/>
      <c r="K299" s="25"/>
      <c r="L299" s="26"/>
      <c r="M299" s="25"/>
      <c r="N299" s="25"/>
      <c r="O299" s="26"/>
      <c r="P299" s="26"/>
      <c r="Q299" s="26"/>
      <c r="R299" s="26"/>
      <c r="S299" s="25"/>
      <c r="T299" s="26"/>
      <c r="U299" s="26"/>
      <c r="V299" s="25"/>
      <c r="W299" s="25"/>
      <c r="X299" s="26"/>
      <c r="Y299" s="25"/>
      <c r="Z299" s="10"/>
    </row>
    <row r="300" spans="1:26" ht="12.75">
      <c r="A300" s="25"/>
      <c r="B300" s="25"/>
      <c r="C300" s="25"/>
      <c r="D300" s="26"/>
      <c r="E300" s="26"/>
      <c r="F300" s="26"/>
      <c r="G300" s="26"/>
      <c r="H300" s="25"/>
      <c r="I300" s="26"/>
      <c r="J300" s="25"/>
      <c r="K300" s="25"/>
      <c r="L300" s="26"/>
      <c r="M300" s="25"/>
      <c r="N300" s="25"/>
      <c r="O300" s="26"/>
      <c r="P300" s="26"/>
      <c r="Q300" s="26"/>
      <c r="R300" s="26"/>
      <c r="S300" s="25"/>
      <c r="T300" s="26"/>
      <c r="U300" s="26"/>
      <c r="V300" s="25"/>
      <c r="W300" s="25"/>
      <c r="X300" s="26"/>
      <c r="Y300" s="25"/>
      <c r="Z300" s="10"/>
    </row>
    <row r="301" spans="1:26" ht="12.75">
      <c r="A301" s="25"/>
      <c r="B301" s="25"/>
      <c r="C301" s="25"/>
      <c r="D301" s="26"/>
      <c r="E301" s="26"/>
      <c r="F301" s="26"/>
      <c r="G301" s="26"/>
      <c r="H301" s="25"/>
      <c r="I301" s="26"/>
      <c r="J301" s="25"/>
      <c r="K301" s="25"/>
      <c r="L301" s="26"/>
      <c r="M301" s="25"/>
      <c r="N301" s="25"/>
      <c r="O301" s="26"/>
      <c r="P301" s="26"/>
      <c r="Q301" s="26"/>
      <c r="R301" s="26"/>
      <c r="S301" s="25"/>
      <c r="T301" s="26"/>
      <c r="U301" s="26"/>
      <c r="V301" s="25"/>
      <c r="W301" s="25"/>
      <c r="X301" s="26"/>
      <c r="Y301" s="25"/>
      <c r="Z301" s="10"/>
    </row>
    <row r="302" spans="1:26" ht="12.75">
      <c r="A302" s="25"/>
      <c r="B302" s="25"/>
      <c r="C302" s="25"/>
      <c r="D302" s="26"/>
      <c r="E302" s="26"/>
      <c r="F302" s="26"/>
      <c r="G302" s="26"/>
      <c r="H302" s="25"/>
      <c r="I302" s="26"/>
      <c r="J302" s="25"/>
      <c r="K302" s="25"/>
      <c r="L302" s="26"/>
      <c r="M302" s="25"/>
      <c r="N302" s="25"/>
      <c r="O302" s="26"/>
      <c r="P302" s="26"/>
      <c r="Q302" s="26"/>
      <c r="R302" s="26"/>
      <c r="S302" s="25"/>
      <c r="T302" s="26"/>
      <c r="U302" s="26"/>
      <c r="V302" s="25"/>
      <c r="W302" s="25"/>
      <c r="X302" s="26"/>
      <c r="Y302" s="25"/>
      <c r="Z302" s="10"/>
    </row>
    <row r="303" spans="1:26" ht="12.75">
      <c r="A303" s="25"/>
      <c r="B303" s="25"/>
      <c r="C303" s="25"/>
      <c r="D303" s="26"/>
      <c r="E303" s="26"/>
      <c r="F303" s="26"/>
      <c r="G303" s="26"/>
      <c r="H303" s="25"/>
      <c r="I303" s="26"/>
      <c r="J303" s="25"/>
      <c r="K303" s="25"/>
      <c r="L303" s="26"/>
      <c r="M303" s="25"/>
      <c r="N303" s="25"/>
      <c r="O303" s="26"/>
      <c r="P303" s="26"/>
      <c r="Q303" s="26"/>
      <c r="R303" s="26"/>
      <c r="S303" s="25"/>
      <c r="T303" s="26"/>
      <c r="U303" s="26"/>
      <c r="V303" s="25"/>
      <c r="W303" s="25"/>
      <c r="X303" s="26"/>
      <c r="Y303" s="25"/>
      <c r="Z303" s="10"/>
    </row>
    <row r="304" spans="1:26" ht="12.75">
      <c r="A304" s="25"/>
      <c r="B304" s="25"/>
      <c r="C304" s="25"/>
      <c r="D304" s="26"/>
      <c r="E304" s="26"/>
      <c r="F304" s="26"/>
      <c r="G304" s="26"/>
      <c r="H304" s="25"/>
      <c r="I304" s="26"/>
      <c r="J304" s="25"/>
      <c r="K304" s="25"/>
      <c r="L304" s="26"/>
      <c r="M304" s="25"/>
      <c r="N304" s="25"/>
      <c r="O304" s="26"/>
      <c r="P304" s="26"/>
      <c r="Q304" s="26"/>
      <c r="R304" s="26"/>
      <c r="S304" s="25"/>
      <c r="T304" s="26"/>
      <c r="U304" s="26"/>
      <c r="V304" s="25"/>
      <c r="W304" s="25"/>
      <c r="X304" s="26"/>
      <c r="Y304" s="25"/>
      <c r="Z304" s="10"/>
    </row>
    <row r="305" spans="1:26" ht="12.75">
      <c r="A305" s="25"/>
      <c r="B305" s="25"/>
      <c r="C305" s="25"/>
      <c r="D305" s="26"/>
      <c r="E305" s="26"/>
      <c r="F305" s="26"/>
      <c r="G305" s="26"/>
      <c r="H305" s="25"/>
      <c r="I305" s="26"/>
      <c r="J305" s="25"/>
      <c r="K305" s="25"/>
      <c r="L305" s="26"/>
      <c r="M305" s="25"/>
      <c r="N305" s="25"/>
      <c r="O305" s="26"/>
      <c r="P305" s="26"/>
      <c r="Q305" s="26"/>
      <c r="R305" s="26"/>
      <c r="S305" s="25"/>
      <c r="T305" s="26"/>
      <c r="U305" s="26"/>
      <c r="V305" s="25"/>
      <c r="W305" s="25"/>
      <c r="X305" s="26"/>
      <c r="Y305" s="25"/>
      <c r="Z305" s="10"/>
    </row>
    <row r="306" spans="1:26" ht="12.75">
      <c r="A306" s="25"/>
      <c r="B306" s="25"/>
      <c r="C306" s="25"/>
      <c r="D306" s="26"/>
      <c r="E306" s="26"/>
      <c r="F306" s="26"/>
      <c r="G306" s="26"/>
      <c r="H306" s="25"/>
      <c r="I306" s="26"/>
      <c r="J306" s="25"/>
      <c r="K306" s="25"/>
      <c r="L306" s="26"/>
      <c r="M306" s="25"/>
      <c r="N306" s="25"/>
      <c r="O306" s="26"/>
      <c r="P306" s="26"/>
      <c r="Q306" s="26"/>
      <c r="R306" s="26"/>
      <c r="S306" s="25"/>
      <c r="T306" s="26"/>
      <c r="U306" s="26"/>
      <c r="V306" s="25"/>
      <c r="W306" s="25"/>
      <c r="X306" s="26"/>
      <c r="Y306" s="25"/>
      <c r="Z306" s="10"/>
    </row>
    <row r="307" spans="1:26" ht="12.75">
      <c r="A307" s="25"/>
      <c r="B307" s="25"/>
      <c r="C307" s="25"/>
      <c r="D307" s="26"/>
      <c r="E307" s="26"/>
      <c r="F307" s="26"/>
      <c r="G307" s="26"/>
      <c r="H307" s="25"/>
      <c r="I307" s="26"/>
      <c r="J307" s="25"/>
      <c r="K307" s="25"/>
      <c r="L307" s="26"/>
      <c r="M307" s="25"/>
      <c r="N307" s="25"/>
      <c r="O307" s="26"/>
      <c r="P307" s="26"/>
      <c r="Q307" s="26"/>
      <c r="R307" s="26"/>
      <c r="S307" s="25"/>
      <c r="T307" s="26"/>
      <c r="U307" s="26"/>
      <c r="V307" s="25"/>
      <c r="W307" s="25"/>
      <c r="X307" s="26"/>
      <c r="Y307" s="25"/>
      <c r="Z307" s="10"/>
    </row>
    <row r="308" spans="1:26" ht="12.75">
      <c r="A308" s="25"/>
      <c r="B308" s="25"/>
      <c r="C308" s="25"/>
      <c r="D308" s="26"/>
      <c r="E308" s="26"/>
      <c r="F308" s="26"/>
      <c r="G308" s="26"/>
      <c r="H308" s="25"/>
      <c r="I308" s="26"/>
      <c r="J308" s="25"/>
      <c r="K308" s="25"/>
      <c r="L308" s="26"/>
      <c r="M308" s="25"/>
      <c r="N308" s="25"/>
      <c r="O308" s="26"/>
      <c r="P308" s="26"/>
      <c r="Q308" s="26"/>
      <c r="R308" s="26"/>
      <c r="S308" s="25"/>
      <c r="T308" s="26"/>
      <c r="U308" s="26"/>
      <c r="V308" s="25"/>
      <c r="W308" s="25"/>
      <c r="X308" s="26"/>
      <c r="Y308" s="25"/>
      <c r="Z308" s="10"/>
    </row>
    <row r="309" spans="1:26" ht="12.75">
      <c r="A309" s="25"/>
      <c r="B309" s="25"/>
      <c r="C309" s="25"/>
      <c r="D309" s="26"/>
      <c r="E309" s="26"/>
      <c r="F309" s="26"/>
      <c r="G309" s="26"/>
      <c r="H309" s="25"/>
      <c r="I309" s="26"/>
      <c r="J309" s="25"/>
      <c r="K309" s="25"/>
      <c r="L309" s="26"/>
      <c r="M309" s="25"/>
      <c r="N309" s="25"/>
      <c r="O309" s="26"/>
      <c r="P309" s="26"/>
      <c r="Q309" s="26"/>
      <c r="R309" s="26"/>
      <c r="S309" s="25"/>
      <c r="T309" s="26"/>
      <c r="U309" s="26"/>
      <c r="V309" s="25"/>
      <c r="W309" s="25"/>
      <c r="X309" s="26"/>
      <c r="Y309" s="25"/>
      <c r="Z309" s="10"/>
    </row>
    <row r="310" spans="1:26" ht="12.75">
      <c r="A310" s="25"/>
      <c r="B310" s="25"/>
      <c r="C310" s="25"/>
      <c r="D310" s="26"/>
      <c r="E310" s="26"/>
      <c r="F310" s="26"/>
      <c r="G310" s="26"/>
      <c r="H310" s="25"/>
      <c r="I310" s="26"/>
      <c r="J310" s="25"/>
      <c r="K310" s="25"/>
      <c r="L310" s="26"/>
      <c r="M310" s="25"/>
      <c r="N310" s="25"/>
      <c r="O310" s="26"/>
      <c r="P310" s="26"/>
      <c r="Q310" s="26"/>
      <c r="R310" s="26"/>
      <c r="S310" s="25"/>
      <c r="T310" s="26"/>
      <c r="U310" s="26"/>
      <c r="V310" s="25"/>
      <c r="W310" s="25"/>
      <c r="X310" s="26"/>
      <c r="Y310" s="25"/>
      <c r="Z310" s="10"/>
    </row>
    <row r="311" spans="1:26" ht="12.75">
      <c r="A311" s="25"/>
      <c r="B311" s="25"/>
      <c r="C311" s="25"/>
      <c r="D311" s="26"/>
      <c r="E311" s="26"/>
      <c r="F311" s="26"/>
      <c r="G311" s="26"/>
      <c r="H311" s="25"/>
      <c r="I311" s="26"/>
      <c r="J311" s="25"/>
      <c r="K311" s="25"/>
      <c r="L311" s="26"/>
      <c r="M311" s="25"/>
      <c r="N311" s="25"/>
      <c r="O311" s="26"/>
      <c r="P311" s="26"/>
      <c r="Q311" s="26"/>
      <c r="R311" s="26"/>
      <c r="S311" s="25"/>
      <c r="T311" s="26"/>
      <c r="U311" s="26"/>
      <c r="V311" s="25"/>
      <c r="W311" s="25"/>
      <c r="X311" s="26"/>
      <c r="Y311" s="25"/>
      <c r="Z311" s="10"/>
    </row>
    <row r="312" spans="1:26" ht="12.75">
      <c r="A312" s="25"/>
      <c r="B312" s="25"/>
      <c r="C312" s="25"/>
      <c r="D312" s="26"/>
      <c r="E312" s="26"/>
      <c r="F312" s="26"/>
      <c r="G312" s="26"/>
      <c r="H312" s="25"/>
      <c r="I312" s="26"/>
      <c r="J312" s="25"/>
      <c r="K312" s="25"/>
      <c r="L312" s="26"/>
      <c r="M312" s="25"/>
      <c r="N312" s="25"/>
      <c r="O312" s="26"/>
      <c r="P312" s="26"/>
      <c r="Q312" s="26"/>
      <c r="R312" s="26"/>
      <c r="S312" s="25"/>
      <c r="T312" s="26"/>
      <c r="U312" s="26"/>
      <c r="V312" s="25"/>
      <c r="W312" s="25"/>
      <c r="X312" s="26"/>
      <c r="Y312" s="25"/>
      <c r="Z312" s="10"/>
    </row>
    <row r="313" spans="1:26" ht="12.75">
      <c r="A313" s="25"/>
      <c r="B313" s="25"/>
      <c r="C313" s="25"/>
      <c r="D313" s="26"/>
      <c r="E313" s="26"/>
      <c r="F313" s="26"/>
      <c r="G313" s="26"/>
      <c r="H313" s="25"/>
      <c r="I313" s="26"/>
      <c r="J313" s="25"/>
      <c r="K313" s="25"/>
      <c r="L313" s="26"/>
      <c r="M313" s="25"/>
      <c r="N313" s="25"/>
      <c r="O313" s="26"/>
      <c r="P313" s="26"/>
      <c r="Q313" s="26"/>
      <c r="R313" s="26"/>
      <c r="S313" s="25"/>
      <c r="T313" s="26"/>
      <c r="U313" s="26"/>
      <c r="V313" s="25"/>
      <c r="W313" s="25"/>
      <c r="X313" s="26"/>
      <c r="Y313" s="25"/>
      <c r="Z313" s="10"/>
    </row>
    <row r="314" spans="1:26" ht="12.75">
      <c r="A314" s="25"/>
      <c r="B314" s="25"/>
      <c r="C314" s="25"/>
      <c r="D314" s="26"/>
      <c r="E314" s="26"/>
      <c r="F314" s="26"/>
      <c r="G314" s="26"/>
      <c r="H314" s="25"/>
      <c r="I314" s="26"/>
      <c r="J314" s="25"/>
      <c r="K314" s="25"/>
      <c r="L314" s="26"/>
      <c r="M314" s="25"/>
      <c r="N314" s="25"/>
      <c r="O314" s="26"/>
      <c r="P314" s="26"/>
      <c r="Q314" s="26"/>
      <c r="R314" s="26"/>
      <c r="S314" s="25"/>
      <c r="T314" s="26"/>
      <c r="U314" s="26"/>
      <c r="V314" s="25"/>
      <c r="W314" s="25"/>
      <c r="X314" s="26"/>
      <c r="Y314" s="25"/>
      <c r="Z314" s="10"/>
    </row>
    <row r="315" spans="1:26" ht="12.75">
      <c r="A315" s="25"/>
      <c r="B315" s="25"/>
      <c r="C315" s="25"/>
      <c r="D315" s="26"/>
      <c r="E315" s="26"/>
      <c r="F315" s="26"/>
      <c r="G315" s="26"/>
      <c r="H315" s="25"/>
      <c r="I315" s="26"/>
      <c r="J315" s="25"/>
      <c r="K315" s="25"/>
      <c r="L315" s="26"/>
      <c r="M315" s="25"/>
      <c r="N315" s="25"/>
      <c r="O315" s="26"/>
      <c r="P315" s="26"/>
      <c r="Q315" s="26"/>
      <c r="R315" s="26"/>
      <c r="S315" s="25"/>
      <c r="T315" s="26"/>
      <c r="U315" s="26"/>
      <c r="V315" s="25"/>
      <c r="W315" s="25"/>
      <c r="X315" s="26"/>
      <c r="Y315" s="25"/>
      <c r="Z315" s="10"/>
    </row>
    <row r="316" spans="1:26" ht="12.75">
      <c r="A316" s="25"/>
      <c r="B316" s="25"/>
      <c r="C316" s="25"/>
      <c r="D316" s="26"/>
      <c r="E316" s="26"/>
      <c r="F316" s="26"/>
      <c r="G316" s="26"/>
      <c r="H316" s="25"/>
      <c r="I316" s="26"/>
      <c r="J316" s="25"/>
      <c r="K316" s="25"/>
      <c r="L316" s="26"/>
      <c r="M316" s="25"/>
      <c r="N316" s="25"/>
      <c r="O316" s="26"/>
      <c r="P316" s="26"/>
      <c r="Q316" s="26"/>
      <c r="R316" s="26"/>
      <c r="S316" s="25"/>
      <c r="T316" s="26"/>
      <c r="U316" s="26"/>
      <c r="V316" s="25"/>
      <c r="W316" s="25"/>
      <c r="X316" s="26"/>
      <c r="Y316" s="25"/>
      <c r="Z316" s="10"/>
    </row>
    <row r="317" spans="1:26" ht="12.75">
      <c r="A317" s="25"/>
      <c r="B317" s="25"/>
      <c r="C317" s="25"/>
      <c r="D317" s="26"/>
      <c r="E317" s="26"/>
      <c r="F317" s="26"/>
      <c r="G317" s="26"/>
      <c r="H317" s="25"/>
      <c r="I317" s="26"/>
      <c r="J317" s="25"/>
      <c r="K317" s="25"/>
      <c r="L317" s="26"/>
      <c r="M317" s="25"/>
      <c r="N317" s="25"/>
      <c r="O317" s="26"/>
      <c r="P317" s="26"/>
      <c r="Q317" s="26"/>
      <c r="R317" s="26"/>
      <c r="S317" s="25"/>
      <c r="T317" s="26"/>
      <c r="U317" s="26"/>
      <c r="V317" s="25"/>
      <c r="W317" s="25"/>
      <c r="X317" s="26"/>
      <c r="Y317" s="25"/>
      <c r="Z317" s="10"/>
    </row>
    <row r="318" spans="1:26" ht="12.75">
      <c r="A318" s="25"/>
      <c r="B318" s="25"/>
      <c r="C318" s="25"/>
      <c r="D318" s="26"/>
      <c r="E318" s="26"/>
      <c r="F318" s="26"/>
      <c r="G318" s="26"/>
      <c r="H318" s="25"/>
      <c r="I318" s="26"/>
      <c r="J318" s="25"/>
      <c r="K318" s="25"/>
      <c r="L318" s="26"/>
      <c r="M318" s="25"/>
      <c r="N318" s="25"/>
      <c r="O318" s="26"/>
      <c r="P318" s="26"/>
      <c r="Q318" s="26"/>
      <c r="R318" s="26"/>
      <c r="S318" s="25"/>
      <c r="T318" s="26"/>
      <c r="U318" s="26"/>
      <c r="V318" s="25"/>
      <c r="W318" s="25"/>
      <c r="X318" s="26"/>
      <c r="Y318" s="25"/>
      <c r="Z318" s="10"/>
    </row>
    <row r="319" spans="1:26" ht="12.75">
      <c r="A319" s="25"/>
      <c r="B319" s="25"/>
      <c r="C319" s="25"/>
      <c r="D319" s="26"/>
      <c r="E319" s="26"/>
      <c r="F319" s="26"/>
      <c r="G319" s="26"/>
      <c r="H319" s="25"/>
      <c r="I319" s="26"/>
      <c r="J319" s="25"/>
      <c r="K319" s="25"/>
      <c r="L319" s="26"/>
      <c r="M319" s="25"/>
      <c r="N319" s="25"/>
      <c r="O319" s="26"/>
      <c r="P319" s="26"/>
      <c r="Q319" s="26"/>
      <c r="R319" s="26"/>
      <c r="S319" s="25"/>
      <c r="T319" s="26"/>
      <c r="U319" s="26"/>
      <c r="V319" s="25"/>
      <c r="W319" s="25"/>
      <c r="X319" s="26"/>
      <c r="Y319" s="25"/>
      <c r="Z319" s="10"/>
    </row>
    <row r="320" spans="1:26" ht="12.75">
      <c r="A320" s="25"/>
      <c r="B320" s="25"/>
      <c r="C320" s="25"/>
      <c r="D320" s="26"/>
      <c r="E320" s="26"/>
      <c r="F320" s="26"/>
      <c r="G320" s="26"/>
      <c r="H320" s="25"/>
      <c r="I320" s="26"/>
      <c r="J320" s="25"/>
      <c r="K320" s="25"/>
      <c r="L320" s="26"/>
      <c r="M320" s="25"/>
      <c r="N320" s="25"/>
      <c r="O320" s="26"/>
      <c r="P320" s="26"/>
      <c r="Q320" s="26"/>
      <c r="R320" s="26"/>
      <c r="S320" s="25"/>
      <c r="T320" s="26"/>
      <c r="U320" s="26"/>
      <c r="V320" s="25"/>
      <c r="W320" s="25"/>
      <c r="X320" s="26"/>
      <c r="Y320" s="25"/>
      <c r="Z320" s="10"/>
    </row>
    <row r="321" spans="1:26" ht="12.75">
      <c r="A321" s="25"/>
      <c r="B321" s="25"/>
      <c r="C321" s="25"/>
      <c r="D321" s="26"/>
      <c r="E321" s="26"/>
      <c r="F321" s="26"/>
      <c r="G321" s="26"/>
      <c r="H321" s="25"/>
      <c r="I321" s="26"/>
      <c r="J321" s="25"/>
      <c r="K321" s="25"/>
      <c r="L321" s="26"/>
      <c r="M321" s="25"/>
      <c r="N321" s="25"/>
      <c r="O321" s="26"/>
      <c r="P321" s="26"/>
      <c r="Q321" s="26"/>
      <c r="R321" s="26"/>
      <c r="S321" s="25"/>
      <c r="T321" s="26"/>
      <c r="U321" s="26"/>
      <c r="V321" s="25"/>
      <c r="W321" s="25"/>
      <c r="X321" s="26"/>
      <c r="Y321" s="25"/>
      <c r="Z321" s="10"/>
    </row>
    <row r="322" spans="1:26" ht="12.75">
      <c r="A322" s="25"/>
      <c r="B322" s="25"/>
      <c r="C322" s="25"/>
      <c r="D322" s="26"/>
      <c r="E322" s="26"/>
      <c r="F322" s="26"/>
      <c r="G322" s="26"/>
      <c r="H322" s="25"/>
      <c r="I322" s="26"/>
      <c r="J322" s="25"/>
      <c r="K322" s="25"/>
      <c r="L322" s="26"/>
      <c r="M322" s="25"/>
      <c r="N322" s="25"/>
      <c r="O322" s="26"/>
      <c r="P322" s="26"/>
      <c r="Q322" s="26"/>
      <c r="R322" s="26"/>
      <c r="S322" s="25"/>
      <c r="T322" s="26"/>
      <c r="U322" s="26"/>
      <c r="V322" s="25"/>
      <c r="W322" s="25"/>
      <c r="X322" s="26"/>
      <c r="Y322" s="25"/>
      <c r="Z322" s="10"/>
    </row>
    <row r="323" spans="1:26" ht="12.75">
      <c r="A323" s="25"/>
      <c r="B323" s="25"/>
      <c r="C323" s="25"/>
      <c r="D323" s="26"/>
      <c r="E323" s="26"/>
      <c r="F323" s="26"/>
      <c r="G323" s="26"/>
      <c r="H323" s="25"/>
      <c r="I323" s="26"/>
      <c r="J323" s="25"/>
      <c r="K323" s="25"/>
      <c r="L323" s="26"/>
      <c r="M323" s="25"/>
      <c r="N323" s="25"/>
      <c r="O323" s="26"/>
      <c r="P323" s="26"/>
      <c r="Q323" s="26"/>
      <c r="R323" s="26"/>
      <c r="S323" s="25"/>
      <c r="T323" s="26"/>
      <c r="U323" s="26"/>
      <c r="V323" s="25"/>
      <c r="W323" s="25"/>
      <c r="X323" s="26"/>
      <c r="Y323" s="25"/>
      <c r="Z323" s="10"/>
    </row>
    <row r="324" spans="1:26" ht="12.75">
      <c r="A324" s="25"/>
      <c r="B324" s="25"/>
      <c r="C324" s="25"/>
      <c r="D324" s="26"/>
      <c r="E324" s="26"/>
      <c r="F324" s="26"/>
      <c r="G324" s="26"/>
      <c r="H324" s="25"/>
      <c r="I324" s="26"/>
      <c r="J324" s="25"/>
      <c r="K324" s="25"/>
      <c r="L324" s="26"/>
      <c r="M324" s="25"/>
      <c r="N324" s="25"/>
      <c r="O324" s="26"/>
      <c r="P324" s="26"/>
      <c r="Q324" s="26"/>
      <c r="R324" s="26"/>
      <c r="S324" s="25"/>
      <c r="T324" s="26"/>
      <c r="U324" s="26"/>
      <c r="V324" s="25"/>
      <c r="W324" s="25"/>
      <c r="X324" s="26"/>
      <c r="Y324" s="25"/>
      <c r="Z324" s="10"/>
    </row>
    <row r="325" spans="1:26" ht="12.75">
      <c r="A325" s="25"/>
      <c r="B325" s="25"/>
      <c r="C325" s="25"/>
      <c r="D325" s="26"/>
      <c r="E325" s="26"/>
      <c r="F325" s="26"/>
      <c r="G325" s="26"/>
      <c r="H325" s="25"/>
      <c r="I325" s="26"/>
      <c r="J325" s="25"/>
      <c r="K325" s="25"/>
      <c r="L325" s="26"/>
      <c r="M325" s="25"/>
      <c r="N325" s="25"/>
      <c r="O325" s="26"/>
      <c r="P325" s="26"/>
      <c r="Q325" s="26"/>
      <c r="R325" s="26"/>
      <c r="S325" s="25"/>
      <c r="T325" s="26"/>
      <c r="U325" s="26"/>
      <c r="V325" s="25"/>
      <c r="W325" s="25"/>
      <c r="X325" s="26"/>
      <c r="Y325" s="25"/>
      <c r="Z325" s="10"/>
    </row>
    <row r="326" spans="1:26" ht="12.75">
      <c r="A326" s="25"/>
      <c r="B326" s="25"/>
      <c r="C326" s="25"/>
      <c r="D326" s="26"/>
      <c r="E326" s="26"/>
      <c r="F326" s="26"/>
      <c r="G326" s="26"/>
      <c r="H326" s="25"/>
      <c r="I326" s="26"/>
      <c r="J326" s="25"/>
      <c r="K326" s="25"/>
      <c r="L326" s="26"/>
      <c r="M326" s="25"/>
      <c r="N326" s="25"/>
      <c r="O326" s="26"/>
      <c r="P326" s="26"/>
      <c r="Q326" s="26"/>
      <c r="R326" s="26"/>
      <c r="S326" s="25"/>
      <c r="T326" s="26"/>
      <c r="U326" s="26"/>
      <c r="V326" s="25"/>
      <c r="W326" s="25"/>
      <c r="X326" s="26"/>
      <c r="Y326" s="25"/>
      <c r="Z326" s="10"/>
    </row>
    <row r="327" spans="1:26" ht="12.75">
      <c r="A327" s="25"/>
      <c r="B327" s="25"/>
      <c r="C327" s="25"/>
      <c r="D327" s="26"/>
      <c r="E327" s="26"/>
      <c r="F327" s="26"/>
      <c r="G327" s="26"/>
      <c r="H327" s="25"/>
      <c r="I327" s="26"/>
      <c r="J327" s="25"/>
      <c r="K327" s="25"/>
      <c r="L327" s="26"/>
      <c r="M327" s="25"/>
      <c r="N327" s="25"/>
      <c r="O327" s="26"/>
      <c r="P327" s="26"/>
      <c r="Q327" s="26"/>
      <c r="R327" s="26"/>
      <c r="S327" s="25"/>
      <c r="T327" s="26"/>
      <c r="U327" s="26"/>
      <c r="V327" s="25"/>
      <c r="W327" s="25"/>
      <c r="X327" s="26"/>
      <c r="Y327" s="25"/>
      <c r="Z327" s="10"/>
    </row>
    <row r="328" spans="1:26" ht="12.75">
      <c r="A328" s="25"/>
      <c r="B328" s="25"/>
      <c r="C328" s="25"/>
      <c r="D328" s="26"/>
      <c r="E328" s="26"/>
      <c r="F328" s="26"/>
      <c r="G328" s="26"/>
      <c r="H328" s="25"/>
      <c r="I328" s="26"/>
      <c r="J328" s="25"/>
      <c r="K328" s="25"/>
      <c r="L328" s="26"/>
      <c r="M328" s="25"/>
      <c r="N328" s="25"/>
      <c r="O328" s="26"/>
      <c r="P328" s="26"/>
      <c r="Q328" s="26"/>
      <c r="R328" s="26"/>
      <c r="S328" s="25"/>
      <c r="T328" s="26"/>
      <c r="U328" s="26"/>
      <c r="V328" s="25"/>
      <c r="W328" s="25"/>
      <c r="X328" s="26"/>
      <c r="Y328" s="25"/>
      <c r="Z328" s="10"/>
    </row>
    <row r="329" spans="1:26" ht="12.75">
      <c r="A329" s="25"/>
      <c r="B329" s="25"/>
      <c r="C329" s="25"/>
      <c r="D329" s="26"/>
      <c r="E329" s="26"/>
      <c r="F329" s="26"/>
      <c r="G329" s="26"/>
      <c r="H329" s="25"/>
      <c r="I329" s="26"/>
      <c r="J329" s="25"/>
      <c r="K329" s="25"/>
      <c r="L329" s="26"/>
      <c r="M329" s="25"/>
      <c r="N329" s="25"/>
      <c r="O329" s="26"/>
      <c r="P329" s="26"/>
      <c r="Q329" s="26"/>
      <c r="R329" s="26"/>
      <c r="S329" s="25"/>
      <c r="T329" s="26"/>
      <c r="U329" s="26"/>
      <c r="V329" s="25"/>
      <c r="W329" s="25"/>
      <c r="X329" s="26"/>
      <c r="Y329" s="25"/>
      <c r="Z329" s="10"/>
    </row>
    <row r="330" spans="1:26" ht="12.75">
      <c r="A330" s="25"/>
      <c r="B330" s="25"/>
      <c r="C330" s="25"/>
      <c r="D330" s="26"/>
      <c r="E330" s="26"/>
      <c r="F330" s="26"/>
      <c r="G330" s="26"/>
      <c r="H330" s="25"/>
      <c r="I330" s="26"/>
      <c r="J330" s="25"/>
      <c r="K330" s="25"/>
      <c r="L330" s="26"/>
      <c r="M330" s="25"/>
      <c r="N330" s="25"/>
      <c r="O330" s="26"/>
      <c r="P330" s="26"/>
      <c r="Q330" s="26"/>
      <c r="R330" s="26"/>
      <c r="S330" s="25"/>
      <c r="T330" s="26"/>
      <c r="U330" s="26"/>
      <c r="V330" s="25"/>
      <c r="W330" s="25"/>
      <c r="X330" s="26"/>
      <c r="Y330" s="25"/>
      <c r="Z330" s="10"/>
    </row>
    <row r="331" spans="1:26" ht="12.75">
      <c r="A331" s="25"/>
      <c r="B331" s="25"/>
      <c r="C331" s="25"/>
      <c r="D331" s="26"/>
      <c r="E331" s="26"/>
      <c r="F331" s="26"/>
      <c r="G331" s="26"/>
      <c r="H331" s="25"/>
      <c r="I331" s="26"/>
      <c r="J331" s="25"/>
      <c r="K331" s="25"/>
      <c r="L331" s="26"/>
      <c r="M331" s="25"/>
      <c r="N331" s="25"/>
      <c r="O331" s="26"/>
      <c r="P331" s="26"/>
      <c r="Q331" s="26"/>
      <c r="R331" s="26"/>
      <c r="S331" s="25"/>
      <c r="T331" s="26"/>
      <c r="U331" s="26"/>
      <c r="V331" s="25"/>
      <c r="W331" s="25"/>
      <c r="X331" s="26"/>
      <c r="Y331" s="25"/>
      <c r="Z331" s="10"/>
    </row>
    <row r="332" spans="1:26" ht="12.75">
      <c r="A332" s="25"/>
      <c r="B332" s="25"/>
      <c r="C332" s="25"/>
      <c r="D332" s="26"/>
      <c r="E332" s="26"/>
      <c r="F332" s="26"/>
      <c r="G332" s="26"/>
      <c r="H332" s="25"/>
      <c r="I332" s="26"/>
      <c r="J332" s="25"/>
      <c r="K332" s="25"/>
      <c r="L332" s="26"/>
      <c r="M332" s="25"/>
      <c r="N332" s="25"/>
      <c r="O332" s="26"/>
      <c r="P332" s="26"/>
      <c r="Q332" s="26"/>
      <c r="R332" s="26"/>
      <c r="S332" s="25"/>
      <c r="T332" s="26"/>
      <c r="U332" s="26"/>
      <c r="V332" s="25"/>
      <c r="W332" s="25"/>
      <c r="X332" s="26"/>
      <c r="Y332" s="25"/>
      <c r="Z332" s="10"/>
    </row>
    <row r="333" spans="1:26" ht="12.75">
      <c r="A333" s="25"/>
      <c r="B333" s="25"/>
      <c r="C333" s="25"/>
      <c r="D333" s="26"/>
      <c r="E333" s="26"/>
      <c r="F333" s="26"/>
      <c r="G333" s="26"/>
      <c r="H333" s="25"/>
      <c r="I333" s="26"/>
      <c r="J333" s="25"/>
      <c r="K333" s="25"/>
      <c r="L333" s="26"/>
      <c r="M333" s="25"/>
      <c r="N333" s="25"/>
      <c r="O333" s="26"/>
      <c r="P333" s="26"/>
      <c r="Q333" s="26"/>
      <c r="R333" s="26"/>
      <c r="S333" s="25"/>
      <c r="T333" s="26"/>
      <c r="U333" s="26"/>
      <c r="V333" s="25"/>
      <c r="W333" s="25"/>
      <c r="X333" s="26"/>
      <c r="Y333" s="25"/>
      <c r="Z333" s="10"/>
    </row>
    <row r="334" spans="1:26" ht="12.75">
      <c r="A334" s="25"/>
      <c r="B334" s="25"/>
      <c r="C334" s="25"/>
      <c r="D334" s="26"/>
      <c r="E334" s="26"/>
      <c r="F334" s="26"/>
      <c r="G334" s="26"/>
      <c r="H334" s="25"/>
      <c r="I334" s="26"/>
      <c r="J334" s="25"/>
      <c r="K334" s="25"/>
      <c r="L334" s="26"/>
      <c r="M334" s="25"/>
      <c r="N334" s="25"/>
      <c r="O334" s="26"/>
      <c r="P334" s="26"/>
      <c r="Q334" s="26"/>
      <c r="R334" s="26"/>
      <c r="S334" s="25"/>
      <c r="T334" s="26"/>
      <c r="U334" s="26"/>
      <c r="V334" s="25"/>
      <c r="W334" s="25"/>
      <c r="X334" s="26"/>
      <c r="Y334" s="25"/>
      <c r="Z334" s="10"/>
    </row>
    <row r="335" spans="1:26" ht="12.75">
      <c r="A335" s="25"/>
      <c r="B335" s="25"/>
      <c r="C335" s="25"/>
      <c r="D335" s="26"/>
      <c r="E335" s="26"/>
      <c r="F335" s="26"/>
      <c r="G335" s="26"/>
      <c r="H335" s="25"/>
      <c r="I335" s="26"/>
      <c r="J335" s="25"/>
      <c r="K335" s="25"/>
      <c r="L335" s="26"/>
      <c r="M335" s="25"/>
      <c r="N335" s="25"/>
      <c r="O335" s="26"/>
      <c r="P335" s="26"/>
      <c r="Q335" s="26"/>
      <c r="R335" s="26"/>
      <c r="S335" s="25"/>
      <c r="T335" s="26"/>
      <c r="U335" s="26"/>
      <c r="V335" s="25"/>
      <c r="W335" s="25"/>
      <c r="X335" s="26"/>
      <c r="Y335" s="25"/>
      <c r="Z335" s="10"/>
    </row>
    <row r="336" spans="1:26" ht="12.75">
      <c r="A336" s="25"/>
      <c r="B336" s="25"/>
      <c r="C336" s="25"/>
      <c r="D336" s="26"/>
      <c r="E336" s="26"/>
      <c r="F336" s="26"/>
      <c r="G336" s="26"/>
      <c r="H336" s="25"/>
      <c r="I336" s="26"/>
      <c r="J336" s="25"/>
      <c r="K336" s="25"/>
      <c r="L336" s="26"/>
      <c r="M336" s="25"/>
      <c r="N336" s="25"/>
      <c r="O336" s="26"/>
      <c r="P336" s="26"/>
      <c r="Q336" s="26"/>
      <c r="R336" s="26"/>
      <c r="S336" s="25"/>
      <c r="T336" s="26"/>
      <c r="U336" s="26"/>
      <c r="V336" s="25"/>
      <c r="W336" s="25"/>
      <c r="X336" s="26"/>
      <c r="Y336" s="25"/>
      <c r="Z336" s="10"/>
    </row>
    <row r="337" spans="1:26" ht="12.75">
      <c r="A337" s="25"/>
      <c r="B337" s="25"/>
      <c r="C337" s="25"/>
      <c r="D337" s="26"/>
      <c r="E337" s="26"/>
      <c r="F337" s="26"/>
      <c r="G337" s="26"/>
      <c r="H337" s="25"/>
      <c r="I337" s="26"/>
      <c r="J337" s="25"/>
      <c r="K337" s="25"/>
      <c r="L337" s="26"/>
      <c r="M337" s="25"/>
      <c r="N337" s="25"/>
      <c r="O337" s="26"/>
      <c r="P337" s="26"/>
      <c r="Q337" s="26"/>
      <c r="R337" s="26"/>
      <c r="S337" s="25"/>
      <c r="T337" s="26"/>
      <c r="U337" s="26"/>
      <c r="V337" s="25"/>
      <c r="W337" s="25"/>
      <c r="X337" s="26"/>
      <c r="Y337" s="25"/>
      <c r="Z337" s="10"/>
    </row>
    <row r="338" spans="1:26" ht="12.75">
      <c r="A338" s="25"/>
      <c r="B338" s="25"/>
      <c r="C338" s="25"/>
      <c r="D338" s="26"/>
      <c r="E338" s="26"/>
      <c r="F338" s="26"/>
      <c r="G338" s="26"/>
      <c r="H338" s="25"/>
      <c r="I338" s="26"/>
      <c r="J338" s="25"/>
      <c r="K338" s="25"/>
      <c r="L338" s="26"/>
      <c r="M338" s="25"/>
      <c r="N338" s="25"/>
      <c r="O338" s="26"/>
      <c r="P338" s="26"/>
      <c r="Q338" s="26"/>
      <c r="R338" s="26"/>
      <c r="S338" s="25"/>
      <c r="T338" s="26"/>
      <c r="U338" s="26"/>
      <c r="V338" s="25"/>
      <c r="W338" s="25"/>
      <c r="X338" s="26"/>
      <c r="Y338" s="25"/>
      <c r="Z338" s="10"/>
    </row>
    <row r="339" spans="1:26" ht="12.75">
      <c r="A339" s="25"/>
      <c r="B339" s="25"/>
      <c r="C339" s="25"/>
      <c r="D339" s="26"/>
      <c r="E339" s="26"/>
      <c r="F339" s="26"/>
      <c r="G339" s="26"/>
      <c r="H339" s="25"/>
      <c r="I339" s="26"/>
      <c r="J339" s="25"/>
      <c r="K339" s="25"/>
      <c r="L339" s="26"/>
      <c r="M339" s="25"/>
      <c r="N339" s="25"/>
      <c r="O339" s="26"/>
      <c r="P339" s="26"/>
      <c r="Q339" s="26"/>
      <c r="R339" s="26"/>
      <c r="S339" s="25"/>
      <c r="T339" s="26"/>
      <c r="U339" s="26"/>
      <c r="V339" s="25"/>
      <c r="W339" s="25"/>
      <c r="X339" s="26"/>
      <c r="Y339" s="25"/>
      <c r="Z339" s="10"/>
    </row>
    <row r="340" spans="1:26" ht="12.75">
      <c r="A340" s="25"/>
      <c r="B340" s="25"/>
      <c r="C340" s="25"/>
      <c r="D340" s="26"/>
      <c r="E340" s="26"/>
      <c r="F340" s="26"/>
      <c r="G340" s="26"/>
      <c r="H340" s="25"/>
      <c r="I340" s="26"/>
      <c r="J340" s="25"/>
      <c r="K340" s="25"/>
      <c r="L340" s="26"/>
      <c r="M340" s="25"/>
      <c r="N340" s="25"/>
      <c r="O340" s="26"/>
      <c r="P340" s="26"/>
      <c r="Q340" s="26"/>
      <c r="R340" s="26"/>
      <c r="S340" s="25"/>
      <c r="T340" s="26"/>
      <c r="U340" s="26"/>
      <c r="V340" s="25"/>
      <c r="W340" s="25"/>
      <c r="X340" s="26"/>
      <c r="Y340" s="25"/>
      <c r="Z340" s="10"/>
    </row>
    <row r="341" spans="1:26" ht="12.75">
      <c r="A341" s="25"/>
      <c r="B341" s="25"/>
      <c r="C341" s="25"/>
      <c r="D341" s="26"/>
      <c r="E341" s="26"/>
      <c r="F341" s="26"/>
      <c r="G341" s="26"/>
      <c r="H341" s="25"/>
      <c r="I341" s="26"/>
      <c r="J341" s="25"/>
      <c r="K341" s="25"/>
      <c r="L341" s="26"/>
      <c r="M341" s="25"/>
      <c r="N341" s="25"/>
      <c r="O341" s="26"/>
      <c r="P341" s="26"/>
      <c r="Q341" s="26"/>
      <c r="R341" s="26"/>
      <c r="S341" s="25"/>
      <c r="T341" s="26"/>
      <c r="U341" s="26"/>
      <c r="V341" s="25"/>
      <c r="W341" s="25"/>
      <c r="X341" s="26"/>
      <c r="Y341" s="25"/>
      <c r="Z341" s="10"/>
    </row>
    <row r="342" spans="1:26" ht="12.75">
      <c r="A342" s="25"/>
      <c r="B342" s="25"/>
      <c r="C342" s="25"/>
      <c r="D342" s="26"/>
      <c r="E342" s="26"/>
      <c r="F342" s="26"/>
      <c r="G342" s="26"/>
      <c r="H342" s="25"/>
      <c r="I342" s="26"/>
      <c r="J342" s="25"/>
      <c r="K342" s="25"/>
      <c r="L342" s="26"/>
      <c r="M342" s="25"/>
      <c r="N342" s="25"/>
      <c r="O342" s="26"/>
      <c r="P342" s="26"/>
      <c r="Q342" s="26"/>
      <c r="R342" s="26"/>
      <c r="S342" s="25"/>
      <c r="T342" s="26"/>
      <c r="U342" s="26"/>
      <c r="V342" s="25"/>
      <c r="W342" s="25"/>
      <c r="X342" s="26"/>
      <c r="Y342" s="25"/>
      <c r="Z342" s="10"/>
    </row>
    <row r="343" spans="1:26" ht="12.75">
      <c r="A343" s="25"/>
      <c r="B343" s="25"/>
      <c r="C343" s="25"/>
      <c r="D343" s="26"/>
      <c r="E343" s="26"/>
      <c r="F343" s="26"/>
      <c r="G343" s="26"/>
      <c r="H343" s="25"/>
      <c r="I343" s="26"/>
      <c r="J343" s="25"/>
      <c r="K343" s="25"/>
      <c r="L343" s="26"/>
      <c r="M343" s="25"/>
      <c r="N343" s="25"/>
      <c r="O343" s="26"/>
      <c r="P343" s="26"/>
      <c r="Q343" s="26"/>
      <c r="R343" s="26"/>
      <c r="S343" s="25"/>
      <c r="T343" s="26"/>
      <c r="U343" s="26"/>
      <c r="V343" s="25"/>
      <c r="W343" s="25"/>
      <c r="X343" s="26"/>
      <c r="Y343" s="25"/>
      <c r="Z343" s="10"/>
    </row>
    <row r="344" spans="1:26" ht="12.75">
      <c r="A344" s="25"/>
      <c r="B344" s="25"/>
      <c r="C344" s="25"/>
      <c r="D344" s="26"/>
      <c r="E344" s="26"/>
      <c r="F344" s="26"/>
      <c r="G344" s="26"/>
      <c r="H344" s="25"/>
      <c r="I344" s="26"/>
      <c r="J344" s="25"/>
      <c r="K344" s="25"/>
      <c r="L344" s="26"/>
      <c r="M344" s="25"/>
      <c r="N344" s="25"/>
      <c r="O344" s="26"/>
      <c r="P344" s="26"/>
      <c r="Q344" s="26"/>
      <c r="R344" s="26"/>
      <c r="S344" s="25"/>
      <c r="T344" s="26"/>
      <c r="U344" s="26"/>
      <c r="V344" s="25"/>
      <c r="W344" s="25"/>
      <c r="X344" s="26"/>
      <c r="Y344" s="25"/>
      <c r="Z344" s="10"/>
    </row>
    <row r="345" spans="1:26" ht="12.75">
      <c r="A345" s="25"/>
      <c r="B345" s="25"/>
      <c r="C345" s="25"/>
      <c r="D345" s="26"/>
      <c r="E345" s="26"/>
      <c r="F345" s="26"/>
      <c r="G345" s="26"/>
      <c r="H345" s="25"/>
      <c r="I345" s="26"/>
      <c r="J345" s="25"/>
      <c r="K345" s="25"/>
      <c r="L345" s="26"/>
      <c r="M345" s="25"/>
      <c r="N345" s="25"/>
      <c r="O345" s="26"/>
      <c r="P345" s="26"/>
      <c r="Q345" s="26"/>
      <c r="R345" s="26"/>
      <c r="S345" s="25"/>
      <c r="T345" s="26"/>
      <c r="U345" s="26"/>
      <c r="V345" s="25"/>
      <c r="W345" s="25"/>
      <c r="X345" s="26"/>
      <c r="Y345" s="25"/>
      <c r="Z345" s="10"/>
    </row>
    <row r="346" spans="1:26" ht="12.75">
      <c r="A346" s="25"/>
      <c r="B346" s="25"/>
      <c r="C346" s="25"/>
      <c r="D346" s="26"/>
      <c r="E346" s="26"/>
      <c r="F346" s="26"/>
      <c r="G346" s="26"/>
      <c r="H346" s="25"/>
      <c r="I346" s="26"/>
      <c r="J346" s="25"/>
      <c r="K346" s="25"/>
      <c r="L346" s="26"/>
      <c r="M346" s="25"/>
      <c r="N346" s="25"/>
      <c r="O346" s="26"/>
      <c r="P346" s="26"/>
      <c r="Q346" s="26"/>
      <c r="R346" s="26"/>
      <c r="S346" s="25"/>
      <c r="T346" s="26"/>
      <c r="U346" s="26"/>
      <c r="V346" s="25"/>
      <c r="W346" s="25"/>
      <c r="X346" s="26"/>
      <c r="Y346" s="25"/>
      <c r="Z346" s="10"/>
    </row>
    <row r="347" spans="1:26" ht="12.75">
      <c r="A347" s="25"/>
      <c r="B347" s="25"/>
      <c r="C347" s="25"/>
      <c r="D347" s="26"/>
      <c r="E347" s="26"/>
      <c r="F347" s="26"/>
      <c r="G347" s="26"/>
      <c r="H347" s="25"/>
      <c r="I347" s="26"/>
      <c r="J347" s="25"/>
      <c r="K347" s="25"/>
      <c r="L347" s="26"/>
      <c r="M347" s="25"/>
      <c r="N347" s="25"/>
      <c r="O347" s="26"/>
      <c r="P347" s="26"/>
      <c r="Q347" s="26"/>
      <c r="R347" s="26"/>
      <c r="S347" s="25"/>
      <c r="T347" s="26"/>
      <c r="U347" s="26"/>
      <c r="V347" s="25"/>
      <c r="W347" s="25"/>
      <c r="X347" s="26"/>
      <c r="Y347" s="25"/>
      <c r="Z347" s="10"/>
    </row>
    <row r="348" spans="1:26" ht="12.75">
      <c r="A348" s="25"/>
      <c r="B348" s="25"/>
      <c r="C348" s="25"/>
      <c r="D348" s="26"/>
      <c r="E348" s="26"/>
      <c r="F348" s="26"/>
      <c r="G348" s="26"/>
      <c r="H348" s="25"/>
      <c r="I348" s="26"/>
      <c r="J348" s="25"/>
      <c r="K348" s="25"/>
      <c r="L348" s="26"/>
      <c r="M348" s="25"/>
      <c r="N348" s="25"/>
      <c r="O348" s="26"/>
      <c r="P348" s="26"/>
      <c r="Q348" s="26"/>
      <c r="R348" s="26"/>
      <c r="S348" s="25"/>
      <c r="T348" s="26"/>
      <c r="U348" s="26"/>
      <c r="V348" s="25"/>
      <c r="W348" s="25"/>
      <c r="X348" s="26"/>
      <c r="Y348" s="25"/>
      <c r="Z348" s="10"/>
    </row>
    <row r="349" spans="1:26" ht="12.75">
      <c r="A349" s="25"/>
      <c r="B349" s="25"/>
      <c r="C349" s="25"/>
      <c r="D349" s="26"/>
      <c r="E349" s="26"/>
      <c r="F349" s="26"/>
      <c r="G349" s="26"/>
      <c r="H349" s="25"/>
      <c r="I349" s="26"/>
      <c r="J349" s="25"/>
      <c r="K349" s="25"/>
      <c r="L349" s="26"/>
      <c r="M349" s="25"/>
      <c r="N349" s="25"/>
      <c r="O349" s="26"/>
      <c r="P349" s="26"/>
      <c r="Q349" s="26"/>
      <c r="R349" s="26"/>
      <c r="S349" s="25"/>
      <c r="T349" s="26"/>
      <c r="U349" s="26"/>
      <c r="V349" s="25"/>
      <c r="W349" s="25"/>
      <c r="X349" s="26"/>
      <c r="Y349" s="25"/>
      <c r="Z349" s="10"/>
    </row>
    <row r="350" spans="1:26" ht="12.75">
      <c r="A350" s="25"/>
      <c r="B350" s="25"/>
      <c r="C350" s="25"/>
      <c r="D350" s="26"/>
      <c r="E350" s="26"/>
      <c r="F350" s="26"/>
      <c r="G350" s="26"/>
      <c r="H350" s="25"/>
      <c r="I350" s="26"/>
      <c r="J350" s="25"/>
      <c r="K350" s="25"/>
      <c r="L350" s="26"/>
      <c r="M350" s="25"/>
      <c r="N350" s="25"/>
      <c r="O350" s="26"/>
      <c r="P350" s="26"/>
      <c r="Q350" s="26"/>
      <c r="R350" s="26"/>
      <c r="S350" s="25"/>
      <c r="T350" s="26"/>
      <c r="U350" s="26"/>
      <c r="V350" s="25"/>
      <c r="W350" s="25"/>
      <c r="X350" s="26"/>
      <c r="Y350" s="25"/>
      <c r="Z350" s="10"/>
    </row>
    <row r="351" spans="1:26" ht="12.75">
      <c r="A351" s="25"/>
      <c r="B351" s="25"/>
      <c r="C351" s="25"/>
      <c r="D351" s="26"/>
      <c r="E351" s="26"/>
      <c r="F351" s="26"/>
      <c r="G351" s="26"/>
      <c r="H351" s="25"/>
      <c r="I351" s="26"/>
      <c r="J351" s="25"/>
      <c r="K351" s="25"/>
      <c r="L351" s="26"/>
      <c r="M351" s="25"/>
      <c r="N351" s="25"/>
      <c r="O351" s="26"/>
      <c r="P351" s="26"/>
      <c r="Q351" s="26"/>
      <c r="R351" s="26"/>
      <c r="S351" s="25"/>
      <c r="T351" s="26"/>
      <c r="U351" s="26"/>
      <c r="V351" s="25"/>
      <c r="W351" s="25"/>
      <c r="X351" s="26"/>
      <c r="Y351" s="25"/>
      <c r="Z351" s="10"/>
    </row>
    <row r="352" spans="1:26" ht="12.75">
      <c r="A352" s="25"/>
      <c r="B352" s="25"/>
      <c r="C352" s="25"/>
      <c r="D352" s="26"/>
      <c r="E352" s="26"/>
      <c r="F352" s="26"/>
      <c r="G352" s="26"/>
      <c r="H352" s="25"/>
      <c r="I352" s="26"/>
      <c r="J352" s="25"/>
      <c r="K352" s="25"/>
      <c r="L352" s="26"/>
      <c r="M352" s="25"/>
      <c r="N352" s="25"/>
      <c r="O352" s="26"/>
      <c r="P352" s="26"/>
      <c r="Q352" s="26"/>
      <c r="R352" s="26"/>
      <c r="S352" s="25"/>
      <c r="T352" s="26"/>
      <c r="U352" s="26"/>
      <c r="V352" s="25"/>
      <c r="W352" s="25"/>
      <c r="X352" s="26"/>
      <c r="Y352" s="25"/>
      <c r="Z352" s="10"/>
    </row>
    <row r="353" spans="1:26" ht="12.75">
      <c r="A353" s="25"/>
      <c r="B353" s="25"/>
      <c r="C353" s="25"/>
      <c r="D353" s="26"/>
      <c r="E353" s="26"/>
      <c r="F353" s="26"/>
      <c r="G353" s="26"/>
      <c r="H353" s="25"/>
      <c r="I353" s="26"/>
      <c r="J353" s="25"/>
      <c r="K353" s="25"/>
      <c r="L353" s="26"/>
      <c r="M353" s="25"/>
      <c r="N353" s="25"/>
      <c r="O353" s="26"/>
      <c r="P353" s="26"/>
      <c r="Q353" s="26"/>
      <c r="R353" s="26"/>
      <c r="S353" s="25"/>
      <c r="T353" s="26"/>
      <c r="U353" s="26"/>
      <c r="V353" s="25"/>
      <c r="W353" s="25"/>
      <c r="X353" s="26"/>
      <c r="Y353" s="25"/>
      <c r="Z353" s="10"/>
    </row>
    <row r="354" spans="1:26" ht="12.75">
      <c r="A354" s="25"/>
      <c r="B354" s="25"/>
      <c r="C354" s="25"/>
      <c r="D354" s="26"/>
      <c r="E354" s="26"/>
      <c r="F354" s="26"/>
      <c r="G354" s="26"/>
      <c r="H354" s="25"/>
      <c r="I354" s="26"/>
      <c r="J354" s="25"/>
      <c r="K354" s="25"/>
      <c r="L354" s="26"/>
      <c r="M354" s="25"/>
      <c r="N354" s="25"/>
      <c r="O354" s="26"/>
      <c r="P354" s="26"/>
      <c r="Q354" s="26"/>
      <c r="R354" s="26"/>
      <c r="S354" s="25"/>
      <c r="T354" s="26"/>
      <c r="U354" s="26"/>
      <c r="V354" s="25"/>
      <c r="W354" s="25"/>
      <c r="X354" s="26"/>
      <c r="Y354" s="25"/>
      <c r="Z354" s="10"/>
    </row>
    <row r="355" spans="1:26" ht="12.75">
      <c r="A355" s="25"/>
      <c r="B355" s="25"/>
      <c r="C355" s="25"/>
      <c r="D355" s="26"/>
      <c r="E355" s="26"/>
      <c r="F355" s="26"/>
      <c r="G355" s="26"/>
      <c r="H355" s="25"/>
      <c r="I355" s="26"/>
      <c r="J355" s="25"/>
      <c r="K355" s="25"/>
      <c r="L355" s="26"/>
      <c r="M355" s="25"/>
      <c r="N355" s="25"/>
      <c r="O355" s="26"/>
      <c r="P355" s="26"/>
      <c r="Q355" s="26"/>
      <c r="R355" s="26"/>
      <c r="S355" s="25"/>
      <c r="T355" s="26"/>
      <c r="U355" s="26"/>
      <c r="V355" s="25"/>
      <c r="W355" s="25"/>
      <c r="X355" s="26"/>
      <c r="Y355" s="25"/>
      <c r="Z355" s="10"/>
    </row>
    <row r="356" spans="1:26" ht="12.75">
      <c r="A356" s="25"/>
      <c r="B356" s="25"/>
      <c r="C356" s="25"/>
      <c r="D356" s="26"/>
      <c r="E356" s="26"/>
      <c r="F356" s="26"/>
      <c r="G356" s="26"/>
      <c r="H356" s="25"/>
      <c r="I356" s="26"/>
      <c r="J356" s="25"/>
      <c r="K356" s="25"/>
      <c r="L356" s="26"/>
      <c r="M356" s="25"/>
      <c r="N356" s="25"/>
      <c r="O356" s="26"/>
      <c r="P356" s="26"/>
      <c r="Q356" s="26"/>
      <c r="R356" s="26"/>
      <c r="S356" s="25"/>
      <c r="T356" s="26"/>
      <c r="U356" s="26"/>
      <c r="V356" s="25"/>
      <c r="W356" s="25"/>
      <c r="X356" s="26"/>
      <c r="Y356" s="25"/>
      <c r="Z356" s="10"/>
    </row>
    <row r="357" spans="1:26" ht="12.75">
      <c r="A357" s="25"/>
      <c r="B357" s="25"/>
      <c r="C357" s="25"/>
      <c r="D357" s="26"/>
      <c r="E357" s="26"/>
      <c r="F357" s="26"/>
      <c r="G357" s="26"/>
      <c r="H357" s="25"/>
      <c r="I357" s="26"/>
      <c r="J357" s="25"/>
      <c r="K357" s="25"/>
      <c r="L357" s="26"/>
      <c r="M357" s="25"/>
      <c r="N357" s="25"/>
      <c r="O357" s="26"/>
      <c r="P357" s="26"/>
      <c r="Q357" s="26"/>
      <c r="R357" s="26"/>
      <c r="S357" s="25"/>
      <c r="T357" s="26"/>
      <c r="U357" s="26"/>
      <c r="V357" s="25"/>
      <c r="W357" s="25"/>
      <c r="X357" s="26"/>
      <c r="Y357" s="25"/>
      <c r="Z357" s="10"/>
    </row>
    <row r="358" spans="1:26" ht="12.75">
      <c r="A358" s="25"/>
      <c r="B358" s="25"/>
      <c r="C358" s="25"/>
      <c r="D358" s="26"/>
      <c r="E358" s="26"/>
      <c r="F358" s="26"/>
      <c r="G358" s="26"/>
      <c r="H358" s="25"/>
      <c r="I358" s="26"/>
      <c r="J358" s="25"/>
      <c r="K358" s="25"/>
      <c r="L358" s="26"/>
      <c r="M358" s="25"/>
      <c r="N358" s="25"/>
      <c r="O358" s="26"/>
      <c r="P358" s="26"/>
      <c r="Q358" s="26"/>
      <c r="R358" s="26"/>
      <c r="S358" s="25"/>
      <c r="T358" s="26"/>
      <c r="U358" s="26"/>
      <c r="V358" s="25"/>
      <c r="W358" s="25"/>
      <c r="X358" s="26"/>
      <c r="Y358" s="25"/>
      <c r="Z358" s="10"/>
    </row>
    <row r="359" spans="1:26" ht="12.75">
      <c r="A359" s="25"/>
      <c r="B359" s="25"/>
      <c r="C359" s="25"/>
      <c r="D359" s="26"/>
      <c r="E359" s="26"/>
      <c r="F359" s="26"/>
      <c r="G359" s="26"/>
      <c r="H359" s="25"/>
      <c r="I359" s="26"/>
      <c r="J359" s="25"/>
      <c r="K359" s="25"/>
      <c r="L359" s="26"/>
      <c r="M359" s="25"/>
      <c r="N359" s="25"/>
      <c r="O359" s="26"/>
      <c r="P359" s="26"/>
      <c r="Q359" s="26"/>
      <c r="R359" s="26"/>
      <c r="S359" s="25"/>
      <c r="T359" s="26"/>
      <c r="U359" s="26"/>
      <c r="V359" s="25"/>
      <c r="W359" s="25"/>
      <c r="X359" s="26"/>
      <c r="Y359" s="25"/>
      <c r="Z359" s="10"/>
    </row>
    <row r="360" spans="1:26" ht="12.75">
      <c r="A360" s="25"/>
      <c r="B360" s="25"/>
      <c r="C360" s="25"/>
      <c r="D360" s="26"/>
      <c r="E360" s="26"/>
      <c r="F360" s="26"/>
      <c r="G360" s="26"/>
      <c r="H360" s="25"/>
      <c r="I360" s="26"/>
      <c r="J360" s="25"/>
      <c r="K360" s="25"/>
      <c r="L360" s="26"/>
      <c r="M360" s="25"/>
      <c r="N360" s="25"/>
      <c r="O360" s="26"/>
      <c r="P360" s="26"/>
      <c r="Q360" s="26"/>
      <c r="R360" s="26"/>
      <c r="S360" s="25"/>
      <c r="T360" s="26"/>
      <c r="U360" s="26"/>
      <c r="V360" s="25"/>
      <c r="W360" s="25"/>
      <c r="X360" s="26"/>
      <c r="Y360" s="25"/>
      <c r="Z360" s="10"/>
    </row>
    <row r="361" spans="1:26" ht="12.75">
      <c r="A361" s="25"/>
      <c r="B361" s="25"/>
      <c r="C361" s="25"/>
      <c r="D361" s="26"/>
      <c r="E361" s="26"/>
      <c r="F361" s="26"/>
      <c r="G361" s="26"/>
      <c r="H361" s="25"/>
      <c r="I361" s="26"/>
      <c r="J361" s="25"/>
      <c r="K361" s="25"/>
      <c r="L361" s="26"/>
      <c r="M361" s="25"/>
      <c r="N361" s="25"/>
      <c r="O361" s="26"/>
      <c r="P361" s="26"/>
      <c r="Q361" s="26"/>
      <c r="R361" s="26"/>
      <c r="S361" s="25"/>
      <c r="T361" s="26"/>
      <c r="U361" s="26"/>
      <c r="V361" s="25"/>
      <c r="W361" s="25"/>
      <c r="X361" s="26"/>
      <c r="Y361" s="25"/>
      <c r="Z361" s="10"/>
    </row>
    <row r="362" spans="1:26" ht="12.75">
      <c r="A362" s="25"/>
      <c r="B362" s="25"/>
      <c r="C362" s="25"/>
      <c r="D362" s="26"/>
      <c r="E362" s="26"/>
      <c r="F362" s="26"/>
      <c r="G362" s="26"/>
      <c r="H362" s="25"/>
      <c r="I362" s="26"/>
      <c r="J362" s="25"/>
      <c r="K362" s="25"/>
      <c r="L362" s="26"/>
      <c r="M362" s="25"/>
      <c r="N362" s="25"/>
      <c r="O362" s="26"/>
      <c r="P362" s="26"/>
      <c r="Q362" s="26"/>
      <c r="R362" s="26"/>
      <c r="S362" s="25"/>
      <c r="T362" s="26"/>
      <c r="U362" s="26"/>
      <c r="V362" s="25"/>
      <c r="W362" s="25"/>
      <c r="X362" s="26"/>
      <c r="Y362" s="25"/>
      <c r="Z362" s="10"/>
    </row>
    <row r="363" spans="1:26" ht="12.75">
      <c r="A363" s="25"/>
      <c r="B363" s="25"/>
      <c r="C363" s="25"/>
      <c r="D363" s="26"/>
      <c r="E363" s="26"/>
      <c r="F363" s="26"/>
      <c r="G363" s="26"/>
      <c r="H363" s="25"/>
      <c r="I363" s="26"/>
      <c r="J363" s="25"/>
      <c r="K363" s="25"/>
      <c r="L363" s="26"/>
      <c r="M363" s="25"/>
      <c r="N363" s="25"/>
      <c r="O363" s="26"/>
      <c r="P363" s="26"/>
      <c r="Q363" s="26"/>
      <c r="R363" s="26"/>
      <c r="S363" s="25"/>
      <c r="T363" s="26"/>
      <c r="U363" s="26"/>
      <c r="V363" s="25"/>
      <c r="W363" s="25"/>
      <c r="X363" s="26"/>
      <c r="Y363" s="25"/>
      <c r="Z363" s="10"/>
    </row>
    <row r="364" spans="1:26" ht="12.75">
      <c r="A364" s="25"/>
      <c r="B364" s="25"/>
      <c r="C364" s="25"/>
      <c r="D364" s="26"/>
      <c r="E364" s="26"/>
      <c r="F364" s="26"/>
      <c r="G364" s="26"/>
      <c r="H364" s="25"/>
      <c r="I364" s="26"/>
      <c r="J364" s="25"/>
      <c r="K364" s="25"/>
      <c r="L364" s="26"/>
      <c r="M364" s="25"/>
      <c r="N364" s="25"/>
      <c r="O364" s="26"/>
      <c r="P364" s="26"/>
      <c r="Q364" s="26"/>
      <c r="R364" s="26"/>
      <c r="S364" s="25"/>
      <c r="T364" s="26"/>
      <c r="U364" s="26"/>
      <c r="V364" s="25"/>
      <c r="W364" s="25"/>
      <c r="X364" s="26"/>
      <c r="Y364" s="25"/>
      <c r="Z364" s="10"/>
    </row>
    <row r="365" spans="1:26" ht="12.75">
      <c r="A365" s="25"/>
      <c r="B365" s="25"/>
      <c r="C365" s="25"/>
      <c r="D365" s="26"/>
      <c r="E365" s="26"/>
      <c r="F365" s="26"/>
      <c r="G365" s="26"/>
      <c r="H365" s="25"/>
      <c r="I365" s="26"/>
      <c r="J365" s="25"/>
      <c r="K365" s="25"/>
      <c r="L365" s="26"/>
      <c r="M365" s="25"/>
      <c r="N365" s="25"/>
      <c r="O365" s="26"/>
      <c r="P365" s="26"/>
      <c r="Q365" s="26"/>
      <c r="R365" s="26"/>
      <c r="S365" s="25"/>
      <c r="T365" s="26"/>
      <c r="U365" s="26"/>
      <c r="V365" s="25"/>
      <c r="W365" s="25"/>
      <c r="X365" s="26"/>
      <c r="Y365" s="25"/>
      <c r="Z365" s="10"/>
    </row>
    <row r="366" spans="1:26" ht="12.75">
      <c r="A366" s="25"/>
      <c r="B366" s="25"/>
      <c r="C366" s="25"/>
      <c r="D366" s="26"/>
      <c r="E366" s="26"/>
      <c r="F366" s="26"/>
      <c r="G366" s="26"/>
      <c r="H366" s="25"/>
      <c r="I366" s="26"/>
      <c r="J366" s="25"/>
      <c r="K366" s="25"/>
      <c r="L366" s="26"/>
      <c r="M366" s="25"/>
      <c r="N366" s="25"/>
      <c r="O366" s="26"/>
      <c r="P366" s="26"/>
      <c r="Q366" s="26"/>
      <c r="R366" s="26"/>
      <c r="S366" s="25"/>
      <c r="T366" s="26"/>
      <c r="U366" s="26"/>
      <c r="V366" s="25"/>
      <c r="W366" s="25"/>
      <c r="X366" s="26"/>
      <c r="Y366" s="25"/>
      <c r="Z366" s="10"/>
    </row>
    <row r="367" spans="1:26" ht="12.75">
      <c r="A367" s="25"/>
      <c r="B367" s="25"/>
      <c r="C367" s="25"/>
      <c r="D367" s="26"/>
      <c r="E367" s="26"/>
      <c r="F367" s="26"/>
      <c r="G367" s="26"/>
      <c r="H367" s="25"/>
      <c r="I367" s="26"/>
      <c r="J367" s="25"/>
      <c r="K367" s="25"/>
      <c r="L367" s="26"/>
      <c r="M367" s="25"/>
      <c r="N367" s="25"/>
      <c r="O367" s="26"/>
      <c r="P367" s="26"/>
      <c r="Q367" s="26"/>
      <c r="R367" s="26"/>
      <c r="S367" s="25"/>
      <c r="T367" s="26"/>
      <c r="U367" s="26"/>
      <c r="V367" s="25"/>
      <c r="W367" s="25"/>
      <c r="X367" s="26"/>
      <c r="Y367" s="25"/>
      <c r="Z367" s="10"/>
    </row>
    <row r="368" spans="1:26" ht="12.75">
      <c r="A368" s="25"/>
      <c r="B368" s="25"/>
      <c r="C368" s="25"/>
      <c r="D368" s="26"/>
      <c r="E368" s="26"/>
      <c r="F368" s="26"/>
      <c r="G368" s="26"/>
      <c r="H368" s="25"/>
      <c r="I368" s="26"/>
      <c r="J368" s="25"/>
      <c r="K368" s="25"/>
      <c r="L368" s="26"/>
      <c r="M368" s="25"/>
      <c r="N368" s="25"/>
      <c r="O368" s="26"/>
      <c r="P368" s="26"/>
      <c r="Q368" s="26"/>
      <c r="R368" s="26"/>
      <c r="S368" s="25"/>
      <c r="T368" s="26"/>
      <c r="U368" s="26"/>
      <c r="V368" s="25"/>
      <c r="W368" s="25"/>
      <c r="X368" s="26"/>
      <c r="Y368" s="25"/>
      <c r="Z368" s="10"/>
    </row>
    <row r="369" spans="1:26" ht="12.75">
      <c r="A369" s="25"/>
      <c r="B369" s="25"/>
      <c r="C369" s="25"/>
      <c r="D369" s="26"/>
      <c r="E369" s="26"/>
      <c r="F369" s="26"/>
      <c r="G369" s="26"/>
      <c r="H369" s="25"/>
      <c r="I369" s="26"/>
      <c r="J369" s="25"/>
      <c r="K369" s="25"/>
      <c r="L369" s="26"/>
      <c r="M369" s="25"/>
      <c r="N369" s="25"/>
      <c r="O369" s="26"/>
      <c r="P369" s="26"/>
      <c r="Q369" s="26"/>
      <c r="R369" s="26"/>
      <c r="S369" s="25"/>
      <c r="T369" s="26"/>
      <c r="U369" s="26"/>
      <c r="V369" s="25"/>
      <c r="W369" s="25"/>
      <c r="X369" s="26"/>
      <c r="Y369" s="25"/>
      <c r="Z369" s="10"/>
    </row>
    <row r="370" spans="1:26" ht="12.75">
      <c r="A370" s="25"/>
      <c r="B370" s="25"/>
      <c r="C370" s="25"/>
      <c r="D370" s="26"/>
      <c r="E370" s="26"/>
      <c r="F370" s="26"/>
      <c r="G370" s="26"/>
      <c r="H370" s="25"/>
      <c r="I370" s="26"/>
      <c r="J370" s="25"/>
      <c r="K370" s="25"/>
      <c r="L370" s="26"/>
      <c r="M370" s="25"/>
      <c r="N370" s="25"/>
      <c r="O370" s="26"/>
      <c r="P370" s="26"/>
      <c r="Q370" s="26"/>
      <c r="R370" s="26"/>
      <c r="S370" s="25"/>
      <c r="T370" s="26"/>
      <c r="U370" s="26"/>
      <c r="V370" s="25"/>
      <c r="W370" s="25"/>
      <c r="X370" s="26"/>
      <c r="Y370" s="25"/>
      <c r="Z370" s="10"/>
    </row>
    <row r="371" spans="1:26" ht="12.75">
      <c r="A371" s="25"/>
      <c r="B371" s="25"/>
      <c r="C371" s="25"/>
      <c r="D371" s="26"/>
      <c r="E371" s="26"/>
      <c r="F371" s="26"/>
      <c r="G371" s="26"/>
      <c r="H371" s="25"/>
      <c r="I371" s="26"/>
      <c r="J371" s="25"/>
      <c r="K371" s="25"/>
      <c r="L371" s="26"/>
      <c r="M371" s="25"/>
      <c r="N371" s="25"/>
      <c r="O371" s="26"/>
      <c r="P371" s="26"/>
      <c r="Q371" s="26"/>
      <c r="R371" s="26"/>
      <c r="S371" s="25"/>
      <c r="T371" s="26"/>
      <c r="U371" s="26"/>
      <c r="V371" s="25"/>
      <c r="W371" s="25"/>
      <c r="X371" s="26"/>
      <c r="Y371" s="25"/>
      <c r="Z371" s="10"/>
    </row>
    <row r="372" spans="1:26" ht="12.75">
      <c r="A372" s="25"/>
      <c r="B372" s="25"/>
      <c r="C372" s="25"/>
      <c r="D372" s="26"/>
      <c r="E372" s="26"/>
      <c r="F372" s="26"/>
      <c r="G372" s="26"/>
      <c r="H372" s="25"/>
      <c r="I372" s="26"/>
      <c r="J372" s="25"/>
      <c r="K372" s="25"/>
      <c r="L372" s="26"/>
      <c r="M372" s="25"/>
      <c r="N372" s="25"/>
      <c r="O372" s="26"/>
      <c r="P372" s="26"/>
      <c r="Q372" s="26"/>
      <c r="R372" s="26"/>
      <c r="S372" s="25"/>
      <c r="T372" s="26"/>
      <c r="U372" s="26"/>
      <c r="V372" s="25"/>
      <c r="W372" s="25"/>
      <c r="X372" s="26"/>
      <c r="Y372" s="25"/>
      <c r="Z372" s="10"/>
    </row>
    <row r="373" spans="1:26" ht="12.75">
      <c r="A373" s="25"/>
      <c r="B373" s="25"/>
      <c r="C373" s="25"/>
      <c r="D373" s="26"/>
      <c r="E373" s="26"/>
      <c r="F373" s="26"/>
      <c r="G373" s="26"/>
      <c r="H373" s="25"/>
      <c r="I373" s="26"/>
      <c r="J373" s="25"/>
      <c r="K373" s="25"/>
      <c r="L373" s="26"/>
      <c r="M373" s="25"/>
      <c r="N373" s="25"/>
      <c r="O373" s="26"/>
      <c r="P373" s="26"/>
      <c r="Q373" s="26"/>
      <c r="R373" s="26"/>
      <c r="S373" s="25"/>
      <c r="T373" s="26"/>
      <c r="U373" s="26"/>
      <c r="V373" s="25"/>
      <c r="W373" s="25"/>
      <c r="X373" s="26"/>
      <c r="Y373" s="25"/>
      <c r="Z373" s="10"/>
    </row>
    <row r="374" spans="1:26" ht="12.75">
      <c r="A374" s="25"/>
      <c r="B374" s="25"/>
      <c r="C374" s="25"/>
      <c r="D374" s="26"/>
      <c r="E374" s="26"/>
      <c r="F374" s="26"/>
      <c r="G374" s="26"/>
      <c r="H374" s="25"/>
      <c r="I374" s="26"/>
      <c r="J374" s="25"/>
      <c r="K374" s="25"/>
      <c r="L374" s="26"/>
      <c r="M374" s="25"/>
      <c r="N374" s="25"/>
      <c r="O374" s="26"/>
      <c r="P374" s="26"/>
      <c r="Q374" s="26"/>
      <c r="R374" s="26"/>
      <c r="S374" s="25"/>
      <c r="T374" s="26"/>
      <c r="U374" s="26"/>
      <c r="V374" s="25"/>
      <c r="W374" s="25"/>
      <c r="X374" s="26"/>
      <c r="Y374" s="25"/>
      <c r="Z374" s="10"/>
    </row>
    <row r="375" spans="1:26" ht="12.75">
      <c r="A375" s="25"/>
      <c r="B375" s="25"/>
      <c r="C375" s="25"/>
      <c r="D375" s="26"/>
      <c r="E375" s="26"/>
      <c r="F375" s="26"/>
      <c r="G375" s="26"/>
      <c r="H375" s="25"/>
      <c r="I375" s="26"/>
      <c r="J375" s="25"/>
      <c r="K375" s="25"/>
      <c r="L375" s="26"/>
      <c r="M375" s="25"/>
      <c r="N375" s="25"/>
      <c r="O375" s="26"/>
      <c r="P375" s="26"/>
      <c r="Q375" s="26"/>
      <c r="R375" s="26"/>
      <c r="S375" s="25"/>
      <c r="T375" s="26"/>
      <c r="U375" s="26"/>
      <c r="V375" s="25"/>
      <c r="W375" s="25"/>
      <c r="X375" s="26"/>
      <c r="Y375" s="25"/>
      <c r="Z375" s="10"/>
    </row>
    <row r="376" spans="1:26" ht="12.75">
      <c r="A376" s="25"/>
      <c r="B376" s="25"/>
      <c r="C376" s="25"/>
      <c r="D376" s="26"/>
      <c r="E376" s="26"/>
      <c r="F376" s="26"/>
      <c r="G376" s="26"/>
      <c r="H376" s="25"/>
      <c r="I376" s="26"/>
      <c r="J376" s="25"/>
      <c r="K376" s="25"/>
      <c r="L376" s="26"/>
      <c r="M376" s="25"/>
      <c r="N376" s="25"/>
      <c r="O376" s="26"/>
      <c r="P376" s="26"/>
      <c r="Q376" s="26"/>
      <c r="R376" s="26"/>
      <c r="S376" s="25"/>
      <c r="T376" s="26"/>
      <c r="U376" s="26"/>
      <c r="V376" s="25"/>
      <c r="W376" s="25"/>
      <c r="X376" s="26"/>
      <c r="Y376" s="25"/>
      <c r="Z376" s="10"/>
    </row>
    <row r="377" spans="1:26" ht="12.75">
      <c r="A377" s="25"/>
      <c r="B377" s="25"/>
      <c r="C377" s="25"/>
      <c r="D377" s="26"/>
      <c r="E377" s="26"/>
      <c r="F377" s="26"/>
      <c r="G377" s="26"/>
      <c r="H377" s="25"/>
      <c r="I377" s="26"/>
      <c r="J377" s="25"/>
      <c r="K377" s="25"/>
      <c r="L377" s="26"/>
      <c r="M377" s="25"/>
      <c r="N377" s="25"/>
      <c r="O377" s="26"/>
      <c r="P377" s="26"/>
      <c r="Q377" s="26"/>
      <c r="R377" s="26"/>
      <c r="S377" s="25"/>
      <c r="T377" s="26"/>
      <c r="U377" s="26"/>
      <c r="V377" s="25"/>
      <c r="W377" s="25"/>
      <c r="X377" s="26"/>
      <c r="Y377" s="25"/>
      <c r="Z377" s="10"/>
    </row>
    <row r="378" spans="1:26" ht="12.75">
      <c r="A378" s="25"/>
      <c r="B378" s="25"/>
      <c r="C378" s="25"/>
      <c r="D378" s="26"/>
      <c r="E378" s="26"/>
      <c r="F378" s="26"/>
      <c r="G378" s="26"/>
      <c r="H378" s="25"/>
      <c r="I378" s="26"/>
      <c r="J378" s="25"/>
      <c r="K378" s="25"/>
      <c r="L378" s="26"/>
      <c r="M378" s="25"/>
      <c r="N378" s="25"/>
      <c r="O378" s="26"/>
      <c r="P378" s="26"/>
      <c r="Q378" s="26"/>
      <c r="R378" s="26"/>
      <c r="S378" s="25"/>
      <c r="T378" s="26"/>
      <c r="U378" s="26"/>
      <c r="V378" s="25"/>
      <c r="W378" s="25"/>
      <c r="X378" s="26"/>
      <c r="Y378" s="25"/>
      <c r="Z378" s="10"/>
    </row>
    <row r="379" spans="1:26" ht="12.75">
      <c r="A379" s="25"/>
      <c r="B379" s="25"/>
      <c r="C379" s="25"/>
      <c r="D379" s="26"/>
      <c r="E379" s="26"/>
      <c r="F379" s="26"/>
      <c r="G379" s="26"/>
      <c r="H379" s="25"/>
      <c r="I379" s="26"/>
      <c r="J379" s="25"/>
      <c r="K379" s="25"/>
      <c r="L379" s="26"/>
      <c r="M379" s="25"/>
      <c r="N379" s="25"/>
      <c r="O379" s="26"/>
      <c r="P379" s="26"/>
      <c r="Q379" s="26"/>
      <c r="R379" s="26"/>
      <c r="S379" s="25"/>
      <c r="T379" s="26"/>
      <c r="U379" s="26"/>
      <c r="V379" s="25"/>
      <c r="W379" s="25"/>
      <c r="X379" s="26"/>
      <c r="Y379" s="25"/>
      <c r="Z379" s="10"/>
    </row>
    <row r="380" spans="1:26" ht="12.75">
      <c r="A380" s="25"/>
      <c r="B380" s="25"/>
      <c r="C380" s="25"/>
      <c r="D380" s="26"/>
      <c r="E380" s="26"/>
      <c r="F380" s="26"/>
      <c r="G380" s="26"/>
      <c r="H380" s="25"/>
      <c r="I380" s="26"/>
      <c r="J380" s="25"/>
      <c r="K380" s="25"/>
      <c r="L380" s="26"/>
      <c r="M380" s="25"/>
      <c r="N380" s="25"/>
      <c r="O380" s="26"/>
      <c r="P380" s="26"/>
      <c r="Q380" s="26"/>
      <c r="R380" s="26"/>
      <c r="S380" s="25"/>
      <c r="T380" s="26"/>
      <c r="U380" s="26"/>
      <c r="V380" s="25"/>
      <c r="W380" s="25"/>
      <c r="X380" s="26"/>
      <c r="Y380" s="25"/>
      <c r="Z380" s="10"/>
    </row>
    <row r="381" spans="1:26" ht="12.75">
      <c r="A381" s="25"/>
      <c r="B381" s="25"/>
      <c r="C381" s="25"/>
      <c r="D381" s="26"/>
      <c r="E381" s="26"/>
      <c r="F381" s="26"/>
      <c r="G381" s="26"/>
      <c r="H381" s="25"/>
      <c r="I381" s="26"/>
      <c r="J381" s="25"/>
      <c r="K381" s="25"/>
      <c r="L381" s="26"/>
      <c r="M381" s="25"/>
      <c r="N381" s="25"/>
      <c r="O381" s="26"/>
      <c r="P381" s="26"/>
      <c r="Q381" s="26"/>
      <c r="R381" s="26"/>
      <c r="S381" s="25"/>
      <c r="T381" s="26"/>
      <c r="U381" s="26"/>
      <c r="V381" s="25"/>
      <c r="W381" s="25"/>
      <c r="X381" s="26"/>
      <c r="Y381" s="25"/>
      <c r="Z381" s="10"/>
    </row>
    <row r="382" spans="1:26" ht="12.75">
      <c r="A382" s="25"/>
      <c r="B382" s="25"/>
      <c r="C382" s="25"/>
      <c r="D382" s="26"/>
      <c r="E382" s="26"/>
      <c r="F382" s="26"/>
      <c r="G382" s="26"/>
      <c r="H382" s="25"/>
      <c r="I382" s="26"/>
      <c r="J382" s="25"/>
      <c r="K382" s="25"/>
      <c r="L382" s="26"/>
      <c r="M382" s="25"/>
      <c r="N382" s="25"/>
      <c r="O382" s="26"/>
      <c r="P382" s="26"/>
      <c r="Q382" s="26"/>
      <c r="R382" s="26"/>
      <c r="S382" s="25"/>
      <c r="T382" s="26"/>
      <c r="U382" s="26"/>
      <c r="V382" s="25"/>
      <c r="W382" s="25"/>
      <c r="X382" s="26"/>
      <c r="Y382" s="25"/>
      <c r="Z382" s="10"/>
    </row>
    <row r="383" spans="1:26" ht="12.75">
      <c r="A383" s="25"/>
      <c r="B383" s="25"/>
      <c r="C383" s="25"/>
      <c r="D383" s="26"/>
      <c r="E383" s="26"/>
      <c r="F383" s="26"/>
      <c r="G383" s="26"/>
      <c r="H383" s="25"/>
      <c r="I383" s="26"/>
      <c r="J383" s="25"/>
      <c r="K383" s="25"/>
      <c r="L383" s="26"/>
      <c r="M383" s="25"/>
      <c r="N383" s="25"/>
      <c r="O383" s="26"/>
      <c r="P383" s="26"/>
      <c r="Q383" s="26"/>
      <c r="R383" s="26"/>
      <c r="S383" s="25"/>
      <c r="T383" s="26"/>
      <c r="U383" s="26"/>
      <c r="V383" s="25"/>
      <c r="W383" s="25"/>
      <c r="X383" s="26"/>
      <c r="Y383" s="25"/>
      <c r="Z383" s="10"/>
    </row>
    <row r="384" spans="1:26" ht="12.75">
      <c r="A384" s="25"/>
      <c r="B384" s="25"/>
      <c r="C384" s="25"/>
      <c r="D384" s="26"/>
      <c r="E384" s="26"/>
      <c r="F384" s="26"/>
      <c r="G384" s="26"/>
      <c r="H384" s="25"/>
      <c r="I384" s="26"/>
      <c r="J384" s="25"/>
      <c r="K384" s="25"/>
      <c r="L384" s="26"/>
      <c r="M384" s="25"/>
      <c r="N384" s="25"/>
      <c r="O384" s="26"/>
      <c r="P384" s="26"/>
      <c r="Q384" s="26"/>
      <c r="R384" s="26"/>
      <c r="S384" s="25"/>
      <c r="T384" s="26"/>
      <c r="U384" s="26"/>
      <c r="V384" s="25"/>
      <c r="W384" s="25"/>
      <c r="X384" s="26"/>
      <c r="Y384" s="25"/>
      <c r="Z384" s="10"/>
    </row>
    <row r="385" spans="1:26" ht="12.75">
      <c r="A385" s="25"/>
      <c r="B385" s="25"/>
      <c r="C385" s="25"/>
      <c r="D385" s="26"/>
      <c r="E385" s="26"/>
      <c r="F385" s="26"/>
      <c r="G385" s="26"/>
      <c r="H385" s="25"/>
      <c r="I385" s="26"/>
      <c r="J385" s="25"/>
      <c r="K385" s="25"/>
      <c r="L385" s="26"/>
      <c r="M385" s="25"/>
      <c r="N385" s="25"/>
      <c r="O385" s="26"/>
      <c r="P385" s="26"/>
      <c r="Q385" s="26"/>
      <c r="R385" s="26"/>
      <c r="S385" s="25"/>
      <c r="T385" s="26"/>
      <c r="U385" s="26"/>
      <c r="V385" s="25"/>
      <c r="W385" s="25"/>
      <c r="X385" s="26"/>
      <c r="Y385" s="25"/>
      <c r="Z385" s="10"/>
    </row>
    <row r="386" spans="1:26" ht="12.75">
      <c r="A386" s="25"/>
      <c r="B386" s="25"/>
      <c r="C386" s="25"/>
      <c r="D386" s="26"/>
      <c r="E386" s="26"/>
      <c r="F386" s="26"/>
      <c r="G386" s="26"/>
      <c r="H386" s="25"/>
      <c r="I386" s="26"/>
      <c r="J386" s="25"/>
      <c r="K386" s="25"/>
      <c r="L386" s="26"/>
      <c r="M386" s="25"/>
      <c r="N386" s="25"/>
      <c r="O386" s="26"/>
      <c r="P386" s="26"/>
      <c r="Q386" s="26"/>
      <c r="R386" s="26"/>
      <c r="S386" s="25"/>
      <c r="T386" s="26"/>
      <c r="U386" s="26"/>
      <c r="V386" s="25"/>
      <c r="W386" s="25"/>
      <c r="X386" s="26"/>
      <c r="Y386" s="25"/>
      <c r="Z386" s="10"/>
    </row>
    <row r="387" spans="1:26" ht="12.75">
      <c r="A387" s="25"/>
      <c r="B387" s="25"/>
      <c r="C387" s="25"/>
      <c r="D387" s="26"/>
      <c r="E387" s="26"/>
      <c r="F387" s="26"/>
      <c r="G387" s="26"/>
      <c r="H387" s="25"/>
      <c r="I387" s="26"/>
      <c r="J387" s="25"/>
      <c r="K387" s="25"/>
      <c r="L387" s="26"/>
      <c r="M387" s="25"/>
      <c r="N387" s="25"/>
      <c r="O387" s="26"/>
      <c r="P387" s="26"/>
      <c r="Q387" s="26"/>
      <c r="R387" s="26"/>
      <c r="S387" s="25"/>
      <c r="T387" s="26"/>
      <c r="U387" s="26"/>
      <c r="V387" s="25"/>
      <c r="W387" s="25"/>
      <c r="X387" s="26"/>
      <c r="Y387" s="25"/>
      <c r="Z387" s="10"/>
    </row>
    <row r="388" spans="1:26" ht="12.75">
      <c r="A388" s="25"/>
      <c r="B388" s="25"/>
      <c r="C388" s="25"/>
      <c r="D388" s="26"/>
      <c r="E388" s="26"/>
      <c r="F388" s="26"/>
      <c r="G388" s="26"/>
      <c r="H388" s="25"/>
      <c r="I388" s="26"/>
      <c r="J388" s="25"/>
      <c r="K388" s="25"/>
      <c r="L388" s="26"/>
      <c r="M388" s="25"/>
      <c r="N388" s="25"/>
      <c r="O388" s="26"/>
      <c r="P388" s="26"/>
      <c r="Q388" s="26"/>
      <c r="R388" s="26"/>
      <c r="S388" s="25"/>
      <c r="T388" s="26"/>
      <c r="U388" s="26"/>
      <c r="V388" s="25"/>
      <c r="W388" s="25"/>
      <c r="X388" s="26"/>
      <c r="Y388" s="25"/>
      <c r="Z388" s="10"/>
    </row>
    <row r="389" spans="1:26" ht="12.75">
      <c r="A389" s="25"/>
      <c r="B389" s="25"/>
      <c r="C389" s="25"/>
      <c r="D389" s="26"/>
      <c r="E389" s="26"/>
      <c r="F389" s="26"/>
      <c r="G389" s="26"/>
      <c r="H389" s="25"/>
      <c r="I389" s="26"/>
      <c r="J389" s="25"/>
      <c r="K389" s="25"/>
      <c r="L389" s="26"/>
      <c r="M389" s="25"/>
      <c r="N389" s="25"/>
      <c r="O389" s="26"/>
      <c r="P389" s="26"/>
      <c r="Q389" s="26"/>
      <c r="R389" s="26"/>
      <c r="S389" s="25"/>
      <c r="T389" s="26"/>
      <c r="U389" s="26"/>
      <c r="V389" s="25"/>
      <c r="W389" s="25"/>
      <c r="X389" s="26"/>
      <c r="Y389" s="25"/>
      <c r="Z389" s="10"/>
    </row>
    <row r="390" spans="1:26" ht="12.75">
      <c r="A390" s="25"/>
      <c r="B390" s="25"/>
      <c r="C390" s="25"/>
      <c r="D390" s="26"/>
      <c r="E390" s="26"/>
      <c r="F390" s="26"/>
      <c r="G390" s="26"/>
      <c r="H390" s="25"/>
      <c r="I390" s="26"/>
      <c r="J390" s="25"/>
      <c r="K390" s="25"/>
      <c r="L390" s="26"/>
      <c r="M390" s="25"/>
      <c r="N390" s="25"/>
      <c r="O390" s="26"/>
      <c r="P390" s="26"/>
      <c r="Q390" s="26"/>
      <c r="R390" s="26"/>
      <c r="S390" s="25"/>
      <c r="T390" s="26"/>
      <c r="U390" s="26"/>
      <c r="V390" s="25"/>
      <c r="W390" s="25"/>
      <c r="X390" s="26"/>
      <c r="Y390" s="25"/>
      <c r="Z390" s="10"/>
    </row>
    <row r="391" spans="1:26" ht="12.75">
      <c r="A391" s="25"/>
      <c r="B391" s="25"/>
      <c r="C391" s="25"/>
      <c r="D391" s="26"/>
      <c r="E391" s="26"/>
      <c r="F391" s="26"/>
      <c r="G391" s="26"/>
      <c r="H391" s="25"/>
      <c r="I391" s="26"/>
      <c r="J391" s="25"/>
      <c r="K391" s="25"/>
      <c r="L391" s="26"/>
      <c r="M391" s="25"/>
      <c r="N391" s="25"/>
      <c r="O391" s="26"/>
      <c r="P391" s="26"/>
      <c r="Q391" s="26"/>
      <c r="R391" s="26"/>
      <c r="S391" s="25"/>
      <c r="T391" s="26"/>
      <c r="U391" s="26"/>
      <c r="V391" s="25"/>
      <c r="W391" s="25"/>
      <c r="X391" s="26"/>
      <c r="Y391" s="25"/>
      <c r="Z391" s="10"/>
    </row>
    <row r="392" spans="1:26" ht="12.75">
      <c r="A392" s="25"/>
      <c r="B392" s="25"/>
      <c r="C392" s="25"/>
      <c r="D392" s="26"/>
      <c r="E392" s="26"/>
      <c r="F392" s="26"/>
      <c r="G392" s="26"/>
      <c r="H392" s="25"/>
      <c r="I392" s="26"/>
      <c r="J392" s="25"/>
      <c r="K392" s="25"/>
      <c r="L392" s="26"/>
      <c r="M392" s="25"/>
      <c r="N392" s="25"/>
      <c r="O392" s="26"/>
      <c r="P392" s="26"/>
      <c r="Q392" s="26"/>
      <c r="R392" s="26"/>
      <c r="S392" s="25"/>
      <c r="T392" s="26"/>
      <c r="U392" s="26"/>
      <c r="V392" s="25"/>
      <c r="W392" s="25"/>
      <c r="X392" s="26"/>
      <c r="Y392" s="25"/>
      <c r="Z392" s="10"/>
    </row>
    <row r="393" spans="1:26" ht="12.75">
      <c r="A393" s="25"/>
      <c r="B393" s="25"/>
      <c r="C393" s="25"/>
      <c r="D393" s="26"/>
      <c r="E393" s="26"/>
      <c r="F393" s="26"/>
      <c r="G393" s="26"/>
      <c r="H393" s="25"/>
      <c r="I393" s="26"/>
      <c r="J393" s="25"/>
      <c r="K393" s="25"/>
      <c r="L393" s="26"/>
      <c r="M393" s="25"/>
      <c r="N393" s="25"/>
      <c r="O393" s="26"/>
      <c r="P393" s="26"/>
      <c r="Q393" s="26"/>
      <c r="R393" s="26"/>
      <c r="S393" s="25"/>
      <c r="T393" s="26"/>
      <c r="U393" s="26"/>
      <c r="V393" s="25"/>
      <c r="W393" s="25"/>
      <c r="X393" s="26"/>
      <c r="Y393" s="25"/>
      <c r="Z393" s="10"/>
    </row>
    <row r="394" spans="1:26" ht="12.75">
      <c r="A394" s="25"/>
      <c r="B394" s="25"/>
      <c r="C394" s="25"/>
      <c r="D394" s="26"/>
      <c r="E394" s="26"/>
      <c r="F394" s="26"/>
      <c r="G394" s="26"/>
      <c r="H394" s="25"/>
      <c r="I394" s="26"/>
      <c r="J394" s="25"/>
      <c r="K394" s="25"/>
      <c r="L394" s="26"/>
      <c r="M394" s="25"/>
      <c r="N394" s="25"/>
      <c r="O394" s="26"/>
      <c r="P394" s="26"/>
      <c r="Q394" s="26"/>
      <c r="R394" s="26"/>
      <c r="S394" s="25"/>
      <c r="T394" s="26"/>
      <c r="U394" s="26"/>
      <c r="V394" s="25"/>
      <c r="W394" s="25"/>
      <c r="X394" s="26"/>
      <c r="Y394" s="25"/>
      <c r="Z394" s="10"/>
    </row>
    <row r="395" spans="1:26" ht="12.75">
      <c r="A395" s="25"/>
      <c r="B395" s="25"/>
      <c r="C395" s="25"/>
      <c r="D395" s="26"/>
      <c r="E395" s="26"/>
      <c r="F395" s="26"/>
      <c r="G395" s="26"/>
      <c r="H395" s="25"/>
      <c r="I395" s="26"/>
      <c r="J395" s="25"/>
      <c r="K395" s="25"/>
      <c r="L395" s="26"/>
      <c r="M395" s="25"/>
      <c r="N395" s="25"/>
      <c r="O395" s="26"/>
      <c r="P395" s="26"/>
      <c r="Q395" s="26"/>
      <c r="R395" s="26"/>
      <c r="S395" s="25"/>
      <c r="T395" s="26"/>
      <c r="U395" s="26"/>
      <c r="V395" s="25"/>
      <c r="W395" s="25"/>
      <c r="X395" s="26"/>
      <c r="Y395" s="25"/>
      <c r="Z395" s="10"/>
    </row>
    <row r="396" spans="1:26" ht="12.75">
      <c r="A396" s="25"/>
      <c r="B396" s="25"/>
      <c r="C396" s="25"/>
      <c r="D396" s="26"/>
      <c r="E396" s="26"/>
      <c r="F396" s="26"/>
      <c r="G396" s="26"/>
      <c r="H396" s="25"/>
      <c r="I396" s="26"/>
      <c r="J396" s="25"/>
      <c r="K396" s="25"/>
      <c r="L396" s="26"/>
      <c r="M396" s="25"/>
      <c r="N396" s="25"/>
      <c r="O396" s="26"/>
      <c r="P396" s="26"/>
      <c r="Q396" s="26"/>
      <c r="R396" s="26"/>
      <c r="S396" s="25"/>
      <c r="T396" s="26"/>
      <c r="U396" s="26"/>
      <c r="V396" s="25"/>
      <c r="W396" s="25"/>
      <c r="X396" s="26"/>
      <c r="Y396" s="25"/>
      <c r="Z396" s="10"/>
    </row>
    <row r="397" spans="1:26" ht="12.75">
      <c r="A397" s="25"/>
      <c r="B397" s="25"/>
      <c r="C397" s="25"/>
      <c r="D397" s="26"/>
      <c r="E397" s="26"/>
      <c r="F397" s="26"/>
      <c r="G397" s="26"/>
      <c r="H397" s="25"/>
      <c r="I397" s="26"/>
      <c r="J397" s="25"/>
      <c r="K397" s="25"/>
      <c r="L397" s="26"/>
      <c r="M397" s="25"/>
      <c r="N397" s="25"/>
      <c r="O397" s="26"/>
      <c r="P397" s="26"/>
      <c r="Q397" s="26"/>
      <c r="R397" s="26"/>
      <c r="S397" s="25"/>
      <c r="T397" s="26"/>
      <c r="U397" s="26"/>
      <c r="V397" s="25"/>
      <c r="W397" s="25"/>
      <c r="X397" s="26"/>
      <c r="Y397" s="25"/>
      <c r="Z397" s="10"/>
    </row>
    <row r="398" spans="1:26" ht="12.75">
      <c r="A398" s="25"/>
      <c r="B398" s="25"/>
      <c r="C398" s="25"/>
      <c r="D398" s="26"/>
      <c r="E398" s="26"/>
      <c r="F398" s="26"/>
      <c r="G398" s="26"/>
      <c r="H398" s="25"/>
      <c r="I398" s="26"/>
      <c r="J398" s="25"/>
      <c r="K398" s="25"/>
      <c r="L398" s="26"/>
      <c r="M398" s="25"/>
      <c r="N398" s="25"/>
      <c r="O398" s="26"/>
      <c r="P398" s="26"/>
      <c r="Q398" s="26"/>
      <c r="R398" s="26"/>
      <c r="S398" s="25"/>
      <c r="T398" s="26"/>
      <c r="U398" s="26"/>
      <c r="V398" s="25"/>
      <c r="W398" s="25"/>
      <c r="X398" s="26"/>
      <c r="Y398" s="25"/>
      <c r="Z398" s="10"/>
    </row>
    <row r="399" spans="1:26" ht="12.75">
      <c r="A399" s="25"/>
      <c r="B399" s="25"/>
      <c r="C399" s="25"/>
      <c r="D399" s="26"/>
      <c r="E399" s="26"/>
      <c r="F399" s="26"/>
      <c r="G399" s="26"/>
      <c r="H399" s="25"/>
      <c r="I399" s="26"/>
      <c r="J399" s="25"/>
      <c r="K399" s="25"/>
      <c r="L399" s="26"/>
      <c r="M399" s="25"/>
      <c r="N399" s="25"/>
      <c r="O399" s="26"/>
      <c r="P399" s="26"/>
      <c r="Q399" s="26"/>
      <c r="R399" s="26"/>
      <c r="S399" s="25"/>
      <c r="T399" s="26"/>
      <c r="U399" s="26"/>
      <c r="V399" s="25"/>
      <c r="W399" s="25"/>
      <c r="X399" s="26"/>
      <c r="Y399" s="25"/>
      <c r="Z399" s="10"/>
    </row>
    <row r="400" spans="1:26" ht="12.75">
      <c r="A400" s="25"/>
      <c r="B400" s="25"/>
      <c r="C400" s="25"/>
      <c r="D400" s="26"/>
      <c r="E400" s="26"/>
      <c r="F400" s="26"/>
      <c r="G400" s="26"/>
      <c r="H400" s="25"/>
      <c r="I400" s="26"/>
      <c r="J400" s="25"/>
      <c r="K400" s="25"/>
      <c r="L400" s="26"/>
      <c r="M400" s="25"/>
      <c r="N400" s="25"/>
      <c r="O400" s="26"/>
      <c r="P400" s="26"/>
      <c r="Q400" s="26"/>
      <c r="R400" s="26"/>
      <c r="S400" s="25"/>
      <c r="T400" s="26"/>
      <c r="U400" s="26"/>
      <c r="V400" s="25"/>
      <c r="W400" s="25"/>
      <c r="X400" s="26"/>
      <c r="Y400" s="25"/>
      <c r="Z400" s="10"/>
    </row>
    <row r="401" spans="1:26" ht="12.75">
      <c r="A401" s="25"/>
      <c r="B401" s="25"/>
      <c r="C401" s="25"/>
      <c r="D401" s="26"/>
      <c r="E401" s="26"/>
      <c r="F401" s="26"/>
      <c r="G401" s="26"/>
      <c r="H401" s="25"/>
      <c r="I401" s="26"/>
      <c r="J401" s="25"/>
      <c r="K401" s="25"/>
      <c r="L401" s="26"/>
      <c r="M401" s="25"/>
      <c r="N401" s="25"/>
      <c r="O401" s="26"/>
      <c r="P401" s="26"/>
      <c r="Q401" s="26"/>
      <c r="R401" s="26"/>
      <c r="S401" s="25"/>
      <c r="T401" s="26"/>
      <c r="U401" s="26"/>
      <c r="V401" s="25"/>
      <c r="W401" s="25"/>
      <c r="X401" s="26"/>
      <c r="Y401" s="25"/>
      <c r="Z401" s="10"/>
    </row>
    <row r="402" spans="1:26" ht="12.75">
      <c r="A402" s="25"/>
      <c r="B402" s="25"/>
      <c r="C402" s="25"/>
      <c r="D402" s="26"/>
      <c r="E402" s="26"/>
      <c r="F402" s="26"/>
      <c r="G402" s="26"/>
      <c r="H402" s="25"/>
      <c r="I402" s="26"/>
      <c r="J402" s="25"/>
      <c r="K402" s="25"/>
      <c r="L402" s="26"/>
      <c r="M402" s="25"/>
      <c r="N402" s="25"/>
      <c r="O402" s="26"/>
      <c r="P402" s="26"/>
      <c r="Q402" s="26"/>
      <c r="R402" s="26"/>
      <c r="S402" s="25"/>
      <c r="T402" s="26"/>
      <c r="U402" s="26"/>
      <c r="V402" s="25"/>
      <c r="W402" s="25"/>
      <c r="X402" s="26"/>
      <c r="Y402" s="25"/>
      <c r="Z402" s="10"/>
    </row>
    <row r="403" spans="1:26" ht="12.75">
      <c r="A403" s="25"/>
      <c r="B403" s="25"/>
      <c r="C403" s="25"/>
      <c r="D403" s="26"/>
      <c r="E403" s="26"/>
      <c r="F403" s="26"/>
      <c r="G403" s="26"/>
      <c r="H403" s="25"/>
      <c r="I403" s="26"/>
      <c r="J403" s="25"/>
      <c r="K403" s="25"/>
      <c r="L403" s="26"/>
      <c r="M403" s="25"/>
      <c r="N403" s="25"/>
      <c r="O403" s="26"/>
      <c r="P403" s="26"/>
      <c r="Q403" s="26"/>
      <c r="R403" s="26"/>
      <c r="S403" s="25"/>
      <c r="T403" s="26"/>
      <c r="U403" s="26"/>
      <c r="V403" s="25"/>
      <c r="W403" s="25"/>
      <c r="X403" s="26"/>
      <c r="Y403" s="25"/>
      <c r="Z403" s="10"/>
    </row>
    <row r="404" spans="1:26" ht="12.75">
      <c r="A404" s="25"/>
      <c r="B404" s="25"/>
      <c r="C404" s="25"/>
      <c r="D404" s="26"/>
      <c r="E404" s="26"/>
      <c r="F404" s="26"/>
      <c r="G404" s="26"/>
      <c r="H404" s="25"/>
      <c r="I404" s="26"/>
      <c r="J404" s="25"/>
      <c r="K404" s="25"/>
      <c r="L404" s="26"/>
      <c r="M404" s="25"/>
      <c r="N404" s="25"/>
      <c r="O404" s="26"/>
      <c r="P404" s="26"/>
      <c r="Q404" s="26"/>
      <c r="R404" s="26"/>
      <c r="S404" s="25"/>
      <c r="T404" s="26"/>
      <c r="U404" s="26"/>
      <c r="V404" s="25"/>
      <c r="W404" s="25"/>
      <c r="X404" s="26"/>
      <c r="Y404" s="25"/>
      <c r="Z404" s="10"/>
    </row>
    <row r="405" spans="1:26" ht="12.75">
      <c r="A405" s="25"/>
      <c r="B405" s="25"/>
      <c r="C405" s="25"/>
      <c r="D405" s="26"/>
      <c r="E405" s="26"/>
      <c r="F405" s="26"/>
      <c r="G405" s="26"/>
      <c r="H405" s="25"/>
      <c r="I405" s="26"/>
      <c r="J405" s="25"/>
      <c r="K405" s="25"/>
      <c r="L405" s="26"/>
      <c r="M405" s="25"/>
      <c r="N405" s="25"/>
      <c r="O405" s="26"/>
      <c r="P405" s="26"/>
      <c r="Q405" s="26"/>
      <c r="R405" s="26"/>
      <c r="S405" s="25"/>
      <c r="T405" s="26"/>
      <c r="U405" s="26"/>
      <c r="V405" s="25"/>
      <c r="W405" s="25"/>
      <c r="X405" s="26"/>
      <c r="Y405" s="25"/>
      <c r="Z405" s="10"/>
    </row>
    <row r="406" spans="1:26" ht="12.75">
      <c r="A406" s="25"/>
      <c r="B406" s="25"/>
      <c r="C406" s="25"/>
      <c r="D406" s="26"/>
      <c r="E406" s="26"/>
      <c r="F406" s="26"/>
      <c r="G406" s="26"/>
      <c r="H406" s="25"/>
      <c r="I406" s="26"/>
      <c r="J406" s="25"/>
      <c r="K406" s="25"/>
      <c r="L406" s="26"/>
      <c r="M406" s="25"/>
      <c r="N406" s="25"/>
      <c r="O406" s="26"/>
      <c r="P406" s="26"/>
      <c r="Q406" s="26"/>
      <c r="R406" s="26"/>
      <c r="S406" s="25"/>
      <c r="T406" s="26"/>
      <c r="U406" s="26"/>
      <c r="V406" s="25"/>
      <c r="W406" s="25"/>
      <c r="X406" s="26"/>
      <c r="Y406" s="25"/>
      <c r="Z406" s="10"/>
    </row>
    <row r="407" spans="1:26" ht="12.75">
      <c r="A407" s="25"/>
      <c r="B407" s="25"/>
      <c r="C407" s="25"/>
      <c r="D407" s="26"/>
      <c r="E407" s="26"/>
      <c r="F407" s="26"/>
      <c r="G407" s="26"/>
      <c r="H407" s="25"/>
      <c r="I407" s="26"/>
      <c r="J407" s="25"/>
      <c r="K407" s="25"/>
      <c r="L407" s="26"/>
      <c r="M407" s="25"/>
      <c r="N407" s="25"/>
      <c r="O407" s="26"/>
      <c r="P407" s="26"/>
      <c r="Q407" s="26"/>
      <c r="R407" s="26"/>
      <c r="S407" s="25"/>
      <c r="T407" s="26"/>
      <c r="U407" s="26"/>
      <c r="V407" s="25"/>
      <c r="W407" s="25"/>
      <c r="X407" s="26"/>
      <c r="Y407" s="25"/>
      <c r="Z407" s="10"/>
    </row>
    <row r="408" spans="1:26" ht="12.75">
      <c r="A408" s="25"/>
      <c r="B408" s="25"/>
      <c r="C408" s="25"/>
      <c r="D408" s="26"/>
      <c r="E408" s="26"/>
      <c r="F408" s="26"/>
      <c r="G408" s="26"/>
      <c r="H408" s="25"/>
      <c r="I408" s="26"/>
      <c r="J408" s="25"/>
      <c r="K408" s="25"/>
      <c r="L408" s="26"/>
      <c r="M408" s="25"/>
      <c r="N408" s="25"/>
      <c r="O408" s="26"/>
      <c r="P408" s="26"/>
      <c r="Q408" s="26"/>
      <c r="R408" s="26"/>
      <c r="S408" s="25"/>
      <c r="T408" s="26"/>
      <c r="U408" s="26"/>
      <c r="V408" s="25"/>
      <c r="W408" s="25"/>
      <c r="X408" s="26"/>
      <c r="Y408" s="25"/>
      <c r="Z408" s="10"/>
    </row>
    <row r="409" spans="1:26" ht="12.75">
      <c r="A409" s="25"/>
      <c r="B409" s="25"/>
      <c r="C409" s="25"/>
      <c r="D409" s="26"/>
      <c r="E409" s="26"/>
      <c r="F409" s="26"/>
      <c r="G409" s="26"/>
      <c r="H409" s="25"/>
      <c r="I409" s="26"/>
      <c r="J409" s="25"/>
      <c r="K409" s="25"/>
      <c r="L409" s="26"/>
      <c r="M409" s="25"/>
      <c r="N409" s="25"/>
      <c r="O409" s="26"/>
      <c r="P409" s="26"/>
      <c r="Q409" s="26"/>
      <c r="R409" s="26"/>
      <c r="S409" s="25"/>
      <c r="T409" s="26"/>
      <c r="U409" s="26"/>
      <c r="V409" s="25"/>
      <c r="W409" s="25"/>
      <c r="X409" s="26"/>
      <c r="Y409" s="25"/>
      <c r="Z409" s="10"/>
    </row>
    <row r="410" spans="1:26" ht="12.75">
      <c r="A410" s="25"/>
      <c r="B410" s="25"/>
      <c r="C410" s="25"/>
      <c r="D410" s="26"/>
      <c r="E410" s="26"/>
      <c r="F410" s="26"/>
      <c r="G410" s="26"/>
      <c r="H410" s="25"/>
      <c r="I410" s="26"/>
      <c r="J410" s="25"/>
      <c r="K410" s="25"/>
      <c r="L410" s="26"/>
      <c r="M410" s="25"/>
      <c r="N410" s="25"/>
      <c r="O410" s="26"/>
      <c r="P410" s="26"/>
      <c r="Q410" s="26"/>
      <c r="R410" s="26"/>
      <c r="S410" s="25"/>
      <c r="T410" s="26"/>
      <c r="U410" s="26"/>
      <c r="V410" s="25"/>
      <c r="W410" s="25"/>
      <c r="X410" s="26"/>
      <c r="Y410" s="25"/>
      <c r="Z410" s="10"/>
    </row>
    <row r="411" spans="1:26" ht="12.75">
      <c r="A411" s="25"/>
      <c r="B411" s="25"/>
      <c r="C411" s="25"/>
      <c r="D411" s="26"/>
      <c r="E411" s="26"/>
      <c r="F411" s="26"/>
      <c r="G411" s="26"/>
      <c r="H411" s="25"/>
      <c r="I411" s="26"/>
      <c r="J411" s="25"/>
      <c r="K411" s="25"/>
      <c r="L411" s="26"/>
      <c r="M411" s="25"/>
      <c r="N411" s="25"/>
      <c r="O411" s="26"/>
      <c r="P411" s="26"/>
      <c r="Q411" s="26"/>
      <c r="R411" s="26"/>
      <c r="S411" s="25"/>
      <c r="T411" s="26"/>
      <c r="U411" s="26"/>
      <c r="V411" s="25"/>
      <c r="W411" s="25"/>
      <c r="X411" s="26"/>
      <c r="Y411" s="25"/>
      <c r="Z411" s="10"/>
    </row>
    <row r="412" spans="1:26" ht="12.75">
      <c r="A412" s="25"/>
      <c r="B412" s="25"/>
      <c r="C412" s="25"/>
      <c r="D412" s="26"/>
      <c r="E412" s="26"/>
      <c r="F412" s="26"/>
      <c r="G412" s="26"/>
      <c r="H412" s="25"/>
      <c r="I412" s="26"/>
      <c r="J412" s="25"/>
      <c r="K412" s="25"/>
      <c r="L412" s="26"/>
      <c r="M412" s="25"/>
      <c r="N412" s="25"/>
      <c r="O412" s="26"/>
      <c r="P412" s="26"/>
      <c r="Q412" s="26"/>
      <c r="R412" s="26"/>
      <c r="S412" s="25"/>
      <c r="T412" s="26"/>
      <c r="U412" s="26"/>
      <c r="V412" s="25"/>
      <c r="W412" s="25"/>
      <c r="X412" s="26"/>
      <c r="Y412" s="25"/>
      <c r="Z412" s="10"/>
    </row>
    <row r="413" spans="1:26" ht="12.75">
      <c r="A413" s="25"/>
      <c r="B413" s="25"/>
      <c r="C413" s="25"/>
      <c r="D413" s="26"/>
      <c r="E413" s="26"/>
      <c r="F413" s="26"/>
      <c r="G413" s="26"/>
      <c r="H413" s="25"/>
      <c r="I413" s="26"/>
      <c r="J413" s="25"/>
      <c r="K413" s="25"/>
      <c r="L413" s="26"/>
      <c r="M413" s="25"/>
      <c r="N413" s="25"/>
      <c r="O413" s="26"/>
      <c r="P413" s="26"/>
      <c r="Q413" s="26"/>
      <c r="R413" s="26"/>
      <c r="S413" s="25"/>
      <c r="T413" s="26"/>
      <c r="U413" s="26"/>
      <c r="V413" s="25"/>
      <c r="W413" s="25"/>
      <c r="X413" s="26"/>
      <c r="Y413" s="25"/>
      <c r="Z413" s="10"/>
    </row>
    <row r="414" spans="1:26" ht="12.75">
      <c r="A414" s="25"/>
      <c r="B414" s="25"/>
      <c r="C414" s="25"/>
      <c r="D414" s="26"/>
      <c r="E414" s="26"/>
      <c r="F414" s="26"/>
      <c r="G414" s="26"/>
      <c r="H414" s="25"/>
      <c r="I414" s="26"/>
      <c r="J414" s="25"/>
      <c r="K414" s="25"/>
      <c r="L414" s="26"/>
      <c r="M414" s="25"/>
      <c r="N414" s="25"/>
      <c r="O414" s="26"/>
      <c r="P414" s="26"/>
      <c r="Q414" s="26"/>
      <c r="R414" s="26"/>
      <c r="S414" s="25"/>
      <c r="T414" s="26"/>
      <c r="U414" s="26"/>
      <c r="V414" s="25"/>
      <c r="W414" s="25"/>
      <c r="X414" s="26"/>
      <c r="Y414" s="25"/>
      <c r="Z414" s="10"/>
    </row>
    <row r="415" spans="1:26" ht="12.75">
      <c r="A415" s="25"/>
      <c r="B415" s="25"/>
      <c r="C415" s="25"/>
      <c r="D415" s="26"/>
      <c r="E415" s="26"/>
      <c r="F415" s="26"/>
      <c r="G415" s="26"/>
      <c r="H415" s="25"/>
      <c r="I415" s="26"/>
      <c r="J415" s="25"/>
      <c r="K415" s="25"/>
      <c r="L415" s="26"/>
      <c r="M415" s="25"/>
      <c r="N415" s="25"/>
      <c r="O415" s="26"/>
      <c r="P415" s="26"/>
      <c r="Q415" s="26"/>
      <c r="R415" s="26"/>
      <c r="S415" s="25"/>
      <c r="T415" s="26"/>
      <c r="U415" s="26"/>
      <c r="V415" s="25"/>
      <c r="W415" s="25"/>
      <c r="X415" s="26"/>
      <c r="Y415" s="25"/>
      <c r="Z415" s="10"/>
    </row>
    <row r="416" spans="1:26" ht="12.75">
      <c r="A416" s="25"/>
      <c r="B416" s="25"/>
      <c r="C416" s="25"/>
      <c r="D416" s="26"/>
      <c r="E416" s="26"/>
      <c r="F416" s="26"/>
      <c r="G416" s="26"/>
      <c r="H416" s="25"/>
      <c r="I416" s="26"/>
      <c r="J416" s="25"/>
      <c r="K416" s="25"/>
      <c r="L416" s="26"/>
      <c r="M416" s="25"/>
      <c r="N416" s="25"/>
      <c r="O416" s="26"/>
      <c r="P416" s="26"/>
      <c r="Q416" s="26"/>
      <c r="R416" s="26"/>
      <c r="S416" s="25"/>
      <c r="T416" s="26"/>
      <c r="U416" s="26"/>
      <c r="V416" s="25"/>
      <c r="W416" s="25"/>
      <c r="X416" s="26"/>
      <c r="Y416" s="25"/>
      <c r="Z416" s="10"/>
    </row>
    <row r="417" spans="1:26" ht="12.75">
      <c r="A417" s="25"/>
      <c r="B417" s="25"/>
      <c r="C417" s="25"/>
      <c r="D417" s="26"/>
      <c r="E417" s="26"/>
      <c r="F417" s="26"/>
      <c r="G417" s="26"/>
      <c r="H417" s="25"/>
      <c r="I417" s="26"/>
      <c r="J417" s="25"/>
      <c r="K417" s="25"/>
      <c r="L417" s="26"/>
      <c r="M417" s="25"/>
      <c r="N417" s="25"/>
      <c r="O417" s="26"/>
      <c r="P417" s="26"/>
      <c r="Q417" s="26"/>
      <c r="R417" s="26"/>
      <c r="S417" s="25"/>
      <c r="T417" s="26"/>
      <c r="U417" s="26"/>
      <c r="V417" s="25"/>
      <c r="W417" s="25"/>
      <c r="X417" s="26"/>
      <c r="Y417" s="25"/>
      <c r="Z417" s="10"/>
    </row>
    <row r="418" spans="1:26" ht="12.75">
      <c r="A418" s="25"/>
      <c r="B418" s="25"/>
      <c r="C418" s="25"/>
      <c r="D418" s="26"/>
      <c r="E418" s="26"/>
      <c r="F418" s="26"/>
      <c r="G418" s="26"/>
      <c r="H418" s="25"/>
      <c r="I418" s="26"/>
      <c r="J418" s="25"/>
      <c r="K418" s="25"/>
      <c r="L418" s="26"/>
      <c r="M418" s="25"/>
      <c r="N418" s="25"/>
      <c r="O418" s="26"/>
      <c r="P418" s="26"/>
      <c r="Q418" s="26"/>
      <c r="R418" s="26"/>
      <c r="S418" s="25"/>
      <c r="T418" s="26"/>
      <c r="U418" s="26"/>
      <c r="V418" s="25"/>
      <c r="W418" s="25"/>
      <c r="X418" s="26"/>
      <c r="Y418" s="25"/>
      <c r="Z418" s="10"/>
    </row>
    <row r="419" spans="1:26" ht="12.75">
      <c r="A419" s="25"/>
      <c r="B419" s="25"/>
      <c r="C419" s="25"/>
      <c r="D419" s="26"/>
      <c r="E419" s="26"/>
      <c r="F419" s="26"/>
      <c r="G419" s="26"/>
      <c r="H419" s="25"/>
      <c r="I419" s="26"/>
      <c r="J419" s="25"/>
      <c r="K419" s="25"/>
      <c r="L419" s="26"/>
      <c r="M419" s="25"/>
      <c r="N419" s="25"/>
      <c r="O419" s="26"/>
      <c r="P419" s="26"/>
      <c r="Q419" s="26"/>
      <c r="R419" s="26"/>
      <c r="S419" s="25"/>
      <c r="T419" s="26"/>
      <c r="U419" s="26"/>
      <c r="V419" s="25"/>
      <c r="W419" s="25"/>
      <c r="X419" s="26"/>
      <c r="Y419" s="25"/>
      <c r="Z419" s="10"/>
    </row>
    <row r="420" spans="1:26" ht="12.75">
      <c r="A420" s="25"/>
      <c r="B420" s="25"/>
      <c r="C420" s="25"/>
      <c r="D420" s="26"/>
      <c r="E420" s="26"/>
      <c r="F420" s="26"/>
      <c r="G420" s="26"/>
      <c r="H420" s="25"/>
      <c r="I420" s="26"/>
      <c r="J420" s="25"/>
      <c r="K420" s="25"/>
      <c r="L420" s="26"/>
      <c r="M420" s="25"/>
      <c r="N420" s="25"/>
      <c r="O420" s="26"/>
      <c r="P420" s="26"/>
      <c r="Q420" s="26"/>
      <c r="R420" s="26"/>
      <c r="S420" s="25"/>
      <c r="T420" s="26"/>
      <c r="U420" s="26"/>
      <c r="V420" s="25"/>
      <c r="W420" s="25"/>
      <c r="X420" s="26"/>
      <c r="Y420" s="25"/>
      <c r="Z420" s="10"/>
    </row>
    <row r="421" spans="1:26" ht="12.75">
      <c r="A421" s="25"/>
      <c r="B421" s="25"/>
      <c r="C421" s="25"/>
      <c r="D421" s="26"/>
      <c r="E421" s="26"/>
      <c r="F421" s="26"/>
      <c r="G421" s="26"/>
      <c r="H421" s="25"/>
      <c r="I421" s="26"/>
      <c r="J421" s="25"/>
      <c r="K421" s="25"/>
      <c r="L421" s="26"/>
      <c r="M421" s="25"/>
      <c r="N421" s="25"/>
      <c r="O421" s="26"/>
      <c r="P421" s="26"/>
      <c r="Q421" s="26"/>
      <c r="R421" s="26"/>
      <c r="S421" s="25"/>
      <c r="T421" s="26"/>
      <c r="U421" s="26"/>
      <c r="V421" s="25"/>
      <c r="W421" s="25"/>
      <c r="X421" s="26"/>
      <c r="Y421" s="25"/>
      <c r="Z421" s="10"/>
    </row>
    <row r="422" spans="1:26" ht="12.75">
      <c r="A422" s="25"/>
      <c r="B422" s="25"/>
      <c r="C422" s="25"/>
      <c r="D422" s="26"/>
      <c r="E422" s="26"/>
      <c r="F422" s="26"/>
      <c r="G422" s="26"/>
      <c r="H422" s="25"/>
      <c r="I422" s="26"/>
      <c r="J422" s="25"/>
      <c r="K422" s="25"/>
      <c r="L422" s="26"/>
      <c r="M422" s="25"/>
      <c r="N422" s="25"/>
      <c r="O422" s="26"/>
      <c r="P422" s="26"/>
      <c r="Q422" s="26"/>
      <c r="R422" s="26"/>
      <c r="S422" s="25"/>
      <c r="T422" s="26"/>
      <c r="U422" s="26"/>
      <c r="V422" s="25"/>
      <c r="W422" s="25"/>
      <c r="X422" s="26"/>
      <c r="Y422" s="25"/>
      <c r="Z422" s="10"/>
    </row>
    <row r="423" spans="1:26" ht="12.75">
      <c r="A423" s="25"/>
      <c r="B423" s="25"/>
      <c r="C423" s="25"/>
      <c r="D423" s="26"/>
      <c r="E423" s="26"/>
      <c r="F423" s="26"/>
      <c r="G423" s="26"/>
      <c r="H423" s="25"/>
      <c r="I423" s="26"/>
      <c r="J423" s="25"/>
      <c r="K423" s="25"/>
      <c r="L423" s="26"/>
      <c r="M423" s="25"/>
      <c r="N423" s="25"/>
      <c r="O423" s="26"/>
      <c r="P423" s="26"/>
      <c r="Q423" s="26"/>
      <c r="R423" s="26"/>
      <c r="S423" s="25"/>
      <c r="T423" s="26"/>
      <c r="U423" s="26"/>
      <c r="V423" s="25"/>
      <c r="W423" s="25"/>
      <c r="X423" s="26"/>
      <c r="Y423" s="25"/>
      <c r="Z423" s="10"/>
    </row>
    <row r="424" spans="1:26" ht="12.75">
      <c r="A424" s="25"/>
      <c r="B424" s="25"/>
      <c r="C424" s="25"/>
      <c r="D424" s="26"/>
      <c r="E424" s="26"/>
      <c r="F424" s="26"/>
      <c r="G424" s="26"/>
      <c r="H424" s="25"/>
      <c r="I424" s="26"/>
      <c r="J424" s="25"/>
      <c r="K424" s="25"/>
      <c r="L424" s="26"/>
      <c r="M424" s="25"/>
      <c r="N424" s="25"/>
      <c r="O424" s="26"/>
      <c r="P424" s="26"/>
      <c r="Q424" s="26"/>
      <c r="R424" s="26"/>
      <c r="S424" s="25"/>
      <c r="T424" s="26"/>
      <c r="U424" s="26"/>
      <c r="V424" s="25"/>
      <c r="W424" s="25"/>
      <c r="X424" s="26"/>
      <c r="Y424" s="25"/>
      <c r="Z424" s="10"/>
    </row>
    <row r="425" spans="1:26" ht="12.75">
      <c r="A425" s="25"/>
      <c r="B425" s="25"/>
      <c r="C425" s="25"/>
      <c r="D425" s="26"/>
      <c r="E425" s="26"/>
      <c r="F425" s="26"/>
      <c r="G425" s="26"/>
      <c r="H425" s="25"/>
      <c r="I425" s="26"/>
      <c r="J425" s="25"/>
      <c r="K425" s="25"/>
      <c r="L425" s="26"/>
      <c r="M425" s="25"/>
      <c r="N425" s="25"/>
      <c r="O425" s="26"/>
      <c r="P425" s="26"/>
      <c r="Q425" s="26"/>
      <c r="R425" s="26"/>
      <c r="S425" s="25"/>
      <c r="T425" s="26"/>
      <c r="U425" s="26"/>
      <c r="V425" s="25"/>
      <c r="W425" s="25"/>
      <c r="X425" s="26"/>
      <c r="Y425" s="25"/>
      <c r="Z425" s="10"/>
    </row>
    <row r="426" spans="1:26" ht="12.75">
      <c r="A426" s="25"/>
      <c r="B426" s="25"/>
      <c r="C426" s="25"/>
      <c r="D426" s="26"/>
      <c r="E426" s="26"/>
      <c r="F426" s="26"/>
      <c r="G426" s="26"/>
      <c r="H426" s="25"/>
      <c r="I426" s="26"/>
      <c r="J426" s="25"/>
      <c r="K426" s="25"/>
      <c r="L426" s="26"/>
      <c r="M426" s="25"/>
      <c r="N426" s="25"/>
      <c r="O426" s="26"/>
      <c r="P426" s="26"/>
      <c r="Q426" s="26"/>
      <c r="R426" s="26"/>
      <c r="S426" s="25"/>
      <c r="T426" s="26"/>
      <c r="U426" s="26"/>
      <c r="V426" s="25"/>
      <c r="W426" s="25"/>
      <c r="X426" s="26"/>
      <c r="Y426" s="25"/>
      <c r="Z426" s="10"/>
    </row>
    <row r="427" spans="1:26" ht="12.75">
      <c r="A427" s="25"/>
      <c r="B427" s="25"/>
      <c r="C427" s="25"/>
      <c r="D427" s="26"/>
      <c r="E427" s="26"/>
      <c r="F427" s="26"/>
      <c r="G427" s="26"/>
      <c r="H427" s="25"/>
      <c r="I427" s="26"/>
      <c r="J427" s="25"/>
      <c r="K427" s="25"/>
      <c r="L427" s="26"/>
      <c r="M427" s="25"/>
      <c r="N427" s="25"/>
      <c r="O427" s="26"/>
      <c r="P427" s="26"/>
      <c r="Q427" s="26"/>
      <c r="R427" s="26"/>
      <c r="S427" s="25"/>
      <c r="T427" s="26"/>
      <c r="U427" s="26"/>
      <c r="V427" s="25"/>
      <c r="W427" s="25"/>
      <c r="X427" s="26"/>
      <c r="Y427" s="25"/>
      <c r="Z427" s="10"/>
    </row>
    <row r="428" spans="1:26" ht="12.75">
      <c r="A428" s="25"/>
      <c r="B428" s="25"/>
      <c r="C428" s="25"/>
      <c r="D428" s="26"/>
      <c r="E428" s="26"/>
      <c r="F428" s="26"/>
      <c r="G428" s="26"/>
      <c r="H428" s="25"/>
      <c r="I428" s="26"/>
      <c r="J428" s="25"/>
      <c r="K428" s="25"/>
      <c r="L428" s="26"/>
      <c r="M428" s="25"/>
      <c r="N428" s="25"/>
      <c r="O428" s="26"/>
      <c r="P428" s="26"/>
      <c r="Q428" s="26"/>
      <c r="R428" s="26"/>
      <c r="S428" s="25"/>
      <c r="T428" s="26"/>
      <c r="U428" s="26"/>
      <c r="V428" s="25"/>
      <c r="W428" s="25"/>
      <c r="X428" s="26"/>
      <c r="Y428" s="25"/>
      <c r="Z428" s="10"/>
    </row>
    <row r="429" spans="1:26" ht="12.75">
      <c r="A429" s="25"/>
      <c r="B429" s="25"/>
      <c r="C429" s="25"/>
      <c r="D429" s="26"/>
      <c r="E429" s="26"/>
      <c r="F429" s="26"/>
      <c r="G429" s="26"/>
      <c r="H429" s="25"/>
      <c r="I429" s="26"/>
      <c r="J429" s="25"/>
      <c r="K429" s="25"/>
      <c r="L429" s="26"/>
      <c r="M429" s="25"/>
      <c r="N429" s="25"/>
      <c r="O429" s="26"/>
      <c r="P429" s="26"/>
      <c r="Q429" s="26"/>
      <c r="R429" s="26"/>
      <c r="S429" s="25"/>
      <c r="T429" s="26"/>
      <c r="U429" s="26"/>
      <c r="V429" s="25"/>
      <c r="W429" s="25"/>
      <c r="X429" s="26"/>
      <c r="Y429" s="25"/>
      <c r="Z429" s="10"/>
    </row>
    <row r="430" spans="1:26" ht="12.75">
      <c r="A430" s="25"/>
      <c r="B430" s="25"/>
      <c r="C430" s="25"/>
      <c r="D430" s="26"/>
      <c r="E430" s="26"/>
      <c r="F430" s="26"/>
      <c r="G430" s="26"/>
      <c r="H430" s="25"/>
      <c r="I430" s="26"/>
      <c r="J430" s="25"/>
      <c r="K430" s="25"/>
      <c r="L430" s="26"/>
      <c r="M430" s="25"/>
      <c r="N430" s="25"/>
      <c r="O430" s="26"/>
      <c r="P430" s="26"/>
      <c r="Q430" s="26"/>
      <c r="R430" s="26"/>
      <c r="S430" s="25"/>
      <c r="T430" s="26"/>
      <c r="U430" s="26"/>
      <c r="V430" s="25"/>
      <c r="W430" s="25"/>
      <c r="X430" s="26"/>
      <c r="Y430" s="25"/>
      <c r="Z430" s="10"/>
    </row>
    <row r="431" spans="1:26" ht="12.75">
      <c r="A431" s="25"/>
      <c r="B431" s="25"/>
      <c r="C431" s="25"/>
      <c r="D431" s="26"/>
      <c r="E431" s="26"/>
      <c r="F431" s="26"/>
      <c r="G431" s="26"/>
      <c r="H431" s="25"/>
      <c r="I431" s="26"/>
      <c r="J431" s="25"/>
      <c r="K431" s="25"/>
      <c r="L431" s="26"/>
      <c r="M431" s="25"/>
      <c r="N431" s="25"/>
      <c r="O431" s="26"/>
      <c r="P431" s="26"/>
      <c r="Q431" s="26"/>
      <c r="R431" s="26"/>
      <c r="S431" s="25"/>
      <c r="T431" s="26"/>
      <c r="U431" s="26"/>
      <c r="V431" s="25"/>
      <c r="W431" s="25"/>
      <c r="X431" s="26"/>
      <c r="Y431" s="25"/>
      <c r="Z431" s="10"/>
    </row>
    <row r="432" spans="1:26" ht="12.75">
      <c r="A432" s="25"/>
      <c r="B432" s="25"/>
      <c r="C432" s="25"/>
      <c r="D432" s="26"/>
      <c r="E432" s="26"/>
      <c r="F432" s="26"/>
      <c r="G432" s="26"/>
      <c r="H432" s="25"/>
      <c r="I432" s="26"/>
      <c r="J432" s="25"/>
      <c r="K432" s="25"/>
      <c r="L432" s="26"/>
      <c r="M432" s="25"/>
      <c r="N432" s="25"/>
      <c r="O432" s="26"/>
      <c r="P432" s="26"/>
      <c r="Q432" s="26"/>
      <c r="R432" s="26"/>
      <c r="S432" s="25"/>
      <c r="T432" s="26"/>
      <c r="U432" s="26"/>
      <c r="V432" s="25"/>
      <c r="W432" s="25"/>
      <c r="X432" s="26"/>
      <c r="Y432" s="25"/>
      <c r="Z432" s="10"/>
    </row>
    <row r="433" spans="1:26" ht="12.75">
      <c r="A433" s="25"/>
      <c r="B433" s="25"/>
      <c r="C433" s="25"/>
      <c r="D433" s="26"/>
      <c r="E433" s="26"/>
      <c r="F433" s="26"/>
      <c r="G433" s="26"/>
      <c r="H433" s="25"/>
      <c r="I433" s="26"/>
      <c r="J433" s="25"/>
      <c r="K433" s="25"/>
      <c r="L433" s="26"/>
      <c r="M433" s="25"/>
      <c r="N433" s="25"/>
      <c r="O433" s="26"/>
      <c r="P433" s="26"/>
      <c r="Q433" s="26"/>
      <c r="R433" s="26"/>
      <c r="S433" s="25"/>
      <c r="T433" s="26"/>
      <c r="U433" s="26"/>
      <c r="V433" s="25"/>
      <c r="W433" s="25"/>
      <c r="X433" s="26"/>
      <c r="Y433" s="25"/>
      <c r="Z433" s="10"/>
    </row>
    <row r="434" spans="1:26" ht="12.75">
      <c r="A434" s="25"/>
      <c r="B434" s="25"/>
      <c r="C434" s="25"/>
      <c r="D434" s="26"/>
      <c r="E434" s="26"/>
      <c r="F434" s="26"/>
      <c r="G434" s="26"/>
      <c r="H434" s="25"/>
      <c r="I434" s="26"/>
      <c r="J434" s="25"/>
      <c r="K434" s="25"/>
      <c r="L434" s="26"/>
      <c r="M434" s="25"/>
      <c r="N434" s="25"/>
      <c r="O434" s="26"/>
      <c r="P434" s="26"/>
      <c r="Q434" s="26"/>
      <c r="R434" s="26"/>
      <c r="S434" s="25"/>
      <c r="T434" s="26"/>
      <c r="U434" s="26"/>
      <c r="V434" s="25"/>
      <c r="W434" s="25"/>
      <c r="X434" s="26"/>
      <c r="Y434" s="25"/>
      <c r="Z434" s="10"/>
    </row>
    <row r="435" spans="1:26" ht="12.75">
      <c r="A435" s="25"/>
      <c r="B435" s="25"/>
      <c r="C435" s="25"/>
      <c r="D435" s="26"/>
      <c r="E435" s="26"/>
      <c r="F435" s="26"/>
      <c r="G435" s="26"/>
      <c r="H435" s="25"/>
      <c r="I435" s="26"/>
      <c r="J435" s="25"/>
      <c r="K435" s="25"/>
      <c r="L435" s="26"/>
      <c r="M435" s="25"/>
      <c r="N435" s="25"/>
      <c r="O435" s="26"/>
      <c r="P435" s="26"/>
      <c r="Q435" s="26"/>
      <c r="R435" s="26"/>
      <c r="S435" s="25"/>
      <c r="T435" s="26"/>
      <c r="U435" s="26"/>
      <c r="V435" s="25"/>
      <c r="W435" s="25"/>
      <c r="X435" s="26"/>
      <c r="Y435" s="25"/>
      <c r="Z435" s="10"/>
    </row>
    <row r="436" spans="1:26" ht="12.75">
      <c r="A436" s="25"/>
      <c r="B436" s="25"/>
      <c r="C436" s="25"/>
      <c r="D436" s="26"/>
      <c r="E436" s="26"/>
      <c r="F436" s="26"/>
      <c r="G436" s="26"/>
      <c r="H436" s="25"/>
      <c r="I436" s="26"/>
      <c r="J436" s="25"/>
      <c r="K436" s="25"/>
      <c r="L436" s="26"/>
      <c r="M436" s="25"/>
      <c r="N436" s="25"/>
      <c r="O436" s="26"/>
      <c r="P436" s="26"/>
      <c r="Q436" s="26"/>
      <c r="R436" s="26"/>
      <c r="S436" s="25"/>
      <c r="T436" s="26"/>
      <c r="U436" s="26"/>
      <c r="V436" s="25"/>
      <c r="W436" s="25"/>
      <c r="X436" s="26"/>
      <c r="Y436" s="25"/>
      <c r="Z436" s="10"/>
    </row>
    <row r="437" spans="1:26" ht="12.75">
      <c r="A437" s="25"/>
      <c r="B437" s="25"/>
      <c r="C437" s="25"/>
      <c r="D437" s="26"/>
      <c r="E437" s="26"/>
      <c r="F437" s="26"/>
      <c r="G437" s="26"/>
      <c r="H437" s="25"/>
      <c r="I437" s="26"/>
      <c r="J437" s="25"/>
      <c r="K437" s="25"/>
      <c r="L437" s="26"/>
      <c r="M437" s="25"/>
      <c r="N437" s="25"/>
      <c r="O437" s="26"/>
      <c r="P437" s="26"/>
      <c r="Q437" s="26"/>
      <c r="R437" s="26"/>
      <c r="S437" s="25"/>
      <c r="T437" s="26"/>
      <c r="U437" s="26"/>
      <c r="V437" s="25"/>
      <c r="W437" s="25"/>
      <c r="X437" s="26"/>
      <c r="Y437" s="25"/>
      <c r="Z437" s="10"/>
    </row>
    <row r="438" spans="1:26" ht="12.75">
      <c r="A438" s="25"/>
      <c r="B438" s="25"/>
      <c r="C438" s="25"/>
      <c r="D438" s="26"/>
      <c r="E438" s="26"/>
      <c r="F438" s="26"/>
      <c r="G438" s="26"/>
      <c r="H438" s="25"/>
      <c r="I438" s="26"/>
      <c r="J438" s="25"/>
      <c r="K438" s="25"/>
      <c r="L438" s="26"/>
      <c r="M438" s="25"/>
      <c r="N438" s="25"/>
      <c r="O438" s="26"/>
      <c r="P438" s="26"/>
      <c r="Q438" s="26"/>
      <c r="R438" s="26"/>
      <c r="S438" s="25"/>
      <c r="T438" s="26"/>
      <c r="U438" s="26"/>
      <c r="V438" s="25"/>
      <c r="W438" s="25"/>
      <c r="X438" s="26"/>
      <c r="Y438" s="25"/>
      <c r="Z438" s="10"/>
    </row>
    <row r="439" spans="1:26" ht="12.75">
      <c r="A439" s="25"/>
      <c r="B439" s="25"/>
      <c r="C439" s="25"/>
      <c r="D439" s="26"/>
      <c r="E439" s="26"/>
      <c r="F439" s="26"/>
      <c r="G439" s="26"/>
      <c r="H439" s="25"/>
      <c r="I439" s="26"/>
      <c r="J439" s="25"/>
      <c r="K439" s="25"/>
      <c r="L439" s="26"/>
      <c r="M439" s="25"/>
      <c r="N439" s="25"/>
      <c r="O439" s="26"/>
      <c r="P439" s="26"/>
      <c r="Q439" s="26"/>
      <c r="R439" s="26"/>
      <c r="S439" s="25"/>
      <c r="T439" s="26"/>
      <c r="U439" s="26"/>
      <c r="V439" s="25"/>
      <c r="W439" s="25"/>
      <c r="X439" s="26"/>
      <c r="Y439" s="25"/>
      <c r="Z439" s="10"/>
    </row>
    <row r="440" spans="1:26" ht="12.75">
      <c r="A440" s="25"/>
      <c r="B440" s="25"/>
      <c r="C440" s="25"/>
      <c r="D440" s="26"/>
      <c r="E440" s="26"/>
      <c r="F440" s="26"/>
      <c r="G440" s="26"/>
      <c r="H440" s="25"/>
      <c r="I440" s="26"/>
      <c r="J440" s="25"/>
      <c r="K440" s="25"/>
      <c r="L440" s="26"/>
      <c r="M440" s="25"/>
      <c r="N440" s="25"/>
      <c r="O440" s="26"/>
      <c r="P440" s="26"/>
      <c r="Q440" s="26"/>
      <c r="R440" s="26"/>
      <c r="S440" s="25"/>
      <c r="T440" s="26"/>
      <c r="U440" s="26"/>
      <c r="V440" s="25"/>
      <c r="W440" s="25"/>
      <c r="X440" s="26"/>
      <c r="Y440" s="25"/>
      <c r="Z440" s="10"/>
    </row>
    <row r="441" spans="1:26" ht="12.75">
      <c r="A441" s="25"/>
      <c r="B441" s="25"/>
      <c r="C441" s="25"/>
      <c r="D441" s="26"/>
      <c r="E441" s="26"/>
      <c r="F441" s="26"/>
      <c r="G441" s="26"/>
      <c r="H441" s="25"/>
      <c r="I441" s="26"/>
      <c r="J441" s="25"/>
      <c r="K441" s="25"/>
      <c r="L441" s="26"/>
      <c r="M441" s="25"/>
      <c r="N441" s="25"/>
      <c r="O441" s="26"/>
      <c r="P441" s="26"/>
      <c r="Q441" s="26"/>
      <c r="R441" s="26"/>
      <c r="S441" s="25"/>
      <c r="T441" s="26"/>
      <c r="U441" s="26"/>
      <c r="V441" s="25"/>
      <c r="W441" s="25"/>
      <c r="X441" s="26"/>
      <c r="Y441" s="25"/>
      <c r="Z441" s="10"/>
    </row>
    <row r="442" spans="1:26" ht="12.75">
      <c r="A442" s="25"/>
      <c r="B442" s="25"/>
      <c r="C442" s="25"/>
      <c r="D442" s="26"/>
      <c r="E442" s="26"/>
      <c r="F442" s="26"/>
      <c r="G442" s="26"/>
      <c r="H442" s="25"/>
      <c r="I442" s="26"/>
      <c r="J442" s="25"/>
      <c r="K442" s="25"/>
      <c r="L442" s="26"/>
      <c r="M442" s="25"/>
      <c r="N442" s="25"/>
      <c r="O442" s="26"/>
      <c r="P442" s="26"/>
      <c r="Q442" s="26"/>
      <c r="R442" s="26"/>
      <c r="S442" s="25"/>
      <c r="T442" s="26"/>
      <c r="U442" s="26"/>
      <c r="V442" s="25"/>
      <c r="W442" s="25"/>
      <c r="X442" s="26"/>
      <c r="Y442" s="25"/>
      <c r="Z442" s="10"/>
    </row>
    <row r="443" spans="1:26" ht="12.75">
      <c r="A443" s="25"/>
      <c r="B443" s="25"/>
      <c r="C443" s="25"/>
      <c r="D443" s="26"/>
      <c r="E443" s="26"/>
      <c r="F443" s="26"/>
      <c r="G443" s="26"/>
      <c r="H443" s="25"/>
      <c r="I443" s="26"/>
      <c r="J443" s="25"/>
      <c r="K443" s="25"/>
      <c r="L443" s="26"/>
      <c r="M443" s="25"/>
      <c r="N443" s="25"/>
      <c r="O443" s="26"/>
      <c r="P443" s="26"/>
      <c r="Q443" s="26"/>
      <c r="R443" s="26"/>
      <c r="S443" s="25"/>
      <c r="T443" s="26"/>
      <c r="U443" s="26"/>
      <c r="V443" s="25"/>
      <c r="W443" s="25"/>
      <c r="X443" s="26"/>
      <c r="Y443" s="25"/>
      <c r="Z443" s="10"/>
    </row>
    <row r="444" spans="1:26" ht="12.75">
      <c r="A444" s="25"/>
      <c r="B444" s="25"/>
      <c r="C444" s="25"/>
      <c r="D444" s="26"/>
      <c r="E444" s="26"/>
      <c r="F444" s="26"/>
      <c r="G444" s="26"/>
      <c r="H444" s="25"/>
      <c r="I444" s="26"/>
      <c r="J444" s="25"/>
      <c r="K444" s="25"/>
      <c r="L444" s="26"/>
      <c r="M444" s="25"/>
      <c r="N444" s="25"/>
      <c r="O444" s="26"/>
      <c r="P444" s="26"/>
      <c r="Q444" s="26"/>
      <c r="R444" s="26"/>
      <c r="S444" s="25"/>
      <c r="T444" s="26"/>
      <c r="U444" s="26"/>
      <c r="V444" s="25"/>
      <c r="W444" s="25"/>
      <c r="X444" s="26"/>
      <c r="Y444" s="25"/>
      <c r="Z444" s="10"/>
    </row>
    <row r="445" spans="1:26" ht="12.75">
      <c r="A445" s="25"/>
      <c r="B445" s="25"/>
      <c r="C445" s="25"/>
      <c r="D445" s="26"/>
      <c r="E445" s="26"/>
      <c r="F445" s="26"/>
      <c r="G445" s="26"/>
      <c r="H445" s="25"/>
      <c r="I445" s="26"/>
      <c r="J445" s="25"/>
      <c r="K445" s="25"/>
      <c r="L445" s="26"/>
      <c r="M445" s="25"/>
      <c r="N445" s="25"/>
      <c r="O445" s="26"/>
      <c r="P445" s="26"/>
      <c r="Q445" s="26"/>
      <c r="R445" s="26"/>
      <c r="S445" s="25"/>
      <c r="T445" s="26"/>
      <c r="U445" s="26"/>
      <c r="V445" s="25"/>
      <c r="W445" s="25"/>
      <c r="X445" s="26"/>
      <c r="Y445" s="25"/>
      <c r="Z445" s="10"/>
    </row>
    <row r="446" spans="1:26" ht="12.75">
      <c r="A446" s="25"/>
      <c r="B446" s="25"/>
      <c r="C446" s="25"/>
      <c r="D446" s="26"/>
      <c r="E446" s="26"/>
      <c r="F446" s="26"/>
      <c r="G446" s="26"/>
      <c r="H446" s="25"/>
      <c r="I446" s="26"/>
      <c r="J446" s="25"/>
      <c r="K446" s="25"/>
      <c r="L446" s="26"/>
      <c r="M446" s="25"/>
      <c r="N446" s="25"/>
      <c r="O446" s="26"/>
      <c r="P446" s="26"/>
      <c r="Q446" s="26"/>
      <c r="R446" s="26"/>
      <c r="S446" s="25"/>
      <c r="T446" s="26"/>
      <c r="U446" s="26"/>
      <c r="V446" s="25"/>
      <c r="W446" s="25"/>
      <c r="X446" s="26"/>
      <c r="Y446" s="25"/>
      <c r="Z446" s="10"/>
    </row>
    <row r="447" spans="1:26" ht="12.75">
      <c r="A447" s="25"/>
      <c r="B447" s="25"/>
      <c r="C447" s="25"/>
      <c r="D447" s="26"/>
      <c r="E447" s="26"/>
      <c r="F447" s="26"/>
      <c r="G447" s="26"/>
      <c r="H447" s="25"/>
      <c r="I447" s="26"/>
      <c r="J447" s="25"/>
      <c r="K447" s="25"/>
      <c r="L447" s="26"/>
      <c r="M447" s="25"/>
      <c r="N447" s="25"/>
      <c r="O447" s="26"/>
      <c r="P447" s="26"/>
      <c r="Q447" s="26"/>
      <c r="R447" s="26"/>
      <c r="S447" s="25"/>
      <c r="T447" s="26"/>
      <c r="U447" s="26"/>
      <c r="V447" s="25"/>
      <c r="W447" s="25"/>
      <c r="X447" s="26"/>
      <c r="Y447" s="25"/>
      <c r="Z447" s="10"/>
    </row>
    <row r="448" spans="1:26" ht="12.75">
      <c r="A448" s="25"/>
      <c r="B448" s="25"/>
      <c r="C448" s="25"/>
      <c r="D448" s="26"/>
      <c r="E448" s="26"/>
      <c r="F448" s="26"/>
      <c r="G448" s="26"/>
      <c r="H448" s="25"/>
      <c r="I448" s="26"/>
      <c r="J448" s="25"/>
      <c r="K448" s="25"/>
      <c r="L448" s="26"/>
      <c r="M448" s="25"/>
      <c r="N448" s="25"/>
      <c r="O448" s="26"/>
      <c r="P448" s="26"/>
      <c r="Q448" s="26"/>
      <c r="R448" s="26"/>
      <c r="S448" s="25"/>
      <c r="T448" s="26"/>
      <c r="U448" s="26"/>
      <c r="V448" s="25"/>
      <c r="W448" s="25"/>
      <c r="X448" s="26"/>
      <c r="Y448" s="25"/>
      <c r="Z448" s="10"/>
    </row>
    <row r="449" spans="1:26" ht="12.75">
      <c r="A449" s="25"/>
      <c r="B449" s="25"/>
      <c r="C449" s="25"/>
      <c r="D449" s="26"/>
      <c r="E449" s="26"/>
      <c r="F449" s="26"/>
      <c r="G449" s="26"/>
      <c r="H449" s="25"/>
      <c r="I449" s="26"/>
      <c r="J449" s="25"/>
      <c r="K449" s="25"/>
      <c r="L449" s="26"/>
      <c r="M449" s="25"/>
      <c r="N449" s="25"/>
      <c r="O449" s="26"/>
      <c r="P449" s="26"/>
      <c r="Q449" s="26"/>
      <c r="R449" s="26"/>
      <c r="S449" s="25"/>
      <c r="T449" s="26"/>
      <c r="U449" s="26"/>
      <c r="V449" s="25"/>
      <c r="W449" s="25"/>
      <c r="X449" s="26"/>
      <c r="Y449" s="25"/>
      <c r="Z449" s="10"/>
    </row>
    <row r="450" spans="1:26" ht="12.75">
      <c r="A450" s="25"/>
      <c r="B450" s="25"/>
      <c r="C450" s="25"/>
      <c r="D450" s="26"/>
      <c r="E450" s="26"/>
      <c r="F450" s="26"/>
      <c r="G450" s="26"/>
      <c r="H450" s="25"/>
      <c r="I450" s="26"/>
      <c r="J450" s="25"/>
      <c r="K450" s="25"/>
      <c r="L450" s="26"/>
      <c r="M450" s="25"/>
      <c r="N450" s="25"/>
      <c r="O450" s="26"/>
      <c r="P450" s="26"/>
      <c r="Q450" s="26"/>
      <c r="R450" s="26"/>
      <c r="S450" s="25"/>
      <c r="T450" s="26"/>
      <c r="U450" s="26"/>
      <c r="V450" s="25"/>
      <c r="W450" s="25"/>
      <c r="X450" s="26"/>
      <c r="Y450" s="25"/>
      <c r="Z450" s="10"/>
    </row>
    <row r="451" spans="1:26" ht="12.75">
      <c r="A451" s="25"/>
      <c r="B451" s="25"/>
      <c r="C451" s="25"/>
      <c r="D451" s="26"/>
      <c r="E451" s="26"/>
      <c r="F451" s="26"/>
      <c r="G451" s="26"/>
      <c r="H451" s="25"/>
      <c r="I451" s="26"/>
      <c r="J451" s="25"/>
      <c r="K451" s="25"/>
      <c r="L451" s="26"/>
      <c r="M451" s="25"/>
      <c r="N451" s="25"/>
      <c r="O451" s="26"/>
      <c r="P451" s="26"/>
      <c r="Q451" s="26"/>
      <c r="R451" s="26"/>
      <c r="S451" s="25"/>
      <c r="T451" s="26"/>
      <c r="U451" s="26"/>
      <c r="V451" s="25"/>
      <c r="W451" s="25"/>
      <c r="X451" s="26"/>
      <c r="Y451" s="25"/>
      <c r="Z451" s="10"/>
    </row>
    <row r="452" spans="1:26" ht="12.75">
      <c r="A452" s="25"/>
      <c r="B452" s="25"/>
      <c r="C452" s="25"/>
      <c r="D452" s="26"/>
      <c r="E452" s="26"/>
      <c r="F452" s="26"/>
      <c r="G452" s="26"/>
      <c r="H452" s="25"/>
      <c r="I452" s="26"/>
      <c r="J452" s="25"/>
      <c r="K452" s="25"/>
      <c r="L452" s="26"/>
      <c r="M452" s="25"/>
      <c r="N452" s="25"/>
      <c r="O452" s="26"/>
      <c r="P452" s="26"/>
      <c r="Q452" s="26"/>
      <c r="R452" s="26"/>
      <c r="S452" s="25"/>
      <c r="T452" s="26"/>
      <c r="U452" s="26"/>
      <c r="V452" s="25"/>
      <c r="W452" s="25"/>
      <c r="X452" s="26"/>
      <c r="Y452" s="25"/>
      <c r="Z452" s="10"/>
    </row>
    <row r="453" spans="1:26" ht="12.75">
      <c r="A453" s="25"/>
      <c r="B453" s="25"/>
      <c r="C453" s="25"/>
      <c r="D453" s="26"/>
      <c r="E453" s="26"/>
      <c r="F453" s="26"/>
      <c r="G453" s="26"/>
      <c r="H453" s="25"/>
      <c r="I453" s="26"/>
      <c r="J453" s="25"/>
      <c r="K453" s="25"/>
      <c r="L453" s="26"/>
      <c r="M453" s="25"/>
      <c r="N453" s="25"/>
      <c r="O453" s="26"/>
      <c r="P453" s="26"/>
      <c r="Q453" s="26"/>
      <c r="R453" s="26"/>
      <c r="S453" s="25"/>
      <c r="T453" s="26"/>
      <c r="U453" s="26"/>
      <c r="V453" s="25"/>
      <c r="W453" s="25"/>
      <c r="X453" s="26"/>
      <c r="Y453" s="25"/>
      <c r="Z453" s="10"/>
    </row>
    <row r="454" spans="1:26" ht="12.75">
      <c r="A454" s="25"/>
      <c r="B454" s="25"/>
      <c r="C454" s="25"/>
      <c r="D454" s="26"/>
      <c r="E454" s="26"/>
      <c r="F454" s="26"/>
      <c r="G454" s="26"/>
      <c r="H454" s="25"/>
      <c r="I454" s="26"/>
      <c r="J454" s="25"/>
      <c r="K454" s="25"/>
      <c r="L454" s="26"/>
      <c r="M454" s="25"/>
      <c r="N454" s="25"/>
      <c r="O454" s="26"/>
      <c r="P454" s="26"/>
      <c r="Q454" s="26"/>
      <c r="R454" s="26"/>
      <c r="S454" s="25"/>
      <c r="T454" s="26"/>
      <c r="U454" s="26"/>
      <c r="V454" s="25"/>
      <c r="W454" s="25"/>
      <c r="X454" s="26"/>
      <c r="Y454" s="25"/>
      <c r="Z454" s="10"/>
    </row>
    <row r="455" spans="1:26" ht="12.75">
      <c r="A455" s="25"/>
      <c r="B455" s="25"/>
      <c r="C455" s="25"/>
      <c r="D455" s="26"/>
      <c r="E455" s="26"/>
      <c r="F455" s="26"/>
      <c r="G455" s="26"/>
      <c r="H455" s="25"/>
      <c r="I455" s="26"/>
      <c r="J455" s="25"/>
      <c r="K455" s="25"/>
      <c r="L455" s="26"/>
      <c r="M455" s="25"/>
      <c r="N455" s="25"/>
      <c r="O455" s="26"/>
      <c r="P455" s="26"/>
      <c r="Q455" s="26"/>
      <c r="R455" s="26"/>
      <c r="S455" s="25"/>
      <c r="T455" s="26"/>
      <c r="U455" s="26"/>
      <c r="V455" s="25"/>
      <c r="W455" s="25"/>
      <c r="X455" s="26"/>
      <c r="Y455" s="25"/>
      <c r="Z455" s="10"/>
    </row>
    <row r="456" spans="1:26" ht="12.75">
      <c r="A456" s="25"/>
      <c r="B456" s="25"/>
      <c r="C456" s="25"/>
      <c r="D456" s="26"/>
      <c r="E456" s="26"/>
      <c r="F456" s="26"/>
      <c r="G456" s="26"/>
      <c r="H456" s="25"/>
      <c r="I456" s="26"/>
      <c r="J456" s="25"/>
      <c r="K456" s="25"/>
      <c r="L456" s="26"/>
      <c r="M456" s="25"/>
      <c r="N456" s="25"/>
      <c r="O456" s="26"/>
      <c r="P456" s="26"/>
      <c r="Q456" s="26"/>
      <c r="R456" s="26"/>
      <c r="S456" s="25"/>
      <c r="T456" s="26"/>
      <c r="U456" s="26"/>
      <c r="V456" s="25"/>
      <c r="W456" s="25"/>
      <c r="X456" s="26"/>
      <c r="Y456" s="25"/>
      <c r="Z456" s="10"/>
    </row>
    <row r="457" spans="1:26" ht="12.75">
      <c r="A457" s="25"/>
      <c r="B457" s="25"/>
      <c r="C457" s="25"/>
      <c r="D457" s="26"/>
      <c r="E457" s="26"/>
      <c r="F457" s="26"/>
      <c r="G457" s="26"/>
      <c r="H457" s="25"/>
      <c r="I457" s="26"/>
      <c r="J457" s="25"/>
      <c r="K457" s="25"/>
      <c r="L457" s="26"/>
      <c r="M457" s="25"/>
      <c r="N457" s="25"/>
      <c r="O457" s="26"/>
      <c r="P457" s="26"/>
      <c r="Q457" s="26"/>
      <c r="R457" s="26"/>
      <c r="S457" s="25"/>
      <c r="T457" s="26"/>
      <c r="U457" s="26"/>
      <c r="V457" s="25"/>
      <c r="W457" s="25"/>
      <c r="X457" s="26"/>
      <c r="Y457" s="25"/>
      <c r="Z457" s="10"/>
    </row>
    <row r="458" spans="1:26" ht="12.75">
      <c r="A458" s="25"/>
      <c r="B458" s="25"/>
      <c r="C458" s="25"/>
      <c r="D458" s="26"/>
      <c r="E458" s="26"/>
      <c r="F458" s="26"/>
      <c r="G458" s="26"/>
      <c r="H458" s="25"/>
      <c r="I458" s="26"/>
      <c r="J458" s="25"/>
      <c r="K458" s="25"/>
      <c r="L458" s="26"/>
      <c r="M458" s="25"/>
      <c r="N458" s="25"/>
      <c r="O458" s="26"/>
      <c r="P458" s="26"/>
      <c r="Q458" s="26"/>
      <c r="R458" s="26"/>
      <c r="S458" s="25"/>
      <c r="T458" s="26"/>
      <c r="U458" s="26"/>
      <c r="V458" s="25"/>
      <c r="W458" s="25"/>
      <c r="X458" s="26"/>
      <c r="Y458" s="25"/>
      <c r="Z458" s="10"/>
    </row>
    <row r="459" spans="1:26" ht="12.75">
      <c r="A459" s="25"/>
      <c r="B459" s="25"/>
      <c r="C459" s="25"/>
      <c r="D459" s="26"/>
      <c r="E459" s="26"/>
      <c r="F459" s="26"/>
      <c r="G459" s="26"/>
      <c r="H459" s="25"/>
      <c r="I459" s="26"/>
      <c r="J459" s="25"/>
      <c r="K459" s="25"/>
      <c r="L459" s="26"/>
      <c r="M459" s="25"/>
      <c r="N459" s="25"/>
      <c r="O459" s="26"/>
      <c r="P459" s="26"/>
      <c r="Q459" s="26"/>
      <c r="R459" s="26"/>
      <c r="S459" s="25"/>
      <c r="T459" s="26"/>
      <c r="U459" s="26"/>
      <c r="V459" s="25"/>
      <c r="W459" s="25"/>
      <c r="X459" s="26"/>
      <c r="Y459" s="25"/>
      <c r="Z459" s="10"/>
    </row>
    <row r="460" spans="1:26" ht="12.75">
      <c r="A460" s="25"/>
      <c r="B460" s="25"/>
      <c r="C460" s="25"/>
      <c r="D460" s="26"/>
      <c r="E460" s="26"/>
      <c r="F460" s="26"/>
      <c r="G460" s="26"/>
      <c r="H460" s="25"/>
      <c r="I460" s="26"/>
      <c r="J460" s="25"/>
      <c r="K460" s="25"/>
      <c r="L460" s="26"/>
      <c r="M460" s="25"/>
      <c r="N460" s="25"/>
      <c r="O460" s="26"/>
      <c r="P460" s="26"/>
      <c r="Q460" s="26"/>
      <c r="R460" s="26"/>
      <c r="S460" s="25"/>
      <c r="T460" s="26"/>
      <c r="U460" s="26"/>
      <c r="V460" s="25"/>
      <c r="W460" s="25"/>
      <c r="X460" s="26"/>
      <c r="Y460" s="25"/>
      <c r="Z460" s="10"/>
    </row>
    <row r="461" spans="1:26" ht="12.75">
      <c r="A461" s="25"/>
      <c r="B461" s="25"/>
      <c r="C461" s="25"/>
      <c r="D461" s="26"/>
      <c r="E461" s="26"/>
      <c r="F461" s="26"/>
      <c r="G461" s="26"/>
      <c r="H461" s="25"/>
      <c r="I461" s="26"/>
      <c r="J461" s="25"/>
      <c r="K461" s="25"/>
      <c r="L461" s="26"/>
      <c r="M461" s="25"/>
      <c r="N461" s="25"/>
      <c r="O461" s="26"/>
      <c r="P461" s="26"/>
      <c r="Q461" s="26"/>
      <c r="R461" s="26"/>
      <c r="S461" s="25"/>
      <c r="T461" s="26"/>
      <c r="U461" s="26"/>
      <c r="V461" s="25"/>
      <c r="W461" s="25"/>
      <c r="X461" s="26"/>
      <c r="Y461" s="25"/>
      <c r="Z461" s="10"/>
    </row>
    <row r="462" spans="1:26" ht="12.75">
      <c r="A462" s="25"/>
      <c r="B462" s="25"/>
      <c r="C462" s="25"/>
      <c r="D462" s="26"/>
      <c r="E462" s="26"/>
      <c r="F462" s="26"/>
      <c r="G462" s="26"/>
      <c r="H462" s="25"/>
      <c r="I462" s="26"/>
      <c r="J462" s="25"/>
      <c r="K462" s="25"/>
      <c r="L462" s="26"/>
      <c r="M462" s="25"/>
      <c r="N462" s="25"/>
      <c r="O462" s="26"/>
      <c r="P462" s="26"/>
      <c r="Q462" s="26"/>
      <c r="R462" s="26"/>
      <c r="S462" s="25"/>
      <c r="T462" s="26"/>
      <c r="U462" s="26"/>
      <c r="V462" s="25"/>
      <c r="W462" s="25"/>
      <c r="X462" s="26"/>
      <c r="Y462" s="25"/>
      <c r="Z462" s="10"/>
    </row>
    <row r="463" spans="1:26" ht="12.75">
      <c r="A463" s="25"/>
      <c r="B463" s="25"/>
      <c r="C463" s="25"/>
      <c r="D463" s="26"/>
      <c r="E463" s="26"/>
      <c r="F463" s="26"/>
      <c r="G463" s="26"/>
      <c r="H463" s="25"/>
      <c r="I463" s="26"/>
      <c r="J463" s="25"/>
      <c r="K463" s="25"/>
      <c r="L463" s="26"/>
      <c r="M463" s="25"/>
      <c r="N463" s="25"/>
      <c r="O463" s="26"/>
      <c r="P463" s="26"/>
      <c r="Q463" s="26"/>
      <c r="R463" s="26"/>
      <c r="S463" s="25"/>
      <c r="T463" s="26"/>
      <c r="U463" s="26"/>
      <c r="V463" s="25"/>
      <c r="W463" s="25"/>
      <c r="X463" s="26"/>
      <c r="Y463" s="25"/>
      <c r="Z463" s="10"/>
    </row>
    <row r="464" spans="1:26" ht="12.75">
      <c r="A464" s="25"/>
      <c r="B464" s="25"/>
      <c r="C464" s="25"/>
      <c r="D464" s="26"/>
      <c r="E464" s="26"/>
      <c r="F464" s="26"/>
      <c r="G464" s="26"/>
      <c r="H464" s="25"/>
      <c r="I464" s="26"/>
      <c r="J464" s="25"/>
      <c r="K464" s="25"/>
      <c r="L464" s="26"/>
      <c r="M464" s="25"/>
      <c r="N464" s="25"/>
      <c r="O464" s="26"/>
      <c r="P464" s="26"/>
      <c r="Q464" s="26"/>
      <c r="R464" s="26"/>
      <c r="S464" s="25"/>
      <c r="T464" s="26"/>
      <c r="U464" s="26"/>
      <c r="V464" s="25"/>
      <c r="W464" s="25"/>
      <c r="X464" s="26"/>
      <c r="Y464" s="25"/>
      <c r="Z464" s="10"/>
    </row>
    <row r="465" spans="1:26" ht="12.75">
      <c r="A465" s="25"/>
      <c r="B465" s="25"/>
      <c r="C465" s="25"/>
      <c r="D465" s="26"/>
      <c r="E465" s="26"/>
      <c r="F465" s="26"/>
      <c r="G465" s="26"/>
      <c r="H465" s="25"/>
      <c r="I465" s="26"/>
      <c r="J465" s="25"/>
      <c r="K465" s="25"/>
      <c r="L465" s="26"/>
      <c r="M465" s="25"/>
      <c r="N465" s="25"/>
      <c r="O465" s="26"/>
      <c r="P465" s="26"/>
      <c r="Q465" s="26"/>
      <c r="R465" s="26"/>
      <c r="S465" s="25"/>
      <c r="T465" s="26"/>
      <c r="U465" s="26"/>
      <c r="V465" s="25"/>
      <c r="W465" s="25"/>
      <c r="X465" s="26"/>
      <c r="Y465" s="25"/>
      <c r="Z465" s="10"/>
    </row>
    <row r="466" spans="1:26" ht="12.75">
      <c r="A466" s="25"/>
      <c r="B466" s="25"/>
      <c r="C466" s="25"/>
      <c r="D466" s="26"/>
      <c r="E466" s="26"/>
      <c r="F466" s="26"/>
      <c r="G466" s="26"/>
      <c r="H466" s="25"/>
      <c r="I466" s="26"/>
      <c r="J466" s="25"/>
      <c r="K466" s="25"/>
      <c r="L466" s="26"/>
      <c r="M466" s="25"/>
      <c r="N466" s="25"/>
      <c r="O466" s="26"/>
      <c r="P466" s="26"/>
      <c r="Q466" s="26"/>
      <c r="R466" s="26"/>
      <c r="S466" s="25"/>
      <c r="T466" s="26"/>
      <c r="U466" s="26"/>
      <c r="V466" s="25"/>
      <c r="W466" s="25"/>
      <c r="X466" s="26"/>
      <c r="Y466" s="25"/>
      <c r="Z466" s="10"/>
    </row>
    <row r="467" spans="1:26" ht="12.75">
      <c r="A467" s="25"/>
      <c r="B467" s="25"/>
      <c r="C467" s="25"/>
      <c r="D467" s="26"/>
      <c r="E467" s="26"/>
      <c r="F467" s="26"/>
      <c r="G467" s="26"/>
      <c r="H467" s="25"/>
      <c r="I467" s="26"/>
      <c r="J467" s="25"/>
      <c r="K467" s="25"/>
      <c r="L467" s="26"/>
      <c r="M467" s="25"/>
      <c r="N467" s="25"/>
      <c r="O467" s="26"/>
      <c r="P467" s="26"/>
      <c r="Q467" s="26"/>
      <c r="R467" s="26"/>
      <c r="S467" s="25"/>
      <c r="T467" s="26"/>
      <c r="U467" s="26"/>
      <c r="V467" s="25"/>
      <c r="W467" s="25"/>
      <c r="X467" s="26"/>
      <c r="Y467" s="25"/>
      <c r="Z467" s="10"/>
    </row>
    <row r="468" spans="1:26" ht="12.75">
      <c r="A468" s="25"/>
      <c r="B468" s="25"/>
      <c r="C468" s="25"/>
      <c r="D468" s="26"/>
      <c r="E468" s="26"/>
      <c r="F468" s="26"/>
      <c r="G468" s="26"/>
      <c r="H468" s="25"/>
      <c r="I468" s="26"/>
      <c r="J468" s="25"/>
      <c r="K468" s="25"/>
      <c r="L468" s="26"/>
      <c r="M468" s="25"/>
      <c r="N468" s="25"/>
      <c r="O468" s="26"/>
      <c r="P468" s="26"/>
      <c r="Q468" s="26"/>
      <c r="R468" s="26"/>
      <c r="S468" s="25"/>
      <c r="T468" s="26"/>
      <c r="U468" s="26"/>
      <c r="V468" s="25"/>
      <c r="W468" s="25"/>
      <c r="X468" s="26"/>
      <c r="Y468" s="25"/>
      <c r="Z468" s="10"/>
    </row>
    <row r="469" spans="1:26" ht="12.75">
      <c r="A469" s="25"/>
      <c r="B469" s="25"/>
      <c r="C469" s="25"/>
      <c r="D469" s="26"/>
      <c r="E469" s="26"/>
      <c r="F469" s="26"/>
      <c r="G469" s="26"/>
      <c r="H469" s="25"/>
      <c r="I469" s="26"/>
      <c r="J469" s="25"/>
      <c r="K469" s="25"/>
      <c r="L469" s="26"/>
      <c r="M469" s="25"/>
      <c r="N469" s="25"/>
      <c r="O469" s="26"/>
      <c r="P469" s="26"/>
      <c r="Q469" s="26"/>
      <c r="R469" s="26"/>
      <c r="S469" s="25"/>
      <c r="T469" s="26"/>
      <c r="U469" s="26"/>
      <c r="V469" s="25"/>
      <c r="W469" s="25"/>
      <c r="X469" s="26"/>
      <c r="Y469" s="25"/>
      <c r="Z469" s="10"/>
    </row>
    <row r="470" spans="1:26" ht="12.75">
      <c r="A470" s="25"/>
      <c r="B470" s="25"/>
      <c r="C470" s="25"/>
      <c r="D470" s="26"/>
      <c r="E470" s="26"/>
      <c r="F470" s="26"/>
      <c r="G470" s="26"/>
      <c r="H470" s="25"/>
      <c r="I470" s="26"/>
      <c r="J470" s="25"/>
      <c r="K470" s="25"/>
      <c r="L470" s="26"/>
      <c r="M470" s="25"/>
      <c r="N470" s="25"/>
      <c r="O470" s="26"/>
      <c r="P470" s="26"/>
      <c r="Q470" s="26"/>
      <c r="R470" s="26"/>
      <c r="S470" s="25"/>
      <c r="T470" s="26"/>
      <c r="U470" s="26"/>
      <c r="V470" s="25"/>
      <c r="W470" s="25"/>
      <c r="X470" s="26"/>
      <c r="Y470" s="25"/>
      <c r="Z470" s="10"/>
    </row>
    <row r="471" spans="1:26" ht="12.75">
      <c r="A471" s="25"/>
      <c r="B471" s="25"/>
      <c r="C471" s="25"/>
      <c r="D471" s="26"/>
      <c r="E471" s="26"/>
      <c r="F471" s="26"/>
      <c r="G471" s="26"/>
      <c r="H471" s="25"/>
      <c r="I471" s="26"/>
      <c r="J471" s="25"/>
      <c r="K471" s="25"/>
      <c r="L471" s="26"/>
      <c r="M471" s="25"/>
      <c r="N471" s="25"/>
      <c r="O471" s="26"/>
      <c r="P471" s="26"/>
      <c r="Q471" s="26"/>
      <c r="R471" s="26"/>
      <c r="S471" s="25"/>
      <c r="T471" s="26"/>
      <c r="U471" s="26"/>
      <c r="V471" s="25"/>
      <c r="W471" s="25"/>
      <c r="X471" s="26"/>
      <c r="Y471" s="25"/>
      <c r="Z471" s="10"/>
    </row>
    <row r="472" spans="1:26" ht="12.75">
      <c r="A472" s="25"/>
      <c r="B472" s="25"/>
      <c r="C472" s="25"/>
      <c r="D472" s="26"/>
      <c r="E472" s="26"/>
      <c r="F472" s="26"/>
      <c r="G472" s="26"/>
      <c r="H472" s="25"/>
      <c r="I472" s="26"/>
      <c r="J472" s="25"/>
      <c r="K472" s="25"/>
      <c r="L472" s="26"/>
      <c r="M472" s="25"/>
      <c r="N472" s="25"/>
      <c r="O472" s="26"/>
      <c r="P472" s="26"/>
      <c r="Q472" s="26"/>
      <c r="R472" s="26"/>
      <c r="S472" s="25"/>
      <c r="T472" s="26"/>
      <c r="U472" s="26"/>
      <c r="V472" s="25"/>
      <c r="W472" s="25"/>
      <c r="X472" s="26"/>
      <c r="Y472" s="25"/>
      <c r="Z472" s="10"/>
    </row>
    <row r="473" spans="1:26" ht="12.75">
      <c r="A473" s="25"/>
      <c r="B473" s="25"/>
      <c r="C473" s="25"/>
      <c r="D473" s="26"/>
      <c r="E473" s="26"/>
      <c r="F473" s="26"/>
      <c r="G473" s="26"/>
      <c r="H473" s="25"/>
      <c r="I473" s="26"/>
      <c r="J473" s="25"/>
      <c r="K473" s="25"/>
      <c r="L473" s="26"/>
      <c r="M473" s="25"/>
      <c r="N473" s="25"/>
      <c r="O473" s="26"/>
      <c r="P473" s="26"/>
      <c r="Q473" s="26"/>
      <c r="R473" s="26"/>
      <c r="S473" s="25"/>
      <c r="T473" s="26"/>
      <c r="U473" s="26"/>
      <c r="V473" s="25"/>
      <c r="W473" s="25"/>
      <c r="X473" s="26"/>
      <c r="Y473" s="25"/>
      <c r="Z473" s="10"/>
    </row>
    <row r="474" spans="1:26" ht="12.75">
      <c r="A474" s="25"/>
      <c r="B474" s="25"/>
      <c r="C474" s="25"/>
      <c r="D474" s="26"/>
      <c r="E474" s="26"/>
      <c r="F474" s="26"/>
      <c r="G474" s="26"/>
      <c r="H474" s="25"/>
      <c r="I474" s="26"/>
      <c r="J474" s="25"/>
      <c r="K474" s="25"/>
      <c r="L474" s="26"/>
      <c r="M474" s="25"/>
      <c r="N474" s="25"/>
      <c r="O474" s="26"/>
      <c r="P474" s="26"/>
      <c r="Q474" s="26"/>
      <c r="R474" s="26"/>
      <c r="S474" s="25"/>
      <c r="T474" s="26"/>
      <c r="U474" s="26"/>
      <c r="V474" s="25"/>
      <c r="W474" s="25"/>
      <c r="X474" s="26"/>
      <c r="Y474" s="25"/>
      <c r="Z474" s="10"/>
    </row>
    <row r="475" spans="1:26" ht="12.75">
      <c r="A475" s="25"/>
      <c r="B475" s="25"/>
      <c r="C475" s="25"/>
      <c r="D475" s="26"/>
      <c r="E475" s="26"/>
      <c r="F475" s="26"/>
      <c r="G475" s="26"/>
      <c r="H475" s="25"/>
      <c r="I475" s="26"/>
      <c r="J475" s="25"/>
      <c r="K475" s="25"/>
      <c r="L475" s="26"/>
      <c r="M475" s="25"/>
      <c r="N475" s="25"/>
      <c r="O475" s="26"/>
      <c r="P475" s="26"/>
      <c r="Q475" s="26"/>
      <c r="R475" s="26"/>
      <c r="S475" s="25"/>
      <c r="T475" s="26"/>
      <c r="U475" s="26"/>
      <c r="V475" s="25"/>
      <c r="W475" s="25"/>
      <c r="X475" s="26"/>
      <c r="Y475" s="25"/>
      <c r="Z475" s="10"/>
    </row>
    <row r="476" spans="1:26" ht="12.75">
      <c r="A476" s="25"/>
      <c r="B476" s="25"/>
      <c r="C476" s="25"/>
      <c r="D476" s="26"/>
      <c r="E476" s="26"/>
      <c r="F476" s="26"/>
      <c r="G476" s="26"/>
      <c r="H476" s="25"/>
      <c r="I476" s="26"/>
      <c r="J476" s="25"/>
      <c r="K476" s="25"/>
      <c r="L476" s="26"/>
      <c r="M476" s="25"/>
      <c r="N476" s="25"/>
      <c r="O476" s="26"/>
      <c r="P476" s="26"/>
      <c r="Q476" s="26"/>
      <c r="R476" s="26"/>
      <c r="S476" s="25"/>
      <c r="T476" s="26"/>
      <c r="U476" s="26"/>
      <c r="V476" s="25"/>
      <c r="W476" s="25"/>
      <c r="X476" s="26"/>
      <c r="Y476" s="25"/>
      <c r="Z476" s="10"/>
    </row>
    <row r="477" spans="1:26" ht="12.75">
      <c r="A477" s="25"/>
      <c r="B477" s="25"/>
      <c r="C477" s="25"/>
      <c r="D477" s="26"/>
      <c r="E477" s="26"/>
      <c r="F477" s="26"/>
      <c r="G477" s="26"/>
      <c r="H477" s="25"/>
      <c r="I477" s="26"/>
      <c r="J477" s="25"/>
      <c r="K477" s="25"/>
      <c r="L477" s="26"/>
      <c r="M477" s="25"/>
      <c r="N477" s="25"/>
      <c r="O477" s="26"/>
      <c r="P477" s="26"/>
      <c r="Q477" s="26"/>
      <c r="R477" s="26"/>
      <c r="S477" s="25"/>
      <c r="T477" s="26"/>
      <c r="U477" s="26"/>
      <c r="V477" s="25"/>
      <c r="W477" s="25"/>
      <c r="X477" s="26"/>
      <c r="Y477" s="25"/>
      <c r="Z477" s="10"/>
    </row>
    <row r="478" spans="1:26" ht="12.75">
      <c r="A478" s="25"/>
      <c r="B478" s="25"/>
      <c r="C478" s="25"/>
      <c r="D478" s="26"/>
      <c r="E478" s="26"/>
      <c r="F478" s="26"/>
      <c r="G478" s="26"/>
      <c r="H478" s="25"/>
      <c r="I478" s="26"/>
      <c r="J478" s="25"/>
      <c r="K478" s="25"/>
      <c r="L478" s="26"/>
      <c r="M478" s="25"/>
      <c r="N478" s="25"/>
      <c r="O478" s="26"/>
      <c r="P478" s="26"/>
      <c r="Q478" s="26"/>
      <c r="R478" s="26"/>
      <c r="S478" s="25"/>
      <c r="T478" s="26"/>
      <c r="U478" s="26"/>
      <c r="V478" s="25"/>
      <c r="W478" s="25"/>
      <c r="X478" s="26"/>
      <c r="Y478" s="25"/>
      <c r="Z478" s="10"/>
    </row>
    <row r="479" spans="1:26" ht="12.75">
      <c r="A479" s="25"/>
      <c r="B479" s="25"/>
      <c r="C479" s="25"/>
      <c r="D479" s="26"/>
      <c r="E479" s="26"/>
      <c r="F479" s="26"/>
      <c r="G479" s="26"/>
      <c r="H479" s="25"/>
      <c r="I479" s="26"/>
      <c r="J479" s="25"/>
      <c r="K479" s="25"/>
      <c r="L479" s="26"/>
      <c r="M479" s="25"/>
      <c r="N479" s="25"/>
      <c r="O479" s="26"/>
      <c r="P479" s="26"/>
      <c r="Q479" s="26"/>
      <c r="R479" s="26"/>
      <c r="S479" s="25"/>
      <c r="T479" s="26"/>
      <c r="U479" s="26"/>
      <c r="V479" s="25"/>
      <c r="W479" s="25"/>
      <c r="X479" s="26"/>
      <c r="Y479" s="25"/>
      <c r="Z479" s="10"/>
    </row>
    <row r="480" spans="1:26" ht="12.75">
      <c r="A480" s="25"/>
      <c r="B480" s="25"/>
      <c r="C480" s="25"/>
      <c r="D480" s="26"/>
      <c r="E480" s="26"/>
      <c r="F480" s="26"/>
      <c r="G480" s="26"/>
      <c r="H480" s="25"/>
      <c r="I480" s="26"/>
      <c r="J480" s="25"/>
      <c r="K480" s="25"/>
      <c r="L480" s="26"/>
      <c r="M480" s="25"/>
      <c r="N480" s="25"/>
      <c r="O480" s="26"/>
      <c r="P480" s="26"/>
      <c r="Q480" s="26"/>
      <c r="R480" s="26"/>
      <c r="S480" s="25"/>
      <c r="T480" s="26"/>
      <c r="U480" s="26"/>
      <c r="V480" s="25"/>
      <c r="W480" s="25"/>
      <c r="X480" s="26"/>
      <c r="Y480" s="25"/>
      <c r="Z480" s="10"/>
    </row>
    <row r="481" spans="1:26" ht="12.75">
      <c r="A481" s="25"/>
      <c r="B481" s="25"/>
      <c r="C481" s="25"/>
      <c r="D481" s="26"/>
      <c r="E481" s="26"/>
      <c r="F481" s="26"/>
      <c r="G481" s="26"/>
      <c r="H481" s="25"/>
      <c r="I481" s="26"/>
      <c r="J481" s="25"/>
      <c r="K481" s="25"/>
      <c r="L481" s="26"/>
      <c r="M481" s="25"/>
      <c r="N481" s="25"/>
      <c r="O481" s="26"/>
      <c r="P481" s="26"/>
      <c r="Q481" s="26"/>
      <c r="R481" s="26"/>
      <c r="S481" s="25"/>
      <c r="T481" s="26"/>
      <c r="U481" s="26"/>
      <c r="V481" s="25"/>
      <c r="W481" s="25"/>
      <c r="X481" s="26"/>
      <c r="Y481" s="25"/>
      <c r="Z481" s="10"/>
    </row>
    <row r="482" spans="1:26" ht="12.75">
      <c r="A482" s="25"/>
      <c r="B482" s="25"/>
      <c r="C482" s="25"/>
      <c r="D482" s="26"/>
      <c r="E482" s="26"/>
      <c r="F482" s="26"/>
      <c r="G482" s="26"/>
      <c r="H482" s="25"/>
      <c r="I482" s="26"/>
      <c r="J482" s="25"/>
      <c r="K482" s="25"/>
      <c r="L482" s="26"/>
      <c r="M482" s="25"/>
      <c r="N482" s="25"/>
      <c r="O482" s="26"/>
      <c r="P482" s="26"/>
      <c r="Q482" s="26"/>
      <c r="R482" s="26"/>
      <c r="S482" s="25"/>
      <c r="T482" s="26"/>
      <c r="U482" s="26"/>
      <c r="V482" s="25"/>
      <c r="W482" s="25"/>
      <c r="X482" s="26"/>
      <c r="Y482" s="25"/>
      <c r="Z482" s="10"/>
    </row>
    <row r="483" spans="1:26" ht="12.75">
      <c r="A483" s="25"/>
      <c r="B483" s="25"/>
      <c r="C483" s="25"/>
      <c r="D483" s="26"/>
      <c r="E483" s="26"/>
      <c r="F483" s="26"/>
      <c r="G483" s="26"/>
      <c r="H483" s="25"/>
      <c r="I483" s="26"/>
      <c r="J483" s="25"/>
      <c r="K483" s="25"/>
      <c r="L483" s="26"/>
      <c r="M483" s="25"/>
      <c r="N483" s="25"/>
      <c r="O483" s="26"/>
      <c r="P483" s="26"/>
      <c r="Q483" s="26"/>
      <c r="R483" s="26"/>
      <c r="S483" s="25"/>
      <c r="T483" s="26"/>
      <c r="U483" s="26"/>
      <c r="V483" s="25"/>
      <c r="W483" s="25"/>
      <c r="X483" s="26"/>
      <c r="Y483" s="25"/>
      <c r="Z483" s="10"/>
    </row>
    <row r="484" spans="1:26" ht="12.75">
      <c r="A484" s="25"/>
      <c r="B484" s="25"/>
      <c r="C484" s="25"/>
      <c r="D484" s="26"/>
      <c r="E484" s="26"/>
      <c r="F484" s="26"/>
      <c r="G484" s="26"/>
      <c r="H484" s="25"/>
      <c r="I484" s="26"/>
      <c r="J484" s="25"/>
      <c r="K484" s="25"/>
      <c r="L484" s="26"/>
      <c r="M484" s="25"/>
      <c r="N484" s="25"/>
      <c r="O484" s="26"/>
      <c r="P484" s="26"/>
      <c r="Q484" s="26"/>
      <c r="R484" s="26"/>
      <c r="S484" s="25"/>
      <c r="T484" s="26"/>
      <c r="U484" s="26"/>
      <c r="V484" s="25"/>
      <c r="W484" s="25"/>
      <c r="X484" s="26"/>
      <c r="Y484" s="25"/>
      <c r="Z484" s="10"/>
    </row>
    <row r="485" spans="1:26" ht="12.75">
      <c r="A485" s="25"/>
      <c r="B485" s="25"/>
      <c r="C485" s="25"/>
      <c r="D485" s="26"/>
      <c r="E485" s="26"/>
      <c r="F485" s="26"/>
      <c r="G485" s="26"/>
      <c r="H485" s="25"/>
      <c r="I485" s="26"/>
      <c r="J485" s="25"/>
      <c r="K485" s="25"/>
      <c r="L485" s="26"/>
      <c r="M485" s="25"/>
      <c r="N485" s="25"/>
      <c r="O485" s="26"/>
      <c r="P485" s="26"/>
      <c r="Q485" s="26"/>
      <c r="R485" s="26"/>
      <c r="S485" s="25"/>
      <c r="T485" s="26"/>
      <c r="U485" s="26"/>
      <c r="V485" s="25"/>
      <c r="W485" s="25"/>
      <c r="X485" s="26"/>
      <c r="Y485" s="25"/>
      <c r="Z485" s="10"/>
    </row>
    <row r="486" spans="1:26" ht="12.75">
      <c r="A486" s="25"/>
      <c r="B486" s="25"/>
      <c r="C486" s="25"/>
      <c r="D486" s="26"/>
      <c r="E486" s="26"/>
      <c r="F486" s="26"/>
      <c r="G486" s="26"/>
      <c r="H486" s="25"/>
      <c r="I486" s="26"/>
      <c r="J486" s="25"/>
      <c r="K486" s="25"/>
      <c r="L486" s="26"/>
      <c r="M486" s="25"/>
      <c r="N486" s="25"/>
      <c r="O486" s="26"/>
      <c r="P486" s="26"/>
      <c r="Q486" s="26"/>
      <c r="R486" s="26"/>
      <c r="S486" s="25"/>
      <c r="T486" s="26"/>
      <c r="U486" s="26"/>
      <c r="V486" s="25"/>
      <c r="W486" s="25"/>
      <c r="X486" s="26"/>
      <c r="Y486" s="25"/>
      <c r="Z486" s="10"/>
    </row>
    <row r="487" spans="1:26" ht="12.75">
      <c r="A487" s="25"/>
      <c r="B487" s="25"/>
      <c r="C487" s="25"/>
      <c r="D487" s="26"/>
      <c r="E487" s="26"/>
      <c r="F487" s="26"/>
      <c r="G487" s="26"/>
      <c r="H487" s="25"/>
      <c r="I487" s="26"/>
      <c r="J487" s="25"/>
      <c r="K487" s="25"/>
      <c r="L487" s="26"/>
      <c r="M487" s="25"/>
      <c r="N487" s="25"/>
      <c r="O487" s="26"/>
      <c r="P487" s="26"/>
      <c r="Q487" s="26"/>
      <c r="R487" s="26"/>
      <c r="S487" s="25"/>
      <c r="T487" s="26"/>
      <c r="U487" s="26"/>
      <c r="V487" s="25"/>
      <c r="W487" s="25"/>
      <c r="X487" s="26"/>
      <c r="Y487" s="25"/>
      <c r="Z487" s="10"/>
    </row>
    <row r="488" spans="1:26" ht="12.75">
      <c r="A488" s="25"/>
      <c r="B488" s="25"/>
      <c r="C488" s="25"/>
      <c r="D488" s="26"/>
      <c r="E488" s="26"/>
      <c r="F488" s="26"/>
      <c r="G488" s="26"/>
      <c r="H488" s="25"/>
      <c r="I488" s="26"/>
      <c r="J488" s="25"/>
      <c r="K488" s="25"/>
      <c r="L488" s="26"/>
      <c r="M488" s="25"/>
      <c r="N488" s="25"/>
      <c r="O488" s="26"/>
      <c r="P488" s="26"/>
      <c r="Q488" s="26"/>
      <c r="R488" s="26"/>
      <c r="S488" s="25"/>
      <c r="T488" s="26"/>
      <c r="U488" s="26"/>
      <c r="V488" s="25"/>
      <c r="W488" s="25"/>
      <c r="X488" s="26"/>
      <c r="Y488" s="25"/>
      <c r="Z488" s="10"/>
    </row>
    <row r="489" spans="1:26" ht="12.75">
      <c r="A489" s="25"/>
      <c r="B489" s="25"/>
      <c r="C489" s="25"/>
      <c r="D489" s="26"/>
      <c r="E489" s="26"/>
      <c r="F489" s="26"/>
      <c r="G489" s="26"/>
      <c r="H489" s="25"/>
      <c r="I489" s="26"/>
      <c r="J489" s="25"/>
      <c r="K489" s="25"/>
      <c r="L489" s="26"/>
      <c r="M489" s="25"/>
      <c r="N489" s="25"/>
      <c r="O489" s="26"/>
      <c r="P489" s="26"/>
      <c r="Q489" s="26"/>
      <c r="R489" s="26"/>
      <c r="S489" s="25"/>
      <c r="T489" s="26"/>
      <c r="U489" s="26"/>
      <c r="V489" s="25"/>
      <c r="W489" s="25"/>
      <c r="X489" s="26"/>
      <c r="Y489" s="25"/>
      <c r="Z489" s="10"/>
    </row>
    <row r="490" spans="1:26" ht="12.75">
      <c r="A490" s="25"/>
      <c r="B490" s="25"/>
      <c r="C490" s="25"/>
      <c r="D490" s="26"/>
      <c r="E490" s="26"/>
      <c r="F490" s="26"/>
      <c r="G490" s="26"/>
      <c r="H490" s="25"/>
      <c r="I490" s="26"/>
      <c r="J490" s="25"/>
      <c r="K490" s="25"/>
      <c r="L490" s="26"/>
      <c r="M490" s="25"/>
      <c r="N490" s="25"/>
      <c r="O490" s="26"/>
      <c r="P490" s="26"/>
      <c r="Q490" s="26"/>
      <c r="R490" s="26"/>
      <c r="S490" s="25"/>
      <c r="T490" s="26"/>
      <c r="U490" s="26"/>
      <c r="V490" s="25"/>
      <c r="W490" s="25"/>
      <c r="X490" s="26"/>
      <c r="Y490" s="25"/>
      <c r="Z490" s="10"/>
    </row>
    <row r="491" spans="1:26" ht="12.75">
      <c r="A491" s="25"/>
      <c r="B491" s="25"/>
      <c r="C491" s="25"/>
      <c r="D491" s="26"/>
      <c r="E491" s="26"/>
      <c r="F491" s="26"/>
      <c r="G491" s="26"/>
      <c r="H491" s="25"/>
      <c r="I491" s="26"/>
      <c r="J491" s="25"/>
      <c r="K491" s="25"/>
      <c r="L491" s="26"/>
      <c r="M491" s="25"/>
      <c r="N491" s="25"/>
      <c r="O491" s="26"/>
      <c r="P491" s="26"/>
      <c r="Q491" s="26"/>
      <c r="R491" s="26"/>
      <c r="S491" s="25"/>
      <c r="T491" s="26"/>
      <c r="U491" s="26"/>
      <c r="V491" s="25"/>
      <c r="W491" s="25"/>
      <c r="X491" s="26"/>
      <c r="Y491" s="25"/>
      <c r="Z491" s="10"/>
    </row>
    <row r="492" spans="1:26" ht="12.75">
      <c r="A492" s="25"/>
      <c r="B492" s="25"/>
      <c r="C492" s="25"/>
      <c r="D492" s="26"/>
      <c r="E492" s="26"/>
      <c r="F492" s="26"/>
      <c r="G492" s="26"/>
      <c r="H492" s="25"/>
      <c r="I492" s="26"/>
      <c r="J492" s="25"/>
      <c r="K492" s="25"/>
      <c r="L492" s="26"/>
      <c r="M492" s="25"/>
      <c r="N492" s="25"/>
      <c r="O492" s="26"/>
      <c r="P492" s="26"/>
      <c r="Q492" s="26"/>
      <c r="R492" s="26"/>
      <c r="S492" s="25"/>
      <c r="T492" s="26"/>
      <c r="U492" s="26"/>
      <c r="V492" s="25"/>
      <c r="W492" s="25"/>
      <c r="X492" s="26"/>
      <c r="Y492" s="25"/>
      <c r="Z492" s="10"/>
    </row>
    <row r="493" spans="1:26" ht="12.75">
      <c r="A493" s="25"/>
      <c r="B493" s="25"/>
      <c r="C493" s="25"/>
      <c r="D493" s="26"/>
      <c r="E493" s="26"/>
      <c r="F493" s="26"/>
      <c r="G493" s="26"/>
      <c r="H493" s="25"/>
      <c r="I493" s="26"/>
      <c r="J493" s="25"/>
      <c r="K493" s="25"/>
      <c r="L493" s="26"/>
      <c r="M493" s="25"/>
      <c r="N493" s="25"/>
      <c r="O493" s="26"/>
      <c r="P493" s="26"/>
      <c r="Q493" s="26"/>
      <c r="R493" s="26"/>
      <c r="S493" s="25"/>
      <c r="T493" s="26"/>
      <c r="U493" s="26"/>
      <c r="V493" s="25"/>
      <c r="W493" s="25"/>
      <c r="X493" s="26"/>
      <c r="Y493" s="25"/>
      <c r="Z493" s="10"/>
    </row>
    <row r="494" spans="1:26" ht="12.75">
      <c r="A494" s="25"/>
      <c r="B494" s="25"/>
      <c r="C494" s="25"/>
      <c r="D494" s="26"/>
      <c r="E494" s="26"/>
      <c r="F494" s="26"/>
      <c r="G494" s="26"/>
      <c r="H494" s="25"/>
      <c r="I494" s="26"/>
      <c r="J494" s="25"/>
      <c r="K494" s="25"/>
      <c r="L494" s="26"/>
      <c r="M494" s="25"/>
      <c r="N494" s="25"/>
      <c r="O494" s="26"/>
      <c r="P494" s="26"/>
      <c r="Q494" s="26"/>
      <c r="R494" s="26"/>
      <c r="S494" s="25"/>
      <c r="T494" s="26"/>
      <c r="U494" s="26"/>
      <c r="V494" s="25"/>
      <c r="W494" s="25"/>
      <c r="X494" s="26"/>
      <c r="Y494" s="25"/>
      <c r="Z494" s="10"/>
    </row>
    <row r="495" spans="1:26" ht="12.75">
      <c r="A495" s="25"/>
      <c r="B495" s="25"/>
      <c r="C495" s="25"/>
      <c r="D495" s="26"/>
      <c r="E495" s="26"/>
      <c r="F495" s="26"/>
      <c r="G495" s="26"/>
      <c r="H495" s="25"/>
      <c r="I495" s="26"/>
      <c r="J495" s="25"/>
      <c r="K495" s="25"/>
      <c r="L495" s="26"/>
      <c r="M495" s="25"/>
      <c r="N495" s="25"/>
      <c r="O495" s="26"/>
      <c r="P495" s="26"/>
      <c r="Q495" s="26"/>
      <c r="R495" s="26"/>
      <c r="S495" s="25"/>
      <c r="T495" s="26"/>
      <c r="U495" s="26"/>
      <c r="V495" s="25"/>
      <c r="W495" s="25"/>
      <c r="X495" s="26"/>
      <c r="Y495" s="25"/>
      <c r="Z495" s="10"/>
    </row>
    <row r="496" spans="1:26" ht="12.75">
      <c r="A496" s="25"/>
      <c r="B496" s="25"/>
      <c r="C496" s="25"/>
      <c r="D496" s="26"/>
      <c r="E496" s="26"/>
      <c r="F496" s="26"/>
      <c r="G496" s="26"/>
      <c r="H496" s="25"/>
      <c r="I496" s="26"/>
      <c r="J496" s="25"/>
      <c r="K496" s="25"/>
      <c r="L496" s="26"/>
      <c r="M496" s="25"/>
      <c r="N496" s="25"/>
      <c r="O496" s="26"/>
      <c r="P496" s="26"/>
      <c r="Q496" s="26"/>
      <c r="R496" s="26"/>
      <c r="S496" s="25"/>
      <c r="T496" s="26"/>
      <c r="U496" s="26"/>
      <c r="V496" s="25"/>
      <c r="W496" s="25"/>
      <c r="X496" s="26"/>
      <c r="Y496" s="25"/>
      <c r="Z496" s="10"/>
    </row>
    <row r="497" spans="1:26" ht="12.75">
      <c r="A497" s="25"/>
      <c r="B497" s="25"/>
      <c r="C497" s="25"/>
      <c r="D497" s="26"/>
      <c r="E497" s="26"/>
      <c r="F497" s="26"/>
      <c r="G497" s="26"/>
      <c r="H497" s="25"/>
      <c r="I497" s="26"/>
      <c r="J497" s="25"/>
      <c r="K497" s="25"/>
      <c r="L497" s="26"/>
      <c r="M497" s="25"/>
      <c r="N497" s="25"/>
      <c r="O497" s="26"/>
      <c r="P497" s="26"/>
      <c r="Q497" s="26"/>
      <c r="R497" s="26"/>
      <c r="S497" s="25"/>
      <c r="T497" s="26"/>
      <c r="U497" s="26"/>
      <c r="V497" s="25"/>
      <c r="W497" s="25"/>
      <c r="X497" s="26"/>
      <c r="Y497" s="25"/>
      <c r="Z497" s="10"/>
    </row>
    <row r="498" spans="1:26" ht="12.75">
      <c r="A498" s="25"/>
      <c r="B498" s="25"/>
      <c r="C498" s="25"/>
      <c r="D498" s="26"/>
      <c r="E498" s="26"/>
      <c r="F498" s="26"/>
      <c r="G498" s="26"/>
      <c r="H498" s="25"/>
      <c r="I498" s="26"/>
      <c r="J498" s="25"/>
      <c r="K498" s="25"/>
      <c r="L498" s="26"/>
      <c r="M498" s="25"/>
      <c r="N498" s="25"/>
      <c r="O498" s="26"/>
      <c r="P498" s="26"/>
      <c r="Q498" s="26"/>
      <c r="R498" s="26"/>
      <c r="S498" s="25"/>
      <c r="T498" s="26"/>
      <c r="U498" s="26"/>
      <c r="V498" s="25"/>
      <c r="W498" s="25"/>
      <c r="X498" s="26"/>
      <c r="Y498" s="25"/>
      <c r="Z498" s="10"/>
    </row>
    <row r="499" spans="1:26" ht="12.75">
      <c r="A499" s="25"/>
      <c r="B499" s="25"/>
      <c r="C499" s="25"/>
      <c r="D499" s="26"/>
      <c r="E499" s="26"/>
      <c r="F499" s="26"/>
      <c r="G499" s="26"/>
      <c r="H499" s="25"/>
      <c r="I499" s="26"/>
      <c r="J499" s="25"/>
      <c r="K499" s="25"/>
      <c r="L499" s="26"/>
      <c r="M499" s="25"/>
      <c r="N499" s="25"/>
      <c r="O499" s="26"/>
      <c r="P499" s="26"/>
      <c r="Q499" s="26"/>
      <c r="R499" s="26"/>
      <c r="S499" s="25"/>
      <c r="T499" s="26"/>
      <c r="U499" s="26"/>
      <c r="V499" s="25"/>
      <c r="W499" s="25"/>
      <c r="X499" s="26"/>
      <c r="Y499" s="25"/>
      <c r="Z499" s="10"/>
    </row>
    <row r="500" spans="1:26" ht="12.75">
      <c r="A500" s="25"/>
      <c r="B500" s="25"/>
      <c r="C500" s="25"/>
      <c r="D500" s="26"/>
      <c r="E500" s="26"/>
      <c r="F500" s="26"/>
      <c r="G500" s="26"/>
      <c r="H500" s="25"/>
      <c r="I500" s="26"/>
      <c r="J500" s="25"/>
      <c r="K500" s="25"/>
      <c r="L500" s="26"/>
      <c r="M500" s="25"/>
      <c r="N500" s="25"/>
      <c r="O500" s="26"/>
      <c r="P500" s="26"/>
      <c r="Q500" s="26"/>
      <c r="R500" s="26"/>
      <c r="S500" s="25"/>
      <c r="T500" s="26"/>
      <c r="U500" s="26"/>
      <c r="V500" s="25"/>
      <c r="W500" s="25"/>
      <c r="X500" s="26"/>
      <c r="Y500" s="25"/>
      <c r="Z500" s="10"/>
    </row>
    <row r="501" spans="1:26" ht="12.75">
      <c r="A501" s="25"/>
      <c r="B501" s="25"/>
      <c r="C501" s="25"/>
      <c r="D501" s="26"/>
      <c r="E501" s="26"/>
      <c r="F501" s="26"/>
      <c r="G501" s="26"/>
      <c r="H501" s="25"/>
      <c r="I501" s="26"/>
      <c r="J501" s="25"/>
      <c r="K501" s="25"/>
      <c r="L501" s="26"/>
      <c r="M501" s="25"/>
      <c r="N501" s="25"/>
      <c r="O501" s="26"/>
      <c r="P501" s="26"/>
      <c r="Q501" s="26"/>
      <c r="R501" s="26"/>
      <c r="S501" s="25"/>
      <c r="T501" s="26"/>
      <c r="U501" s="26"/>
      <c r="V501" s="25"/>
      <c r="W501" s="25"/>
      <c r="X501" s="26"/>
      <c r="Y501" s="25"/>
      <c r="Z501" s="10"/>
    </row>
    <row r="502" spans="1:26" ht="12.75">
      <c r="A502" s="25"/>
      <c r="B502" s="25"/>
      <c r="C502" s="25"/>
      <c r="D502" s="26"/>
      <c r="E502" s="26"/>
      <c r="F502" s="26"/>
      <c r="G502" s="26"/>
      <c r="H502" s="25"/>
      <c r="I502" s="26"/>
      <c r="J502" s="25"/>
      <c r="K502" s="25"/>
      <c r="L502" s="26"/>
      <c r="M502" s="25"/>
      <c r="N502" s="25"/>
      <c r="O502" s="26"/>
      <c r="P502" s="26"/>
      <c r="Q502" s="26"/>
      <c r="R502" s="26"/>
      <c r="S502" s="25"/>
      <c r="T502" s="26"/>
      <c r="U502" s="26"/>
      <c r="V502" s="25"/>
      <c r="W502" s="25"/>
      <c r="X502" s="26"/>
      <c r="Y502" s="25"/>
      <c r="Z502" s="10"/>
    </row>
    <row r="503" spans="1:26" ht="12.75">
      <c r="A503" s="25"/>
      <c r="B503" s="25"/>
      <c r="C503" s="25"/>
      <c r="D503" s="26"/>
      <c r="E503" s="26"/>
      <c r="F503" s="26"/>
      <c r="G503" s="26"/>
      <c r="H503" s="25"/>
      <c r="I503" s="26"/>
      <c r="J503" s="25"/>
      <c r="K503" s="25"/>
      <c r="L503" s="26"/>
      <c r="M503" s="25"/>
      <c r="N503" s="25"/>
      <c r="O503" s="26"/>
      <c r="P503" s="26"/>
      <c r="Q503" s="26"/>
      <c r="R503" s="26"/>
      <c r="S503" s="25"/>
      <c r="T503" s="26"/>
      <c r="U503" s="26"/>
      <c r="V503" s="25"/>
      <c r="W503" s="25"/>
      <c r="X503" s="26"/>
      <c r="Y503" s="25"/>
      <c r="Z503" s="10"/>
    </row>
    <row r="504" spans="1:26" ht="12.75">
      <c r="A504" s="25"/>
      <c r="B504" s="25"/>
      <c r="C504" s="25"/>
      <c r="D504" s="26"/>
      <c r="E504" s="26"/>
      <c r="F504" s="26"/>
      <c r="G504" s="26"/>
      <c r="H504" s="25"/>
      <c r="I504" s="26"/>
      <c r="J504" s="25"/>
      <c r="K504" s="25"/>
      <c r="L504" s="26"/>
      <c r="M504" s="25"/>
      <c r="N504" s="25"/>
      <c r="O504" s="26"/>
      <c r="P504" s="26"/>
      <c r="Q504" s="26"/>
      <c r="R504" s="26"/>
      <c r="S504" s="25"/>
      <c r="T504" s="26"/>
      <c r="U504" s="26"/>
      <c r="V504" s="25"/>
      <c r="W504" s="25"/>
      <c r="X504" s="26"/>
      <c r="Y504" s="25"/>
      <c r="Z504" s="10"/>
    </row>
    <row r="505" spans="1:26" ht="12.75">
      <c r="A505" s="25"/>
      <c r="B505" s="25"/>
      <c r="C505" s="25"/>
      <c r="D505" s="26"/>
      <c r="E505" s="26"/>
      <c r="F505" s="26"/>
      <c r="G505" s="26"/>
      <c r="H505" s="25"/>
      <c r="I505" s="26"/>
      <c r="J505" s="25"/>
      <c r="K505" s="25"/>
      <c r="L505" s="26"/>
      <c r="M505" s="25"/>
      <c r="N505" s="25"/>
      <c r="O505" s="26"/>
      <c r="P505" s="26"/>
      <c r="Q505" s="26"/>
      <c r="R505" s="26"/>
      <c r="S505" s="25"/>
      <c r="T505" s="26"/>
      <c r="U505" s="26"/>
      <c r="V505" s="25"/>
      <c r="W505" s="25"/>
      <c r="X505" s="26"/>
      <c r="Y505" s="25"/>
      <c r="Z505" s="10"/>
    </row>
    <row r="506" spans="1:26" ht="12.75">
      <c r="A506" s="25"/>
      <c r="B506" s="25"/>
      <c r="C506" s="25"/>
      <c r="D506" s="26"/>
      <c r="E506" s="26"/>
      <c r="F506" s="26"/>
      <c r="G506" s="26"/>
      <c r="H506" s="25"/>
      <c r="I506" s="26"/>
      <c r="J506" s="25"/>
      <c r="K506" s="25"/>
      <c r="L506" s="26"/>
      <c r="M506" s="25"/>
      <c r="N506" s="25"/>
      <c r="O506" s="26"/>
      <c r="P506" s="26"/>
      <c r="Q506" s="26"/>
      <c r="R506" s="26"/>
      <c r="S506" s="25"/>
      <c r="T506" s="26"/>
      <c r="U506" s="26"/>
      <c r="V506" s="25"/>
      <c r="W506" s="25"/>
      <c r="X506" s="26"/>
      <c r="Y506" s="25"/>
      <c r="Z506" s="10"/>
    </row>
    <row r="507" spans="1:26" ht="12.75">
      <c r="A507" s="25"/>
      <c r="B507" s="25"/>
      <c r="C507" s="25"/>
      <c r="D507" s="26"/>
      <c r="E507" s="26"/>
      <c r="F507" s="26"/>
      <c r="G507" s="26"/>
      <c r="H507" s="25"/>
      <c r="I507" s="26"/>
      <c r="J507" s="25"/>
      <c r="K507" s="25"/>
      <c r="L507" s="26"/>
      <c r="M507" s="25"/>
      <c r="N507" s="25"/>
      <c r="O507" s="26"/>
      <c r="P507" s="26"/>
      <c r="Q507" s="26"/>
      <c r="R507" s="26"/>
      <c r="S507" s="25"/>
      <c r="T507" s="26"/>
      <c r="U507" s="26"/>
      <c r="V507" s="25"/>
      <c r="W507" s="25"/>
      <c r="X507" s="26"/>
      <c r="Y507" s="25"/>
      <c r="Z507" s="10"/>
    </row>
    <row r="508" spans="1:26" ht="12.75">
      <c r="A508" s="25"/>
      <c r="B508" s="25"/>
      <c r="C508" s="25"/>
      <c r="D508" s="26"/>
      <c r="E508" s="26"/>
      <c r="F508" s="26"/>
      <c r="G508" s="26"/>
      <c r="H508" s="25"/>
      <c r="I508" s="26"/>
      <c r="J508" s="25"/>
      <c r="K508" s="25"/>
      <c r="L508" s="26"/>
      <c r="M508" s="25"/>
      <c r="N508" s="25"/>
      <c r="O508" s="26"/>
      <c r="P508" s="26"/>
      <c r="Q508" s="26"/>
      <c r="R508" s="26"/>
      <c r="S508" s="25"/>
      <c r="T508" s="26"/>
      <c r="U508" s="26"/>
      <c r="V508" s="25"/>
      <c r="W508" s="25"/>
      <c r="X508" s="26"/>
      <c r="Y508" s="25"/>
      <c r="Z508" s="10"/>
    </row>
    <row r="509" spans="1:26" ht="12.75">
      <c r="A509" s="25"/>
      <c r="B509" s="25"/>
      <c r="C509" s="25"/>
      <c r="D509" s="26"/>
      <c r="E509" s="26"/>
      <c r="F509" s="26"/>
      <c r="G509" s="26"/>
      <c r="H509" s="25"/>
      <c r="I509" s="26"/>
      <c r="J509" s="25"/>
      <c r="K509" s="25"/>
      <c r="L509" s="26"/>
      <c r="M509" s="25"/>
      <c r="N509" s="25"/>
      <c r="O509" s="26"/>
      <c r="P509" s="26"/>
      <c r="Q509" s="26"/>
      <c r="R509" s="26"/>
      <c r="S509" s="25"/>
      <c r="T509" s="26"/>
      <c r="U509" s="26"/>
      <c r="V509" s="25"/>
      <c r="W509" s="25"/>
      <c r="X509" s="26"/>
      <c r="Y509" s="25"/>
      <c r="Z509" s="10"/>
    </row>
    <row r="510" spans="1:26" ht="12.75">
      <c r="A510" s="25"/>
      <c r="B510" s="25"/>
      <c r="C510" s="25"/>
      <c r="D510" s="26"/>
      <c r="E510" s="26"/>
      <c r="F510" s="26"/>
      <c r="G510" s="26"/>
      <c r="H510" s="25"/>
      <c r="I510" s="26"/>
      <c r="J510" s="25"/>
      <c r="K510" s="25"/>
      <c r="L510" s="26"/>
      <c r="M510" s="25"/>
      <c r="N510" s="25"/>
      <c r="O510" s="26"/>
      <c r="P510" s="26"/>
      <c r="Q510" s="26"/>
      <c r="R510" s="26"/>
      <c r="S510" s="25"/>
      <c r="T510" s="26"/>
      <c r="U510" s="26"/>
      <c r="V510" s="25"/>
      <c r="W510" s="25"/>
      <c r="X510" s="26"/>
      <c r="Y510" s="25"/>
      <c r="Z510" s="10"/>
    </row>
    <row r="511" spans="1:26" ht="12.75">
      <c r="A511" s="25"/>
      <c r="B511" s="25"/>
      <c r="C511" s="25"/>
      <c r="D511" s="26"/>
      <c r="E511" s="26"/>
      <c r="F511" s="26"/>
      <c r="G511" s="26"/>
      <c r="H511" s="25"/>
      <c r="I511" s="26"/>
      <c r="J511" s="25"/>
      <c r="K511" s="25"/>
      <c r="L511" s="26"/>
      <c r="M511" s="25"/>
      <c r="N511" s="25"/>
      <c r="O511" s="26"/>
      <c r="P511" s="26"/>
      <c r="Q511" s="26"/>
      <c r="R511" s="26"/>
      <c r="S511" s="25"/>
      <c r="T511" s="26"/>
      <c r="U511" s="26"/>
      <c r="V511" s="25"/>
      <c r="W511" s="25"/>
      <c r="X511" s="26"/>
      <c r="Y511" s="25"/>
      <c r="Z511" s="10"/>
    </row>
    <row r="512" spans="1:26" ht="12.75">
      <c r="A512" s="25"/>
      <c r="B512" s="25"/>
      <c r="C512" s="25"/>
      <c r="D512" s="26"/>
      <c r="E512" s="26"/>
      <c r="F512" s="26"/>
      <c r="G512" s="26"/>
      <c r="H512" s="25"/>
      <c r="I512" s="26"/>
      <c r="J512" s="25"/>
      <c r="K512" s="25"/>
      <c r="L512" s="26"/>
      <c r="M512" s="25"/>
      <c r="N512" s="25"/>
      <c r="O512" s="26"/>
      <c r="P512" s="26"/>
      <c r="Q512" s="26"/>
      <c r="R512" s="26"/>
      <c r="S512" s="25"/>
      <c r="T512" s="26"/>
      <c r="U512" s="26"/>
      <c r="V512" s="25"/>
      <c r="W512" s="25"/>
      <c r="X512" s="26"/>
      <c r="Y512" s="25"/>
      <c r="Z512" s="10"/>
    </row>
    <row r="513" spans="1:26" ht="12.75">
      <c r="A513" s="25"/>
      <c r="B513" s="25"/>
      <c r="C513" s="25"/>
      <c r="D513" s="26"/>
      <c r="E513" s="26"/>
      <c r="F513" s="26"/>
      <c r="G513" s="26"/>
      <c r="H513" s="25"/>
      <c r="I513" s="26"/>
      <c r="J513" s="25"/>
      <c r="K513" s="25"/>
      <c r="L513" s="26"/>
      <c r="M513" s="25"/>
      <c r="N513" s="25"/>
      <c r="O513" s="26"/>
      <c r="P513" s="26"/>
      <c r="Q513" s="26"/>
      <c r="R513" s="26"/>
      <c r="S513" s="25"/>
      <c r="T513" s="26"/>
      <c r="U513" s="26"/>
      <c r="V513" s="25"/>
      <c r="W513" s="25"/>
      <c r="X513" s="26"/>
      <c r="Y513" s="25"/>
      <c r="Z513" s="10"/>
    </row>
    <row r="514" spans="1:26" ht="12.75">
      <c r="A514" s="25"/>
      <c r="B514" s="25"/>
      <c r="C514" s="25"/>
      <c r="D514" s="26"/>
      <c r="E514" s="26"/>
      <c r="F514" s="26"/>
      <c r="G514" s="26"/>
      <c r="H514" s="25"/>
      <c r="I514" s="26"/>
      <c r="J514" s="25"/>
      <c r="K514" s="25"/>
      <c r="L514" s="26"/>
      <c r="M514" s="25"/>
      <c r="N514" s="25"/>
      <c r="O514" s="26"/>
      <c r="P514" s="26"/>
      <c r="Q514" s="26"/>
      <c r="R514" s="26"/>
      <c r="S514" s="25"/>
      <c r="T514" s="26"/>
      <c r="U514" s="26"/>
      <c r="V514" s="25"/>
      <c r="W514" s="25"/>
      <c r="X514" s="26"/>
      <c r="Y514" s="25"/>
      <c r="Z514" s="10"/>
    </row>
    <row r="515" spans="1:26" ht="12.75">
      <c r="A515" s="25"/>
      <c r="B515" s="25"/>
      <c r="C515" s="25"/>
      <c r="D515" s="26"/>
      <c r="E515" s="26"/>
      <c r="F515" s="26"/>
      <c r="G515" s="26"/>
      <c r="H515" s="25"/>
      <c r="I515" s="26"/>
      <c r="J515" s="25"/>
      <c r="K515" s="25"/>
      <c r="L515" s="26"/>
      <c r="M515" s="25"/>
      <c r="N515" s="25"/>
      <c r="O515" s="26"/>
      <c r="P515" s="26"/>
      <c r="Q515" s="26"/>
      <c r="R515" s="26"/>
      <c r="S515" s="25"/>
      <c r="T515" s="26"/>
      <c r="U515" s="26"/>
      <c r="V515" s="25"/>
      <c r="W515" s="25"/>
      <c r="X515" s="26"/>
      <c r="Y515" s="25"/>
      <c r="Z515" s="10"/>
    </row>
    <row r="516" spans="1:26" ht="12.75">
      <c r="A516" s="25"/>
      <c r="B516" s="25"/>
      <c r="C516" s="25"/>
      <c r="D516" s="26"/>
      <c r="E516" s="26"/>
      <c r="F516" s="26"/>
      <c r="G516" s="26"/>
      <c r="H516" s="25"/>
      <c r="I516" s="26"/>
      <c r="J516" s="25"/>
      <c r="K516" s="25"/>
      <c r="L516" s="26"/>
      <c r="M516" s="25"/>
      <c r="N516" s="25"/>
      <c r="O516" s="26"/>
      <c r="P516" s="26"/>
      <c r="Q516" s="26"/>
      <c r="R516" s="26"/>
      <c r="S516" s="25"/>
      <c r="T516" s="26"/>
      <c r="U516" s="26"/>
      <c r="V516" s="25"/>
      <c r="W516" s="25"/>
      <c r="X516" s="26"/>
      <c r="Y516" s="25"/>
      <c r="Z516" s="10"/>
    </row>
    <row r="517" spans="1:26" ht="12.75">
      <c r="A517" s="25"/>
      <c r="B517" s="25"/>
      <c r="C517" s="25"/>
      <c r="D517" s="26"/>
      <c r="E517" s="26"/>
      <c r="F517" s="26"/>
      <c r="G517" s="26"/>
      <c r="H517" s="25"/>
      <c r="I517" s="26"/>
      <c r="J517" s="25"/>
      <c r="K517" s="25"/>
      <c r="L517" s="26"/>
      <c r="M517" s="25"/>
      <c r="N517" s="25"/>
      <c r="O517" s="26"/>
      <c r="P517" s="26"/>
      <c r="Q517" s="26"/>
      <c r="R517" s="26"/>
      <c r="S517" s="25"/>
      <c r="T517" s="26"/>
      <c r="U517" s="26"/>
      <c r="V517" s="25"/>
      <c r="W517" s="25"/>
      <c r="X517" s="26"/>
      <c r="Y517" s="25"/>
      <c r="Z517" s="10"/>
    </row>
    <row r="518" spans="1:26" ht="12.75">
      <c r="A518" s="25"/>
      <c r="B518" s="25"/>
      <c r="C518" s="25"/>
      <c r="D518" s="26"/>
      <c r="E518" s="26"/>
      <c r="F518" s="26"/>
      <c r="G518" s="26"/>
      <c r="H518" s="25"/>
      <c r="I518" s="26"/>
      <c r="J518" s="25"/>
      <c r="K518" s="25"/>
      <c r="L518" s="26"/>
      <c r="M518" s="25"/>
      <c r="N518" s="25"/>
      <c r="O518" s="26"/>
      <c r="P518" s="26"/>
      <c r="Q518" s="26"/>
      <c r="R518" s="26"/>
      <c r="S518" s="25"/>
      <c r="T518" s="26"/>
      <c r="U518" s="26"/>
      <c r="V518" s="25"/>
      <c r="W518" s="25"/>
      <c r="X518" s="26"/>
      <c r="Y518" s="25"/>
      <c r="Z518" s="10"/>
    </row>
    <row r="519" spans="1:26" ht="12.75">
      <c r="A519" s="25"/>
      <c r="B519" s="25"/>
      <c r="C519" s="25"/>
      <c r="D519" s="26"/>
      <c r="E519" s="26"/>
      <c r="F519" s="26"/>
      <c r="G519" s="26"/>
      <c r="H519" s="25"/>
      <c r="I519" s="26"/>
      <c r="J519" s="25"/>
      <c r="K519" s="25"/>
      <c r="L519" s="26"/>
      <c r="M519" s="25"/>
      <c r="N519" s="25"/>
      <c r="O519" s="26"/>
      <c r="P519" s="26"/>
      <c r="Q519" s="26"/>
      <c r="R519" s="26"/>
      <c r="S519" s="25"/>
      <c r="T519" s="26"/>
      <c r="U519" s="26"/>
      <c r="V519" s="25"/>
      <c r="W519" s="25"/>
      <c r="X519" s="26"/>
      <c r="Y519" s="25"/>
      <c r="Z519" s="10"/>
    </row>
    <row r="520" spans="1:26" ht="12.75">
      <c r="A520" s="25"/>
      <c r="B520" s="25"/>
      <c r="C520" s="25"/>
      <c r="D520" s="26"/>
      <c r="E520" s="26"/>
      <c r="F520" s="26"/>
      <c r="G520" s="26"/>
      <c r="H520" s="25"/>
      <c r="I520" s="26"/>
      <c r="J520" s="25"/>
      <c r="K520" s="25"/>
      <c r="L520" s="26"/>
      <c r="M520" s="25"/>
      <c r="N520" s="25"/>
      <c r="O520" s="26"/>
      <c r="P520" s="26"/>
      <c r="Q520" s="26"/>
      <c r="R520" s="26"/>
      <c r="S520" s="25"/>
      <c r="T520" s="26"/>
      <c r="U520" s="26"/>
      <c r="V520" s="25"/>
      <c r="W520" s="25"/>
      <c r="X520" s="26"/>
      <c r="Y520" s="25"/>
      <c r="Z520" s="10"/>
    </row>
    <row r="521" spans="1:26" ht="12.75">
      <c r="A521" s="25"/>
      <c r="B521" s="25"/>
      <c r="C521" s="25"/>
      <c r="D521" s="26"/>
      <c r="E521" s="26"/>
      <c r="F521" s="26"/>
      <c r="G521" s="26"/>
      <c r="H521" s="25"/>
      <c r="I521" s="26"/>
      <c r="J521" s="25"/>
      <c r="K521" s="25"/>
      <c r="L521" s="26"/>
      <c r="M521" s="25"/>
      <c r="N521" s="25"/>
      <c r="O521" s="26"/>
      <c r="P521" s="26"/>
      <c r="Q521" s="26"/>
      <c r="R521" s="26"/>
      <c r="S521" s="25"/>
      <c r="T521" s="26"/>
      <c r="U521" s="26"/>
      <c r="V521" s="25"/>
      <c r="W521" s="25"/>
      <c r="X521" s="26"/>
      <c r="Y521" s="25"/>
      <c r="Z521" s="10"/>
    </row>
    <row r="522" spans="1:26" ht="12.75">
      <c r="A522" s="25"/>
      <c r="B522" s="25"/>
      <c r="C522" s="25"/>
      <c r="D522" s="26"/>
      <c r="E522" s="26"/>
      <c r="F522" s="26"/>
      <c r="G522" s="26"/>
      <c r="H522" s="25"/>
      <c r="I522" s="26"/>
      <c r="J522" s="25"/>
      <c r="K522" s="25"/>
      <c r="L522" s="26"/>
      <c r="M522" s="25"/>
      <c r="N522" s="25"/>
      <c r="O522" s="26"/>
      <c r="P522" s="26"/>
      <c r="Q522" s="26"/>
      <c r="R522" s="26"/>
      <c r="S522" s="25"/>
      <c r="T522" s="26"/>
      <c r="U522" s="26"/>
      <c r="V522" s="25"/>
      <c r="W522" s="25"/>
      <c r="X522" s="26"/>
      <c r="Y522" s="25"/>
      <c r="Z522" s="10"/>
    </row>
    <row r="523" spans="1:26" ht="12.75">
      <c r="A523" s="25"/>
      <c r="B523" s="25"/>
      <c r="C523" s="25"/>
      <c r="D523" s="26"/>
      <c r="E523" s="26"/>
      <c r="F523" s="26"/>
      <c r="G523" s="26"/>
      <c r="H523" s="25"/>
      <c r="I523" s="26"/>
      <c r="J523" s="25"/>
      <c r="K523" s="25"/>
      <c r="L523" s="26"/>
      <c r="M523" s="25"/>
      <c r="N523" s="25"/>
      <c r="O523" s="26"/>
      <c r="P523" s="26"/>
      <c r="Q523" s="26"/>
      <c r="R523" s="26"/>
      <c r="S523" s="25"/>
      <c r="T523" s="26"/>
      <c r="U523" s="26"/>
      <c r="V523" s="25"/>
      <c r="W523" s="25"/>
      <c r="X523" s="26"/>
      <c r="Y523" s="25"/>
      <c r="Z523" s="10"/>
    </row>
    <row r="524" spans="1:26" ht="12.75">
      <c r="A524" s="25"/>
      <c r="B524" s="25"/>
      <c r="C524" s="25"/>
      <c r="D524" s="26"/>
      <c r="E524" s="26"/>
      <c r="F524" s="26"/>
      <c r="G524" s="26"/>
      <c r="H524" s="25"/>
      <c r="I524" s="26"/>
      <c r="J524" s="25"/>
      <c r="K524" s="25"/>
      <c r="L524" s="26"/>
      <c r="M524" s="25"/>
      <c r="N524" s="25"/>
      <c r="O524" s="26"/>
      <c r="P524" s="26"/>
      <c r="Q524" s="26"/>
      <c r="R524" s="26"/>
      <c r="S524" s="25"/>
      <c r="T524" s="26"/>
      <c r="U524" s="26"/>
      <c r="V524" s="25"/>
      <c r="W524" s="25"/>
      <c r="X524" s="26"/>
      <c r="Y524" s="25"/>
      <c r="Z524" s="10"/>
    </row>
    <row r="525" spans="1:26" ht="12.75">
      <c r="A525" s="25"/>
      <c r="B525" s="25"/>
      <c r="C525" s="25"/>
      <c r="D525" s="26"/>
      <c r="E525" s="26"/>
      <c r="F525" s="26"/>
      <c r="G525" s="26"/>
      <c r="H525" s="25"/>
      <c r="I525" s="26"/>
      <c r="J525" s="25"/>
      <c r="K525" s="25"/>
      <c r="L525" s="26"/>
      <c r="M525" s="25"/>
      <c r="N525" s="25"/>
      <c r="O525" s="26"/>
      <c r="P525" s="26"/>
      <c r="Q525" s="26"/>
      <c r="R525" s="26"/>
      <c r="S525" s="25"/>
      <c r="T525" s="26"/>
      <c r="U525" s="26"/>
      <c r="V525" s="25"/>
      <c r="W525" s="25"/>
      <c r="X525" s="26"/>
      <c r="Y525" s="25"/>
      <c r="Z525" s="10"/>
    </row>
    <row r="526" spans="1:26" ht="12.75">
      <c r="A526" s="25"/>
      <c r="B526" s="25"/>
      <c r="C526" s="25"/>
      <c r="D526" s="26"/>
      <c r="E526" s="26"/>
      <c r="F526" s="26"/>
      <c r="G526" s="26"/>
      <c r="H526" s="25"/>
      <c r="I526" s="26"/>
      <c r="J526" s="25"/>
      <c r="K526" s="25"/>
      <c r="L526" s="26"/>
      <c r="M526" s="25"/>
      <c r="N526" s="25"/>
      <c r="O526" s="26"/>
      <c r="P526" s="26"/>
      <c r="Q526" s="26"/>
      <c r="R526" s="26"/>
      <c r="S526" s="25"/>
      <c r="T526" s="26"/>
      <c r="U526" s="26"/>
      <c r="V526" s="25"/>
      <c r="W526" s="25"/>
      <c r="X526" s="26"/>
      <c r="Y526" s="25"/>
      <c r="Z526" s="10"/>
    </row>
    <row r="527" spans="1:26" ht="12.75">
      <c r="A527" s="25"/>
      <c r="B527" s="25"/>
      <c r="C527" s="25"/>
      <c r="D527" s="26"/>
      <c r="E527" s="26"/>
      <c r="F527" s="26"/>
      <c r="G527" s="26"/>
      <c r="H527" s="25"/>
      <c r="I527" s="26"/>
      <c r="J527" s="25"/>
      <c r="K527" s="25"/>
      <c r="L527" s="26"/>
      <c r="M527" s="25"/>
      <c r="N527" s="25"/>
      <c r="O527" s="26"/>
      <c r="P527" s="26"/>
      <c r="Q527" s="26"/>
      <c r="R527" s="26"/>
      <c r="S527" s="25"/>
      <c r="T527" s="26"/>
      <c r="U527" s="26"/>
      <c r="V527" s="25"/>
      <c r="W527" s="25"/>
      <c r="X527" s="26"/>
      <c r="Y527" s="25"/>
      <c r="Z527" s="10"/>
    </row>
    <row r="528" spans="1:26" ht="12.75">
      <c r="A528" s="25"/>
      <c r="B528" s="25"/>
      <c r="C528" s="25"/>
      <c r="D528" s="26"/>
      <c r="E528" s="26"/>
      <c r="F528" s="26"/>
      <c r="G528" s="26"/>
      <c r="H528" s="25"/>
      <c r="I528" s="26"/>
      <c r="J528" s="25"/>
      <c r="K528" s="25"/>
      <c r="L528" s="26"/>
      <c r="M528" s="25"/>
      <c r="N528" s="25"/>
      <c r="O528" s="26"/>
      <c r="P528" s="26"/>
      <c r="Q528" s="26"/>
      <c r="R528" s="26"/>
      <c r="S528" s="25"/>
      <c r="T528" s="26"/>
      <c r="U528" s="26"/>
      <c r="V528" s="25"/>
      <c r="W528" s="25"/>
      <c r="X528" s="26"/>
      <c r="Y528" s="25"/>
      <c r="Z528" s="10"/>
    </row>
    <row r="529" spans="1:26" ht="12.75">
      <c r="A529" s="25"/>
      <c r="B529" s="25"/>
      <c r="C529" s="25"/>
      <c r="D529" s="26"/>
      <c r="E529" s="26"/>
      <c r="F529" s="26"/>
      <c r="G529" s="26"/>
      <c r="H529" s="25"/>
      <c r="I529" s="26"/>
      <c r="J529" s="25"/>
      <c r="K529" s="25"/>
      <c r="L529" s="26"/>
      <c r="M529" s="25"/>
      <c r="N529" s="25"/>
      <c r="O529" s="26"/>
      <c r="P529" s="26"/>
      <c r="Q529" s="26"/>
      <c r="R529" s="26"/>
      <c r="S529" s="25"/>
      <c r="T529" s="26"/>
      <c r="U529" s="26"/>
      <c r="V529" s="25"/>
      <c r="W529" s="25"/>
      <c r="X529" s="26"/>
      <c r="Y529" s="25"/>
      <c r="Z529" s="10"/>
    </row>
    <row r="530" spans="1:26" ht="12.75">
      <c r="A530" s="25"/>
      <c r="B530" s="25"/>
      <c r="C530" s="25"/>
      <c r="D530" s="26"/>
      <c r="E530" s="26"/>
      <c r="F530" s="26"/>
      <c r="G530" s="26"/>
      <c r="H530" s="25"/>
      <c r="I530" s="26"/>
      <c r="J530" s="25"/>
      <c r="K530" s="25"/>
      <c r="L530" s="26"/>
      <c r="M530" s="25"/>
      <c r="N530" s="25"/>
      <c r="O530" s="26"/>
      <c r="P530" s="26"/>
      <c r="Q530" s="26"/>
      <c r="R530" s="26"/>
      <c r="S530" s="25"/>
      <c r="T530" s="26"/>
      <c r="U530" s="26"/>
      <c r="V530" s="25"/>
      <c r="W530" s="25"/>
      <c r="X530" s="26"/>
      <c r="Y530" s="25"/>
      <c r="Z530" s="10"/>
    </row>
    <row r="531" spans="1:26" ht="12.75">
      <c r="A531" s="25"/>
      <c r="B531" s="25"/>
      <c r="C531" s="25"/>
      <c r="D531" s="26"/>
      <c r="E531" s="26"/>
      <c r="F531" s="26"/>
      <c r="G531" s="26"/>
      <c r="H531" s="25"/>
      <c r="I531" s="26"/>
      <c r="J531" s="25"/>
      <c r="K531" s="25"/>
      <c r="L531" s="26"/>
      <c r="M531" s="25"/>
      <c r="N531" s="25"/>
      <c r="O531" s="26"/>
      <c r="P531" s="26"/>
      <c r="Q531" s="26"/>
      <c r="R531" s="26"/>
      <c r="S531" s="25"/>
      <c r="T531" s="26"/>
      <c r="U531" s="26"/>
      <c r="V531" s="25"/>
      <c r="W531" s="25"/>
      <c r="X531" s="26"/>
      <c r="Y531" s="25"/>
      <c r="Z531" s="10"/>
    </row>
    <row r="532" spans="1:26" ht="12.75">
      <c r="A532" s="25"/>
      <c r="B532" s="25"/>
      <c r="C532" s="25"/>
      <c r="D532" s="26"/>
      <c r="E532" s="26"/>
      <c r="F532" s="26"/>
      <c r="G532" s="26"/>
      <c r="H532" s="25"/>
      <c r="I532" s="26"/>
      <c r="J532" s="25"/>
      <c r="K532" s="25"/>
      <c r="L532" s="26"/>
      <c r="M532" s="25"/>
      <c r="N532" s="25"/>
      <c r="O532" s="26"/>
      <c r="P532" s="26"/>
      <c r="Q532" s="26"/>
      <c r="R532" s="26"/>
      <c r="S532" s="25"/>
      <c r="T532" s="26"/>
      <c r="U532" s="26"/>
      <c r="V532" s="25"/>
      <c r="W532" s="25"/>
      <c r="X532" s="26"/>
      <c r="Y532" s="25"/>
      <c r="Z532" s="10"/>
    </row>
    <row r="533" spans="1:26" ht="12.75">
      <c r="A533" s="25"/>
      <c r="B533" s="25"/>
      <c r="C533" s="25"/>
      <c r="D533" s="26"/>
      <c r="E533" s="26"/>
      <c r="F533" s="26"/>
      <c r="G533" s="26"/>
      <c r="H533" s="25"/>
      <c r="I533" s="26"/>
      <c r="J533" s="25"/>
      <c r="K533" s="25"/>
      <c r="L533" s="26"/>
      <c r="M533" s="25"/>
      <c r="N533" s="25"/>
      <c r="O533" s="26"/>
      <c r="P533" s="26"/>
      <c r="Q533" s="26"/>
      <c r="R533" s="26"/>
      <c r="S533" s="25"/>
      <c r="T533" s="26"/>
      <c r="U533" s="26"/>
      <c r="V533" s="25"/>
      <c r="W533" s="25"/>
      <c r="X533" s="26"/>
      <c r="Y533" s="25"/>
      <c r="Z533" s="10"/>
    </row>
    <row r="534" spans="1:26" ht="12.75">
      <c r="A534" s="25"/>
      <c r="B534" s="25"/>
      <c r="C534" s="25"/>
      <c r="D534" s="26"/>
      <c r="E534" s="26"/>
      <c r="F534" s="26"/>
      <c r="G534" s="26"/>
      <c r="H534" s="25"/>
      <c r="I534" s="26"/>
      <c r="J534" s="25"/>
      <c r="K534" s="25"/>
      <c r="L534" s="26"/>
      <c r="M534" s="25"/>
      <c r="N534" s="25"/>
      <c r="O534" s="26"/>
      <c r="P534" s="26"/>
      <c r="Q534" s="26"/>
      <c r="R534" s="26"/>
      <c r="S534" s="25"/>
      <c r="T534" s="26"/>
      <c r="U534" s="26"/>
      <c r="V534" s="25"/>
      <c r="W534" s="25"/>
      <c r="X534" s="26"/>
      <c r="Y534" s="25"/>
      <c r="Z534" s="10"/>
    </row>
    <row r="535" spans="1:26" ht="12.75">
      <c r="A535" s="25"/>
      <c r="B535" s="25"/>
      <c r="C535" s="25"/>
      <c r="D535" s="26"/>
      <c r="E535" s="26"/>
      <c r="F535" s="26"/>
      <c r="G535" s="26"/>
      <c r="H535" s="25"/>
      <c r="I535" s="26"/>
      <c r="J535" s="25"/>
      <c r="K535" s="25"/>
      <c r="L535" s="26"/>
      <c r="M535" s="25"/>
      <c r="N535" s="25"/>
      <c r="O535" s="26"/>
      <c r="P535" s="26"/>
      <c r="Q535" s="26"/>
      <c r="R535" s="26"/>
      <c r="S535" s="25"/>
      <c r="T535" s="26"/>
      <c r="U535" s="26"/>
      <c r="V535" s="25"/>
      <c r="W535" s="25"/>
      <c r="X535" s="26"/>
      <c r="Y535" s="25"/>
      <c r="Z535" s="10"/>
    </row>
    <row r="536" spans="1:26" ht="12.75">
      <c r="A536" s="25"/>
      <c r="B536" s="25"/>
      <c r="C536" s="25"/>
      <c r="D536" s="26"/>
      <c r="E536" s="26"/>
      <c r="F536" s="26"/>
      <c r="G536" s="26"/>
      <c r="H536" s="25"/>
      <c r="I536" s="26"/>
      <c r="J536" s="25"/>
      <c r="K536" s="25"/>
      <c r="L536" s="26"/>
      <c r="M536" s="25"/>
      <c r="N536" s="25"/>
      <c r="O536" s="26"/>
      <c r="P536" s="26"/>
      <c r="Q536" s="26"/>
      <c r="R536" s="26"/>
      <c r="S536" s="25"/>
      <c r="T536" s="26"/>
      <c r="U536" s="26"/>
      <c r="V536" s="25"/>
      <c r="W536" s="25"/>
      <c r="X536" s="26"/>
      <c r="Y536" s="25"/>
      <c r="Z536" s="10"/>
    </row>
    <row r="537" spans="1:26" ht="12.75">
      <c r="A537" s="25"/>
      <c r="B537" s="25"/>
      <c r="C537" s="25"/>
      <c r="D537" s="26"/>
      <c r="E537" s="26"/>
      <c r="F537" s="26"/>
      <c r="G537" s="26"/>
      <c r="H537" s="25"/>
      <c r="I537" s="26"/>
      <c r="J537" s="25"/>
      <c r="K537" s="25"/>
      <c r="L537" s="26"/>
      <c r="M537" s="25"/>
      <c r="N537" s="25"/>
      <c r="O537" s="26"/>
      <c r="P537" s="26"/>
      <c r="Q537" s="26"/>
      <c r="R537" s="26"/>
      <c r="S537" s="25"/>
      <c r="T537" s="26"/>
      <c r="U537" s="26"/>
      <c r="V537" s="25"/>
      <c r="W537" s="25"/>
      <c r="X537" s="26"/>
      <c r="Y537" s="25"/>
      <c r="Z537" s="10"/>
    </row>
    <row r="538" spans="1:26" ht="12.75">
      <c r="A538" s="25"/>
      <c r="B538" s="25"/>
      <c r="C538" s="25"/>
      <c r="D538" s="26"/>
      <c r="E538" s="26"/>
      <c r="F538" s="26"/>
      <c r="G538" s="26"/>
      <c r="H538" s="25"/>
      <c r="I538" s="26"/>
      <c r="J538" s="25"/>
      <c r="K538" s="25"/>
      <c r="L538" s="26"/>
      <c r="M538" s="25"/>
      <c r="N538" s="25"/>
      <c r="O538" s="26"/>
      <c r="P538" s="26"/>
      <c r="Q538" s="26"/>
      <c r="R538" s="26"/>
      <c r="S538" s="25"/>
      <c r="T538" s="26"/>
      <c r="U538" s="26"/>
      <c r="V538" s="25"/>
      <c r="W538" s="25"/>
      <c r="X538" s="26"/>
      <c r="Y538" s="25"/>
      <c r="Z538" s="10"/>
    </row>
    <row r="539" spans="1:26" ht="12.75">
      <c r="A539" s="25"/>
      <c r="B539" s="25"/>
      <c r="C539" s="25"/>
      <c r="D539" s="26"/>
      <c r="E539" s="26"/>
      <c r="F539" s="26"/>
      <c r="G539" s="26"/>
      <c r="H539" s="25"/>
      <c r="I539" s="26"/>
      <c r="J539" s="25"/>
      <c r="K539" s="25"/>
      <c r="L539" s="26"/>
      <c r="M539" s="25"/>
      <c r="N539" s="25"/>
      <c r="O539" s="26"/>
      <c r="P539" s="26"/>
      <c r="Q539" s="26"/>
      <c r="R539" s="26"/>
      <c r="S539" s="25"/>
      <c r="T539" s="26"/>
      <c r="U539" s="26"/>
      <c r="V539" s="25"/>
      <c r="W539" s="25"/>
      <c r="X539" s="26"/>
      <c r="Y539" s="25"/>
      <c r="Z539" s="10"/>
    </row>
    <row r="540" spans="1:26" ht="12.75">
      <c r="A540" s="25"/>
      <c r="B540" s="25"/>
      <c r="C540" s="25"/>
      <c r="D540" s="26"/>
      <c r="E540" s="26"/>
      <c r="F540" s="26"/>
      <c r="G540" s="26"/>
      <c r="H540" s="25"/>
      <c r="I540" s="26"/>
      <c r="J540" s="25"/>
      <c r="K540" s="25"/>
      <c r="L540" s="26"/>
      <c r="M540" s="25"/>
      <c r="N540" s="25"/>
      <c r="O540" s="26"/>
      <c r="P540" s="26"/>
      <c r="Q540" s="26"/>
      <c r="R540" s="26"/>
      <c r="S540" s="25"/>
      <c r="T540" s="26"/>
      <c r="U540" s="26"/>
      <c r="V540" s="25"/>
      <c r="W540" s="25"/>
      <c r="X540" s="26"/>
      <c r="Y540" s="25"/>
      <c r="Z540" s="10"/>
    </row>
    <row r="541" spans="1:26" ht="12.75">
      <c r="A541" s="25"/>
      <c r="B541" s="25"/>
      <c r="C541" s="25"/>
      <c r="D541" s="26"/>
      <c r="E541" s="26"/>
      <c r="F541" s="26"/>
      <c r="G541" s="26"/>
      <c r="H541" s="25"/>
      <c r="I541" s="26"/>
      <c r="J541" s="25"/>
      <c r="K541" s="25"/>
      <c r="L541" s="26"/>
      <c r="M541" s="25"/>
      <c r="N541" s="25"/>
      <c r="O541" s="26"/>
      <c r="P541" s="26"/>
      <c r="Q541" s="26"/>
      <c r="R541" s="26"/>
      <c r="S541" s="25"/>
      <c r="T541" s="26"/>
      <c r="U541" s="26"/>
      <c r="V541" s="25"/>
      <c r="W541" s="25"/>
      <c r="X541" s="26"/>
      <c r="Y541" s="25"/>
      <c r="Z541" s="10"/>
    </row>
    <row r="542" spans="1:26" ht="12.75">
      <c r="A542" s="25"/>
      <c r="B542" s="25"/>
      <c r="C542" s="25"/>
      <c r="D542" s="26"/>
      <c r="E542" s="26"/>
      <c r="F542" s="26"/>
      <c r="G542" s="26"/>
      <c r="H542" s="25"/>
      <c r="I542" s="26"/>
      <c r="J542" s="25"/>
      <c r="K542" s="25"/>
      <c r="L542" s="26"/>
      <c r="M542" s="25"/>
      <c r="N542" s="25"/>
      <c r="O542" s="26"/>
      <c r="P542" s="26"/>
      <c r="Q542" s="26"/>
      <c r="R542" s="26"/>
      <c r="S542" s="25"/>
      <c r="T542" s="26"/>
      <c r="U542" s="26"/>
      <c r="V542" s="25"/>
      <c r="W542" s="25"/>
      <c r="X542" s="26"/>
      <c r="Y542" s="25"/>
      <c r="Z542" s="10"/>
    </row>
    <row r="543" spans="1:26" ht="12.75">
      <c r="A543" s="25"/>
      <c r="B543" s="25"/>
      <c r="C543" s="25"/>
      <c r="D543" s="26"/>
      <c r="E543" s="26"/>
      <c r="F543" s="26"/>
      <c r="G543" s="26"/>
      <c r="H543" s="25"/>
      <c r="I543" s="26"/>
      <c r="J543" s="25"/>
      <c r="K543" s="25"/>
      <c r="L543" s="26"/>
      <c r="M543" s="25"/>
      <c r="N543" s="25"/>
      <c r="O543" s="26"/>
      <c r="P543" s="26"/>
      <c r="Q543" s="26"/>
      <c r="R543" s="26"/>
      <c r="S543" s="25"/>
      <c r="T543" s="26"/>
      <c r="U543" s="26"/>
      <c r="V543" s="25"/>
      <c r="W543" s="25"/>
      <c r="X543" s="26"/>
      <c r="Y543" s="25"/>
      <c r="Z543" s="10"/>
    </row>
    <row r="544" spans="1:26" ht="12.75">
      <c r="A544" s="25"/>
      <c r="B544" s="25"/>
      <c r="C544" s="25"/>
      <c r="D544" s="26"/>
      <c r="E544" s="26"/>
      <c r="F544" s="26"/>
      <c r="G544" s="26"/>
      <c r="H544" s="25"/>
      <c r="I544" s="26"/>
      <c r="J544" s="25"/>
      <c r="K544" s="25"/>
      <c r="L544" s="26"/>
      <c r="M544" s="25"/>
      <c r="N544" s="25"/>
      <c r="O544" s="26"/>
      <c r="P544" s="26"/>
      <c r="Q544" s="26"/>
      <c r="R544" s="26"/>
      <c r="S544" s="25"/>
      <c r="T544" s="26"/>
      <c r="U544" s="26"/>
      <c r="V544" s="25"/>
      <c r="W544" s="25"/>
      <c r="X544" s="26"/>
      <c r="Y544" s="25"/>
      <c r="Z544" s="10"/>
    </row>
    <row r="545" spans="1:26" ht="12.75">
      <c r="A545" s="25"/>
      <c r="B545" s="25"/>
      <c r="C545" s="25"/>
      <c r="D545" s="26"/>
      <c r="E545" s="26"/>
      <c r="F545" s="26"/>
      <c r="G545" s="26"/>
      <c r="H545" s="25"/>
      <c r="I545" s="26"/>
      <c r="J545" s="25"/>
      <c r="K545" s="25"/>
      <c r="L545" s="26"/>
      <c r="M545" s="25"/>
      <c r="N545" s="25"/>
      <c r="O545" s="26"/>
      <c r="P545" s="26"/>
      <c r="Q545" s="26"/>
      <c r="R545" s="26"/>
      <c r="S545" s="25"/>
      <c r="T545" s="26"/>
      <c r="U545" s="26"/>
      <c r="V545" s="25"/>
      <c r="W545" s="25"/>
      <c r="X545" s="26"/>
      <c r="Y545" s="25"/>
      <c r="Z545" s="10"/>
    </row>
    <row r="546" spans="1:26" ht="12.75">
      <c r="A546" s="25"/>
      <c r="B546" s="25"/>
      <c r="C546" s="25"/>
      <c r="D546" s="26"/>
      <c r="E546" s="26"/>
      <c r="F546" s="26"/>
      <c r="G546" s="26"/>
      <c r="H546" s="25"/>
      <c r="I546" s="26"/>
      <c r="J546" s="25"/>
      <c r="K546" s="25"/>
      <c r="L546" s="26"/>
      <c r="M546" s="25"/>
      <c r="N546" s="25"/>
      <c r="O546" s="26"/>
      <c r="P546" s="26"/>
      <c r="Q546" s="26"/>
      <c r="R546" s="26"/>
      <c r="S546" s="25"/>
      <c r="T546" s="26"/>
      <c r="U546" s="26"/>
      <c r="V546" s="25"/>
      <c r="W546" s="25"/>
      <c r="X546" s="26"/>
      <c r="Y546" s="25"/>
      <c r="Z546" s="10"/>
    </row>
    <row r="547" spans="1:26" ht="12.75">
      <c r="A547" s="25"/>
      <c r="B547" s="25"/>
      <c r="C547" s="25"/>
      <c r="D547" s="26"/>
      <c r="E547" s="26"/>
      <c r="F547" s="26"/>
      <c r="G547" s="26"/>
      <c r="H547" s="25"/>
      <c r="I547" s="26"/>
      <c r="J547" s="25"/>
      <c r="K547" s="25"/>
      <c r="L547" s="26"/>
      <c r="M547" s="25"/>
      <c r="N547" s="25"/>
      <c r="O547" s="26"/>
      <c r="P547" s="26"/>
      <c r="Q547" s="26"/>
      <c r="R547" s="26"/>
      <c r="S547" s="25"/>
      <c r="T547" s="26"/>
      <c r="U547" s="26"/>
      <c r="V547" s="25"/>
      <c r="W547" s="25"/>
      <c r="X547" s="26"/>
      <c r="Y547" s="25"/>
      <c r="Z547" s="10"/>
    </row>
    <row r="548" spans="1:26" ht="12.75">
      <c r="A548" s="25"/>
      <c r="B548" s="25"/>
      <c r="C548" s="25"/>
      <c r="D548" s="26"/>
      <c r="E548" s="26"/>
      <c r="F548" s="26"/>
      <c r="G548" s="26"/>
      <c r="H548" s="25"/>
      <c r="I548" s="26"/>
      <c r="J548" s="25"/>
      <c r="K548" s="25"/>
      <c r="L548" s="26"/>
      <c r="M548" s="25"/>
      <c r="N548" s="25"/>
      <c r="O548" s="26"/>
      <c r="P548" s="26"/>
      <c r="Q548" s="26"/>
      <c r="R548" s="26"/>
      <c r="S548" s="25"/>
      <c r="T548" s="26"/>
      <c r="U548" s="26"/>
      <c r="V548" s="25"/>
      <c r="W548" s="25"/>
      <c r="X548" s="26"/>
      <c r="Y548" s="25"/>
      <c r="Z548" s="10"/>
    </row>
    <row r="549" spans="1:26" ht="12.75">
      <c r="A549" s="25"/>
      <c r="B549" s="25"/>
      <c r="C549" s="25"/>
      <c r="D549" s="26"/>
      <c r="E549" s="26"/>
      <c r="F549" s="26"/>
      <c r="G549" s="26"/>
      <c r="H549" s="25"/>
      <c r="I549" s="26"/>
      <c r="J549" s="25"/>
      <c r="K549" s="25"/>
      <c r="L549" s="26"/>
      <c r="M549" s="25"/>
      <c r="N549" s="25"/>
      <c r="O549" s="26"/>
      <c r="P549" s="26"/>
      <c r="Q549" s="26"/>
      <c r="R549" s="26"/>
      <c r="S549" s="25"/>
      <c r="T549" s="26"/>
      <c r="U549" s="26"/>
      <c r="V549" s="25"/>
      <c r="W549" s="25"/>
      <c r="X549" s="26"/>
      <c r="Y549" s="25"/>
      <c r="Z549" s="10"/>
    </row>
    <row r="550" spans="1:26" ht="12.75">
      <c r="A550" s="25"/>
      <c r="B550" s="25"/>
      <c r="C550" s="25"/>
      <c r="D550" s="26"/>
      <c r="E550" s="26"/>
      <c r="F550" s="26"/>
      <c r="G550" s="26"/>
      <c r="H550" s="25"/>
      <c r="I550" s="26"/>
      <c r="J550" s="25"/>
      <c r="K550" s="25"/>
      <c r="L550" s="26"/>
      <c r="M550" s="25"/>
      <c r="N550" s="25"/>
      <c r="O550" s="26"/>
      <c r="P550" s="26"/>
      <c r="Q550" s="26"/>
      <c r="R550" s="26"/>
      <c r="S550" s="25"/>
      <c r="T550" s="26"/>
      <c r="U550" s="26"/>
      <c r="V550" s="25"/>
      <c r="W550" s="25"/>
      <c r="X550" s="26"/>
      <c r="Y550" s="25"/>
      <c r="Z550" s="10"/>
    </row>
    <row r="551" spans="1:26" ht="12.75">
      <c r="A551" s="25"/>
      <c r="B551" s="25"/>
      <c r="C551" s="25"/>
      <c r="D551" s="26"/>
      <c r="E551" s="26"/>
      <c r="F551" s="26"/>
      <c r="G551" s="26"/>
      <c r="H551" s="25"/>
      <c r="I551" s="26"/>
      <c r="J551" s="25"/>
      <c r="K551" s="25"/>
      <c r="L551" s="26"/>
      <c r="M551" s="25"/>
      <c r="N551" s="25"/>
      <c r="O551" s="26"/>
      <c r="P551" s="26"/>
      <c r="Q551" s="26"/>
      <c r="R551" s="26"/>
      <c r="S551" s="25"/>
      <c r="T551" s="26"/>
      <c r="U551" s="26"/>
      <c r="V551" s="25"/>
      <c r="W551" s="25"/>
      <c r="X551" s="26"/>
      <c r="Y551" s="25"/>
      <c r="Z551" s="10"/>
    </row>
    <row r="552" spans="1:26" ht="12.75">
      <c r="A552" s="25"/>
      <c r="B552" s="25"/>
      <c r="C552" s="25"/>
      <c r="D552" s="26"/>
      <c r="E552" s="26"/>
      <c r="F552" s="26"/>
      <c r="G552" s="26"/>
      <c r="H552" s="25"/>
      <c r="I552" s="26"/>
      <c r="J552" s="25"/>
      <c r="K552" s="25"/>
      <c r="L552" s="26"/>
      <c r="M552" s="25"/>
      <c r="N552" s="25"/>
      <c r="O552" s="26"/>
      <c r="P552" s="26"/>
      <c r="Q552" s="26"/>
      <c r="R552" s="26"/>
      <c r="S552" s="25"/>
      <c r="T552" s="26"/>
      <c r="U552" s="26"/>
      <c r="V552" s="25"/>
      <c r="W552" s="25"/>
      <c r="X552" s="26"/>
      <c r="Y552" s="25"/>
      <c r="Z552" s="10"/>
    </row>
    <row r="553" spans="1:26" ht="12.75">
      <c r="A553" s="25"/>
      <c r="B553" s="25"/>
      <c r="C553" s="25"/>
      <c r="D553" s="26"/>
      <c r="E553" s="26"/>
      <c r="F553" s="26"/>
      <c r="G553" s="26"/>
      <c r="H553" s="25"/>
      <c r="I553" s="26"/>
      <c r="J553" s="25"/>
      <c r="K553" s="25"/>
      <c r="L553" s="26"/>
      <c r="M553" s="25"/>
      <c r="N553" s="25"/>
      <c r="O553" s="26"/>
      <c r="P553" s="26"/>
      <c r="Q553" s="26"/>
      <c r="R553" s="26"/>
      <c r="S553" s="25"/>
      <c r="T553" s="26"/>
      <c r="U553" s="26"/>
      <c r="V553" s="25"/>
      <c r="W553" s="25"/>
      <c r="X553" s="26"/>
      <c r="Y553" s="25"/>
      <c r="Z553" s="10"/>
    </row>
    <row r="554" spans="1:26" ht="12.75">
      <c r="A554" s="25"/>
      <c r="B554" s="25"/>
      <c r="C554" s="25"/>
      <c r="D554" s="26"/>
      <c r="E554" s="26"/>
      <c r="F554" s="26"/>
      <c r="G554" s="26"/>
      <c r="H554" s="25"/>
      <c r="I554" s="26"/>
      <c r="J554" s="25"/>
      <c r="K554" s="25"/>
      <c r="L554" s="26"/>
      <c r="M554" s="25"/>
      <c r="N554" s="25"/>
      <c r="O554" s="26"/>
      <c r="P554" s="26"/>
      <c r="Q554" s="26"/>
      <c r="R554" s="26"/>
      <c r="S554" s="25"/>
      <c r="T554" s="26"/>
      <c r="U554" s="26"/>
      <c r="V554" s="25"/>
      <c r="W554" s="25"/>
      <c r="X554" s="26"/>
      <c r="Y554" s="25"/>
      <c r="Z554" s="10"/>
    </row>
    <row r="555" spans="1:26" ht="12.75">
      <c r="A555" s="25"/>
      <c r="B555" s="25"/>
      <c r="C555" s="25"/>
      <c r="D555" s="26"/>
      <c r="E555" s="26"/>
      <c r="F555" s="26"/>
      <c r="G555" s="26"/>
      <c r="H555" s="25"/>
      <c r="I555" s="26"/>
      <c r="J555" s="25"/>
      <c r="K555" s="25"/>
      <c r="L555" s="26"/>
      <c r="M555" s="25"/>
      <c r="N555" s="25"/>
      <c r="O555" s="26"/>
      <c r="P555" s="26"/>
      <c r="Q555" s="26"/>
      <c r="R555" s="26"/>
      <c r="S555" s="25"/>
      <c r="T555" s="26"/>
      <c r="U555" s="26"/>
      <c r="V555" s="25"/>
      <c r="W555" s="25"/>
      <c r="X555" s="26"/>
      <c r="Y555" s="25"/>
      <c r="Z555" s="10"/>
    </row>
    <row r="556" spans="1:26" ht="12.75">
      <c r="A556" s="25"/>
      <c r="B556" s="25"/>
      <c r="C556" s="25"/>
      <c r="D556" s="26"/>
      <c r="E556" s="26"/>
      <c r="F556" s="26"/>
      <c r="G556" s="26"/>
      <c r="H556" s="25"/>
      <c r="I556" s="26"/>
      <c r="J556" s="25"/>
      <c r="K556" s="25"/>
      <c r="L556" s="26"/>
      <c r="M556" s="25"/>
      <c r="N556" s="25"/>
      <c r="O556" s="26"/>
      <c r="P556" s="26"/>
      <c r="Q556" s="26"/>
      <c r="R556" s="26"/>
      <c r="S556" s="25"/>
      <c r="T556" s="26"/>
      <c r="U556" s="26"/>
      <c r="V556" s="25"/>
      <c r="W556" s="25"/>
      <c r="X556" s="26"/>
      <c r="Y556" s="25"/>
      <c r="Z556" s="10"/>
    </row>
    <row r="557" spans="1:26" ht="12.75">
      <c r="A557" s="25"/>
      <c r="B557" s="25"/>
      <c r="C557" s="25"/>
      <c r="D557" s="26"/>
      <c r="E557" s="26"/>
      <c r="F557" s="26"/>
      <c r="G557" s="26"/>
      <c r="H557" s="25"/>
      <c r="I557" s="26"/>
      <c r="J557" s="25"/>
      <c r="K557" s="25"/>
      <c r="L557" s="26"/>
      <c r="M557" s="25"/>
      <c r="N557" s="25"/>
      <c r="O557" s="26"/>
      <c r="P557" s="26"/>
      <c r="Q557" s="26"/>
      <c r="R557" s="26"/>
      <c r="S557" s="25"/>
      <c r="T557" s="26"/>
      <c r="U557" s="26"/>
      <c r="V557" s="25"/>
      <c r="W557" s="25"/>
      <c r="X557" s="26"/>
      <c r="Y557" s="25"/>
      <c r="Z557" s="10"/>
    </row>
    <row r="558" spans="1:26" ht="12.75">
      <c r="A558" s="25"/>
      <c r="B558" s="25"/>
      <c r="C558" s="25"/>
      <c r="D558" s="26"/>
      <c r="E558" s="26"/>
      <c r="F558" s="26"/>
      <c r="G558" s="26"/>
      <c r="H558" s="25"/>
      <c r="I558" s="26"/>
      <c r="J558" s="25"/>
      <c r="K558" s="25"/>
      <c r="L558" s="26"/>
      <c r="M558" s="25"/>
      <c r="N558" s="25"/>
      <c r="O558" s="26"/>
      <c r="P558" s="26"/>
      <c r="Q558" s="26"/>
      <c r="R558" s="26"/>
      <c r="S558" s="25"/>
      <c r="T558" s="26"/>
      <c r="U558" s="26"/>
      <c r="V558" s="25"/>
      <c r="W558" s="25"/>
      <c r="X558" s="26"/>
      <c r="Y558" s="25"/>
      <c r="Z558" s="10"/>
    </row>
    <row r="559" spans="1:26" ht="12.75">
      <c r="A559" s="25"/>
      <c r="B559" s="25"/>
      <c r="C559" s="25"/>
      <c r="D559" s="26"/>
      <c r="E559" s="26"/>
      <c r="F559" s="26"/>
      <c r="G559" s="26"/>
      <c r="H559" s="25"/>
      <c r="I559" s="26"/>
      <c r="J559" s="25"/>
      <c r="K559" s="25"/>
      <c r="L559" s="26"/>
      <c r="M559" s="25"/>
      <c r="N559" s="25"/>
      <c r="O559" s="26"/>
      <c r="P559" s="26"/>
      <c r="Q559" s="26"/>
      <c r="R559" s="26"/>
      <c r="S559" s="25"/>
      <c r="T559" s="26"/>
      <c r="U559" s="26"/>
      <c r="V559" s="25"/>
      <c r="W559" s="25"/>
      <c r="X559" s="26"/>
      <c r="Y559" s="25"/>
      <c r="Z559" s="10"/>
    </row>
    <row r="560" spans="1:26" ht="12.75">
      <c r="A560" s="25"/>
      <c r="B560" s="25"/>
      <c r="C560" s="25"/>
      <c r="D560" s="26"/>
      <c r="E560" s="26"/>
      <c r="F560" s="26"/>
      <c r="G560" s="26"/>
      <c r="H560" s="25"/>
      <c r="I560" s="26"/>
      <c r="J560" s="25"/>
      <c r="K560" s="25"/>
      <c r="L560" s="26"/>
      <c r="M560" s="25"/>
      <c r="N560" s="25"/>
      <c r="O560" s="26"/>
      <c r="P560" s="26"/>
      <c r="Q560" s="26"/>
      <c r="R560" s="26"/>
      <c r="S560" s="25"/>
      <c r="T560" s="26"/>
      <c r="U560" s="26"/>
      <c r="V560" s="25"/>
      <c r="W560" s="25"/>
      <c r="X560" s="26"/>
      <c r="Y560" s="25"/>
      <c r="Z560" s="10"/>
    </row>
    <row r="561" spans="1:26" ht="12.75">
      <c r="A561" s="25"/>
      <c r="B561" s="25"/>
      <c r="C561" s="25"/>
      <c r="D561" s="26"/>
      <c r="E561" s="26"/>
      <c r="F561" s="26"/>
      <c r="G561" s="26"/>
      <c r="H561" s="25"/>
      <c r="I561" s="26"/>
      <c r="J561" s="25"/>
      <c r="K561" s="25"/>
      <c r="L561" s="26"/>
      <c r="M561" s="25"/>
      <c r="N561" s="25"/>
      <c r="O561" s="26"/>
      <c r="P561" s="26"/>
      <c r="Q561" s="26"/>
      <c r="R561" s="26"/>
      <c r="S561" s="25"/>
      <c r="T561" s="26"/>
      <c r="U561" s="26"/>
      <c r="V561" s="25"/>
      <c r="W561" s="25"/>
      <c r="X561" s="26"/>
      <c r="Y561" s="25"/>
      <c r="Z561" s="10"/>
    </row>
    <row r="562" spans="1:26" ht="12.75">
      <c r="A562" s="25"/>
      <c r="B562" s="25"/>
      <c r="C562" s="25"/>
      <c r="D562" s="26"/>
      <c r="E562" s="26"/>
      <c r="F562" s="26"/>
      <c r="G562" s="26"/>
      <c r="H562" s="25"/>
      <c r="I562" s="26"/>
      <c r="J562" s="25"/>
      <c r="K562" s="25"/>
      <c r="L562" s="26"/>
      <c r="M562" s="25"/>
      <c r="N562" s="25"/>
      <c r="O562" s="26"/>
      <c r="P562" s="26"/>
      <c r="Q562" s="26"/>
      <c r="R562" s="26"/>
      <c r="S562" s="25"/>
      <c r="T562" s="26"/>
      <c r="U562" s="26"/>
      <c r="V562" s="25"/>
      <c r="W562" s="25"/>
      <c r="X562" s="26"/>
      <c r="Y562" s="25"/>
      <c r="Z562" s="10"/>
    </row>
    <row r="563" spans="1:26" ht="12.75">
      <c r="A563" s="25"/>
      <c r="B563" s="25"/>
      <c r="C563" s="25"/>
      <c r="D563" s="26"/>
      <c r="E563" s="26"/>
      <c r="F563" s="26"/>
      <c r="G563" s="26"/>
      <c r="H563" s="25"/>
      <c r="I563" s="26"/>
      <c r="J563" s="25"/>
      <c r="K563" s="25"/>
      <c r="L563" s="26"/>
      <c r="M563" s="25"/>
      <c r="N563" s="25"/>
      <c r="O563" s="26"/>
      <c r="P563" s="26"/>
      <c r="Q563" s="26"/>
      <c r="R563" s="26"/>
      <c r="S563" s="25"/>
      <c r="T563" s="26"/>
      <c r="U563" s="26"/>
      <c r="V563" s="25"/>
      <c r="W563" s="25"/>
      <c r="X563" s="26"/>
      <c r="Y563" s="25"/>
      <c r="Z563" s="10"/>
    </row>
    <row r="564" spans="1:26" ht="12.75">
      <c r="A564" s="25"/>
      <c r="B564" s="25"/>
      <c r="C564" s="25"/>
      <c r="D564" s="26"/>
      <c r="E564" s="26"/>
      <c r="F564" s="26"/>
      <c r="G564" s="26"/>
      <c r="H564" s="25"/>
      <c r="I564" s="26"/>
      <c r="J564" s="25"/>
      <c r="K564" s="25"/>
      <c r="L564" s="26"/>
      <c r="M564" s="25"/>
      <c r="N564" s="25"/>
      <c r="O564" s="26"/>
      <c r="P564" s="26"/>
      <c r="Q564" s="26"/>
      <c r="R564" s="26"/>
      <c r="S564" s="25"/>
      <c r="T564" s="26"/>
      <c r="U564" s="26"/>
      <c r="V564" s="25"/>
      <c r="W564" s="25"/>
      <c r="X564" s="26"/>
      <c r="Y564" s="25"/>
      <c r="Z564" s="10"/>
    </row>
    <row r="565" spans="1:26" ht="12.75">
      <c r="A565" s="25"/>
      <c r="B565" s="25"/>
      <c r="C565" s="25"/>
      <c r="D565" s="26"/>
      <c r="E565" s="26"/>
      <c r="F565" s="26"/>
      <c r="G565" s="26"/>
      <c r="H565" s="25"/>
      <c r="I565" s="26"/>
      <c r="J565" s="25"/>
      <c r="K565" s="25"/>
      <c r="L565" s="26"/>
      <c r="M565" s="25"/>
      <c r="N565" s="25"/>
      <c r="O565" s="26"/>
      <c r="P565" s="26"/>
      <c r="Q565" s="26"/>
      <c r="R565" s="26"/>
      <c r="S565" s="25"/>
      <c r="T565" s="26"/>
      <c r="U565" s="26"/>
      <c r="V565" s="25"/>
      <c r="W565" s="25"/>
      <c r="X565" s="26"/>
      <c r="Y565" s="25"/>
      <c r="Z565" s="10"/>
    </row>
    <row r="566" spans="1:26" ht="12.75">
      <c r="A566" s="25"/>
      <c r="B566" s="25"/>
      <c r="C566" s="25"/>
      <c r="D566" s="26"/>
      <c r="E566" s="26"/>
      <c r="F566" s="26"/>
      <c r="G566" s="26"/>
      <c r="H566" s="25"/>
      <c r="I566" s="26"/>
      <c r="J566" s="25"/>
      <c r="K566" s="25"/>
      <c r="L566" s="26"/>
      <c r="M566" s="25"/>
      <c r="N566" s="25"/>
      <c r="O566" s="26"/>
      <c r="P566" s="26"/>
      <c r="Q566" s="26"/>
      <c r="R566" s="26"/>
      <c r="S566" s="25"/>
      <c r="T566" s="26"/>
      <c r="U566" s="26"/>
      <c r="V566" s="25"/>
      <c r="W566" s="25"/>
      <c r="X566" s="26"/>
      <c r="Y566" s="25"/>
      <c r="Z566" s="10"/>
    </row>
    <row r="567" spans="1:26" ht="12.75">
      <c r="A567" s="25"/>
      <c r="B567" s="25"/>
      <c r="C567" s="25"/>
      <c r="D567" s="26"/>
      <c r="E567" s="26"/>
      <c r="F567" s="26"/>
      <c r="G567" s="26"/>
      <c r="H567" s="25"/>
      <c r="I567" s="26"/>
      <c r="J567" s="25"/>
      <c r="K567" s="25"/>
      <c r="L567" s="26"/>
      <c r="M567" s="25"/>
      <c r="N567" s="25"/>
      <c r="O567" s="26"/>
      <c r="P567" s="26"/>
      <c r="Q567" s="26"/>
      <c r="R567" s="26"/>
      <c r="S567" s="25"/>
      <c r="T567" s="26"/>
      <c r="U567" s="26"/>
      <c r="V567" s="25"/>
      <c r="W567" s="25"/>
      <c r="X567" s="26"/>
      <c r="Y567" s="25"/>
      <c r="Z567" s="10"/>
    </row>
    <row r="568" spans="1:26" ht="12.75">
      <c r="A568" s="25"/>
      <c r="B568" s="25"/>
      <c r="C568" s="25"/>
      <c r="D568" s="26"/>
      <c r="E568" s="26"/>
      <c r="F568" s="26"/>
      <c r="G568" s="26"/>
      <c r="H568" s="25"/>
      <c r="I568" s="26"/>
      <c r="J568" s="25"/>
      <c r="K568" s="25"/>
      <c r="L568" s="26"/>
      <c r="M568" s="25"/>
      <c r="N568" s="25"/>
      <c r="O568" s="26"/>
      <c r="P568" s="26"/>
      <c r="Q568" s="26"/>
      <c r="R568" s="26"/>
      <c r="S568" s="25"/>
      <c r="T568" s="26"/>
      <c r="U568" s="26"/>
      <c r="V568" s="25"/>
      <c r="W568" s="25"/>
      <c r="X568" s="26"/>
      <c r="Y568" s="25"/>
      <c r="Z568" s="10"/>
    </row>
    <row r="569" spans="1:26" ht="12.75">
      <c r="A569" s="25"/>
      <c r="B569" s="25"/>
      <c r="C569" s="25"/>
      <c r="D569" s="26"/>
      <c r="E569" s="26"/>
      <c r="F569" s="26"/>
      <c r="G569" s="26"/>
      <c r="H569" s="25"/>
      <c r="I569" s="26"/>
      <c r="J569" s="25"/>
      <c r="K569" s="25"/>
      <c r="L569" s="26"/>
      <c r="M569" s="25"/>
      <c r="N569" s="25"/>
      <c r="O569" s="26"/>
      <c r="P569" s="26"/>
      <c r="Q569" s="26"/>
      <c r="R569" s="26"/>
      <c r="S569" s="25"/>
      <c r="T569" s="26"/>
      <c r="U569" s="26"/>
      <c r="V569" s="25"/>
      <c r="W569" s="25"/>
      <c r="X569" s="26"/>
      <c r="Y569" s="25"/>
      <c r="Z569" s="10"/>
    </row>
    <row r="570" spans="1:26" ht="12.75">
      <c r="A570" s="25"/>
      <c r="B570" s="25"/>
      <c r="C570" s="25"/>
      <c r="D570" s="26"/>
      <c r="E570" s="26"/>
      <c r="F570" s="26"/>
      <c r="G570" s="26"/>
      <c r="H570" s="25"/>
      <c r="I570" s="26"/>
      <c r="J570" s="25"/>
      <c r="K570" s="25"/>
      <c r="L570" s="26"/>
      <c r="M570" s="25"/>
      <c r="N570" s="25"/>
      <c r="O570" s="26"/>
      <c r="P570" s="26"/>
      <c r="Q570" s="26"/>
      <c r="R570" s="26"/>
      <c r="S570" s="25"/>
      <c r="T570" s="26"/>
      <c r="U570" s="26"/>
      <c r="V570" s="25"/>
      <c r="W570" s="25"/>
      <c r="X570" s="26"/>
      <c r="Y570" s="25"/>
      <c r="Z570" s="10"/>
    </row>
    <row r="571" spans="1:26" ht="12.75">
      <c r="A571" s="25"/>
      <c r="B571" s="25"/>
      <c r="C571" s="25"/>
      <c r="D571" s="26"/>
      <c r="E571" s="26"/>
      <c r="F571" s="26"/>
      <c r="G571" s="26"/>
      <c r="H571" s="25"/>
      <c r="I571" s="26"/>
      <c r="J571" s="25"/>
      <c r="K571" s="25"/>
      <c r="L571" s="26"/>
      <c r="M571" s="25"/>
      <c r="N571" s="25"/>
      <c r="O571" s="26"/>
      <c r="P571" s="26"/>
      <c r="Q571" s="26"/>
      <c r="R571" s="26"/>
      <c r="S571" s="25"/>
      <c r="T571" s="26"/>
      <c r="U571" s="26"/>
      <c r="V571" s="25"/>
      <c r="W571" s="25"/>
      <c r="X571" s="26"/>
      <c r="Y571" s="25"/>
      <c r="Z571" s="10"/>
    </row>
    <row r="572" spans="1:26" ht="12.75">
      <c r="A572" s="25"/>
      <c r="B572" s="25"/>
      <c r="C572" s="25"/>
      <c r="D572" s="26"/>
      <c r="E572" s="26"/>
      <c r="F572" s="26"/>
      <c r="G572" s="26"/>
      <c r="H572" s="25"/>
      <c r="I572" s="26"/>
      <c r="J572" s="25"/>
      <c r="K572" s="25"/>
      <c r="L572" s="26"/>
      <c r="M572" s="25"/>
      <c r="N572" s="25"/>
      <c r="O572" s="26"/>
      <c r="P572" s="26"/>
      <c r="Q572" s="26"/>
      <c r="R572" s="26"/>
      <c r="S572" s="25"/>
      <c r="T572" s="26"/>
      <c r="U572" s="26"/>
      <c r="V572" s="25"/>
      <c r="W572" s="25"/>
      <c r="X572" s="26"/>
      <c r="Y572" s="25"/>
      <c r="Z572" s="10"/>
    </row>
    <row r="573" spans="1:26" ht="12.75">
      <c r="A573" s="25"/>
      <c r="B573" s="25"/>
      <c r="C573" s="25"/>
      <c r="D573" s="26"/>
      <c r="E573" s="26"/>
      <c r="F573" s="26"/>
      <c r="G573" s="26"/>
      <c r="H573" s="25"/>
      <c r="I573" s="26"/>
      <c r="J573" s="25"/>
      <c r="K573" s="25"/>
      <c r="L573" s="26"/>
      <c r="M573" s="25"/>
      <c r="N573" s="25"/>
      <c r="O573" s="26"/>
      <c r="P573" s="26"/>
      <c r="Q573" s="26"/>
      <c r="R573" s="26"/>
      <c r="S573" s="25"/>
      <c r="T573" s="26"/>
      <c r="U573" s="26"/>
      <c r="V573" s="25"/>
      <c r="W573" s="25"/>
      <c r="X573" s="26"/>
      <c r="Y573" s="25"/>
      <c r="Z573" s="10"/>
    </row>
    <row r="574" spans="1:26" ht="12.75">
      <c r="A574" s="25"/>
      <c r="B574" s="25"/>
      <c r="C574" s="25"/>
      <c r="D574" s="26"/>
      <c r="E574" s="26"/>
      <c r="F574" s="26"/>
      <c r="G574" s="26"/>
      <c r="H574" s="25"/>
      <c r="I574" s="26"/>
      <c r="J574" s="25"/>
      <c r="K574" s="25"/>
      <c r="L574" s="26"/>
      <c r="M574" s="25"/>
      <c r="N574" s="25"/>
      <c r="O574" s="26"/>
      <c r="P574" s="26"/>
      <c r="Q574" s="26"/>
      <c r="R574" s="26"/>
      <c r="S574" s="25"/>
      <c r="T574" s="26"/>
      <c r="U574" s="26"/>
      <c r="V574" s="25"/>
      <c r="W574" s="25"/>
      <c r="X574" s="26"/>
      <c r="Y574" s="25"/>
      <c r="Z574" s="10"/>
    </row>
    <row r="575" spans="1:26" ht="12.75">
      <c r="A575" s="25"/>
      <c r="B575" s="25"/>
      <c r="C575" s="25"/>
      <c r="D575" s="26"/>
      <c r="E575" s="26"/>
      <c r="F575" s="26"/>
      <c r="G575" s="26"/>
      <c r="H575" s="25"/>
      <c r="I575" s="26"/>
      <c r="J575" s="25"/>
      <c r="K575" s="25"/>
      <c r="L575" s="26"/>
      <c r="M575" s="25"/>
      <c r="N575" s="25"/>
      <c r="O575" s="26"/>
      <c r="P575" s="26"/>
      <c r="Q575" s="26"/>
      <c r="R575" s="26"/>
      <c r="S575" s="25"/>
      <c r="T575" s="26"/>
      <c r="U575" s="26"/>
      <c r="V575" s="25"/>
      <c r="W575" s="25"/>
      <c r="X575" s="26"/>
      <c r="Y575" s="25"/>
      <c r="Z575" s="10"/>
    </row>
    <row r="576" spans="1:26" ht="12.75">
      <c r="A576" s="25"/>
      <c r="B576" s="25"/>
      <c r="C576" s="25"/>
      <c r="D576" s="26"/>
      <c r="E576" s="26"/>
      <c r="F576" s="26"/>
      <c r="G576" s="26"/>
      <c r="H576" s="25"/>
      <c r="I576" s="26"/>
      <c r="J576" s="25"/>
      <c r="K576" s="25"/>
      <c r="L576" s="26"/>
      <c r="M576" s="25"/>
      <c r="N576" s="25"/>
      <c r="O576" s="26"/>
      <c r="P576" s="26"/>
      <c r="Q576" s="26"/>
      <c r="R576" s="26"/>
      <c r="S576" s="25"/>
      <c r="T576" s="26"/>
      <c r="U576" s="26"/>
      <c r="V576" s="25"/>
      <c r="W576" s="25"/>
      <c r="X576" s="26"/>
      <c r="Y576" s="25"/>
      <c r="Z576" s="10"/>
    </row>
    <row r="577" spans="1:26" ht="12.75">
      <c r="A577" s="25"/>
      <c r="B577" s="25"/>
      <c r="C577" s="25"/>
      <c r="D577" s="26"/>
      <c r="E577" s="26"/>
      <c r="F577" s="26"/>
      <c r="G577" s="26"/>
      <c r="H577" s="25"/>
      <c r="I577" s="26"/>
      <c r="J577" s="25"/>
      <c r="K577" s="25"/>
      <c r="L577" s="26"/>
      <c r="M577" s="25"/>
      <c r="N577" s="25"/>
      <c r="O577" s="26"/>
      <c r="P577" s="26"/>
      <c r="Q577" s="26"/>
      <c r="R577" s="26"/>
      <c r="S577" s="25"/>
      <c r="T577" s="26"/>
      <c r="U577" s="26"/>
      <c r="V577" s="25"/>
      <c r="W577" s="25"/>
      <c r="X577" s="26"/>
      <c r="Y577" s="25"/>
      <c r="Z577" s="10"/>
    </row>
    <row r="578" spans="1:26" ht="12.75">
      <c r="A578" s="25"/>
      <c r="B578" s="25"/>
      <c r="C578" s="25"/>
      <c r="D578" s="26"/>
      <c r="E578" s="26"/>
      <c r="F578" s="26"/>
      <c r="G578" s="26"/>
      <c r="H578" s="25"/>
      <c r="I578" s="26"/>
      <c r="J578" s="25"/>
      <c r="K578" s="25"/>
      <c r="L578" s="26"/>
      <c r="M578" s="25"/>
      <c r="N578" s="25"/>
      <c r="O578" s="26"/>
      <c r="P578" s="26"/>
      <c r="Q578" s="26"/>
      <c r="R578" s="26"/>
      <c r="S578" s="25"/>
      <c r="T578" s="26"/>
      <c r="U578" s="26"/>
      <c r="V578" s="25"/>
      <c r="W578" s="25"/>
      <c r="X578" s="26"/>
      <c r="Y578" s="25"/>
      <c r="Z578" s="10"/>
    </row>
    <row r="579" spans="1:26" ht="12.75">
      <c r="A579" s="25"/>
      <c r="B579" s="25"/>
      <c r="C579" s="25"/>
      <c r="D579" s="26"/>
      <c r="E579" s="26"/>
      <c r="F579" s="26"/>
      <c r="G579" s="26"/>
      <c r="H579" s="25"/>
      <c r="I579" s="26"/>
      <c r="J579" s="25"/>
      <c r="K579" s="25"/>
      <c r="L579" s="26"/>
      <c r="M579" s="25"/>
      <c r="N579" s="25"/>
      <c r="O579" s="26"/>
      <c r="P579" s="26"/>
      <c r="Q579" s="26"/>
      <c r="R579" s="26"/>
      <c r="S579" s="25"/>
      <c r="T579" s="26"/>
      <c r="U579" s="26"/>
      <c r="V579" s="25"/>
      <c r="W579" s="25"/>
      <c r="X579" s="26"/>
      <c r="Y579" s="25"/>
      <c r="Z579" s="10"/>
    </row>
    <row r="580" spans="1:26" ht="12.75">
      <c r="A580" s="25"/>
      <c r="B580" s="25"/>
      <c r="C580" s="25"/>
      <c r="D580" s="26"/>
      <c r="E580" s="26"/>
      <c r="F580" s="26"/>
      <c r="G580" s="26"/>
      <c r="H580" s="25"/>
      <c r="I580" s="26"/>
      <c r="J580" s="25"/>
      <c r="K580" s="25"/>
      <c r="L580" s="26"/>
      <c r="M580" s="25"/>
      <c r="N580" s="25"/>
      <c r="O580" s="26"/>
      <c r="P580" s="26"/>
      <c r="Q580" s="26"/>
      <c r="R580" s="26"/>
      <c r="S580" s="25"/>
      <c r="T580" s="26"/>
      <c r="U580" s="26"/>
      <c r="V580" s="25"/>
      <c r="W580" s="25"/>
      <c r="X580" s="26"/>
      <c r="Y580" s="25"/>
      <c r="Z580" s="10"/>
    </row>
    <row r="581" spans="1:26" ht="12.75">
      <c r="A581" s="25"/>
      <c r="B581" s="25"/>
      <c r="C581" s="25"/>
      <c r="D581" s="26"/>
      <c r="E581" s="26"/>
      <c r="F581" s="26"/>
      <c r="G581" s="26"/>
      <c r="H581" s="25"/>
      <c r="I581" s="26"/>
      <c r="J581" s="25"/>
      <c r="K581" s="25"/>
      <c r="L581" s="26"/>
      <c r="M581" s="25"/>
      <c r="N581" s="25"/>
      <c r="O581" s="26"/>
      <c r="P581" s="26"/>
      <c r="Q581" s="26"/>
      <c r="R581" s="26"/>
      <c r="S581" s="25"/>
      <c r="T581" s="26"/>
      <c r="U581" s="26"/>
      <c r="V581" s="25"/>
      <c r="W581" s="25"/>
      <c r="X581" s="26"/>
      <c r="Y581" s="25"/>
      <c r="Z581" s="10"/>
    </row>
    <row r="582" spans="1:26" ht="12.75">
      <c r="A582" s="25"/>
      <c r="B582" s="25"/>
      <c r="C582" s="25"/>
      <c r="D582" s="26"/>
      <c r="E582" s="26"/>
      <c r="F582" s="26"/>
      <c r="G582" s="26"/>
      <c r="H582" s="25"/>
      <c r="I582" s="26"/>
      <c r="J582" s="25"/>
      <c r="K582" s="25"/>
      <c r="L582" s="26"/>
      <c r="M582" s="25"/>
      <c r="N582" s="25"/>
      <c r="O582" s="26"/>
      <c r="P582" s="26"/>
      <c r="Q582" s="26"/>
      <c r="R582" s="26"/>
      <c r="S582" s="25"/>
      <c r="T582" s="26"/>
      <c r="U582" s="26"/>
      <c r="V582" s="25"/>
      <c r="W582" s="25"/>
      <c r="X582" s="26"/>
      <c r="Y582" s="25"/>
      <c r="Z582" s="10"/>
    </row>
    <row r="583" spans="1:26" ht="12.75">
      <c r="A583" s="25"/>
      <c r="B583" s="25"/>
      <c r="C583" s="25"/>
      <c r="D583" s="26"/>
      <c r="E583" s="26"/>
      <c r="F583" s="26"/>
      <c r="G583" s="26"/>
      <c r="H583" s="25"/>
      <c r="I583" s="26"/>
      <c r="J583" s="25"/>
      <c r="K583" s="25"/>
      <c r="L583" s="26"/>
      <c r="M583" s="25"/>
      <c r="N583" s="25"/>
      <c r="O583" s="26"/>
      <c r="P583" s="26"/>
      <c r="Q583" s="26"/>
      <c r="R583" s="26"/>
      <c r="S583" s="25"/>
      <c r="T583" s="26"/>
      <c r="U583" s="26"/>
      <c r="V583" s="25"/>
      <c r="W583" s="25"/>
      <c r="X583" s="26"/>
      <c r="Y583" s="25"/>
      <c r="Z583" s="10"/>
    </row>
    <row r="584" spans="1:26" ht="12.75">
      <c r="A584" s="25"/>
      <c r="B584" s="25"/>
      <c r="C584" s="25"/>
      <c r="D584" s="26"/>
      <c r="E584" s="26"/>
      <c r="F584" s="26"/>
      <c r="G584" s="26"/>
      <c r="H584" s="25"/>
      <c r="I584" s="26"/>
      <c r="J584" s="25"/>
      <c r="K584" s="25"/>
      <c r="L584" s="26"/>
      <c r="M584" s="25"/>
      <c r="N584" s="25"/>
      <c r="O584" s="26"/>
      <c r="P584" s="26"/>
      <c r="Q584" s="26"/>
      <c r="R584" s="26"/>
      <c r="S584" s="25"/>
      <c r="T584" s="26"/>
      <c r="U584" s="26"/>
      <c r="V584" s="25"/>
      <c r="W584" s="25"/>
      <c r="X584" s="26"/>
      <c r="Y584" s="25"/>
      <c r="Z584" s="10"/>
    </row>
    <row r="585" spans="1:26" ht="12.75">
      <c r="A585" s="25"/>
      <c r="B585" s="25"/>
      <c r="C585" s="25"/>
      <c r="D585" s="26"/>
      <c r="E585" s="26"/>
      <c r="F585" s="26"/>
      <c r="G585" s="26"/>
      <c r="H585" s="25"/>
      <c r="I585" s="26"/>
      <c r="J585" s="25"/>
      <c r="K585" s="25"/>
      <c r="L585" s="26"/>
      <c r="M585" s="25"/>
      <c r="N585" s="25"/>
      <c r="O585" s="26"/>
      <c r="P585" s="26"/>
      <c r="Q585" s="26"/>
      <c r="R585" s="26"/>
      <c r="S585" s="25"/>
      <c r="T585" s="26"/>
      <c r="U585" s="26"/>
      <c r="V585" s="25"/>
      <c r="W585" s="25"/>
      <c r="X585" s="26"/>
      <c r="Y585" s="25"/>
      <c r="Z585" s="10"/>
    </row>
    <row r="586" spans="1:26" ht="12.75">
      <c r="A586" s="25"/>
      <c r="B586" s="25"/>
      <c r="C586" s="25"/>
      <c r="D586" s="26"/>
      <c r="E586" s="26"/>
      <c r="F586" s="26"/>
      <c r="G586" s="26"/>
      <c r="H586" s="25"/>
      <c r="I586" s="26"/>
      <c r="J586" s="25"/>
      <c r="K586" s="25"/>
      <c r="L586" s="26"/>
      <c r="M586" s="25"/>
      <c r="N586" s="25"/>
      <c r="O586" s="26"/>
      <c r="P586" s="26"/>
      <c r="Q586" s="26"/>
      <c r="R586" s="26"/>
      <c r="S586" s="25"/>
      <c r="T586" s="26"/>
      <c r="U586" s="26"/>
      <c r="V586" s="25"/>
      <c r="W586" s="25"/>
      <c r="X586" s="26"/>
      <c r="Y586" s="25"/>
      <c r="Z586" s="10"/>
    </row>
    <row r="587" spans="1:26" ht="12.75">
      <c r="A587" s="25"/>
      <c r="B587" s="25"/>
      <c r="C587" s="25"/>
      <c r="D587" s="26"/>
      <c r="E587" s="26"/>
      <c r="F587" s="26"/>
      <c r="G587" s="26"/>
      <c r="H587" s="25"/>
      <c r="I587" s="26"/>
      <c r="J587" s="25"/>
      <c r="K587" s="25"/>
      <c r="L587" s="26"/>
      <c r="M587" s="25"/>
      <c r="N587" s="25"/>
      <c r="O587" s="26"/>
      <c r="P587" s="26"/>
      <c r="Q587" s="26"/>
      <c r="R587" s="26"/>
      <c r="S587" s="25"/>
      <c r="T587" s="26"/>
      <c r="U587" s="26"/>
      <c r="V587" s="25"/>
      <c r="W587" s="25"/>
      <c r="X587" s="26"/>
      <c r="Y587" s="25"/>
      <c r="Z587" s="10"/>
    </row>
    <row r="588" spans="1:26" ht="12.75">
      <c r="A588" s="25"/>
      <c r="B588" s="25"/>
      <c r="C588" s="25"/>
      <c r="D588" s="26"/>
      <c r="E588" s="26"/>
      <c r="F588" s="26"/>
      <c r="G588" s="26"/>
      <c r="H588" s="25"/>
      <c r="I588" s="26"/>
      <c r="J588" s="25"/>
      <c r="K588" s="25"/>
      <c r="L588" s="26"/>
      <c r="M588" s="25"/>
      <c r="N588" s="25"/>
      <c r="O588" s="26"/>
      <c r="P588" s="26"/>
      <c r="Q588" s="26"/>
      <c r="R588" s="26"/>
      <c r="S588" s="25"/>
      <c r="T588" s="26"/>
      <c r="U588" s="26"/>
      <c r="V588" s="25"/>
      <c r="W588" s="25"/>
      <c r="X588" s="26"/>
      <c r="Y588" s="25"/>
      <c r="Z588" s="10"/>
    </row>
    <row r="589" spans="1:26" ht="12.75">
      <c r="A589" s="25"/>
      <c r="B589" s="25"/>
      <c r="C589" s="25"/>
      <c r="D589" s="26"/>
      <c r="E589" s="26"/>
      <c r="F589" s="26"/>
      <c r="G589" s="26"/>
      <c r="H589" s="25"/>
      <c r="I589" s="26"/>
      <c r="J589" s="25"/>
      <c r="K589" s="25"/>
      <c r="L589" s="26"/>
      <c r="M589" s="25"/>
      <c r="N589" s="25"/>
      <c r="O589" s="26"/>
      <c r="P589" s="26"/>
      <c r="Q589" s="26"/>
      <c r="R589" s="26"/>
      <c r="S589" s="25"/>
      <c r="T589" s="26"/>
      <c r="U589" s="26"/>
      <c r="V589" s="25"/>
      <c r="W589" s="25"/>
      <c r="X589" s="26"/>
      <c r="Y589" s="25"/>
      <c r="Z589" s="10"/>
    </row>
    <row r="590" spans="1:26" ht="12.75">
      <c r="A590" s="25"/>
      <c r="B590" s="25"/>
      <c r="C590" s="25"/>
      <c r="D590" s="26"/>
      <c r="E590" s="26"/>
      <c r="F590" s="26"/>
      <c r="G590" s="26"/>
      <c r="H590" s="25"/>
      <c r="I590" s="26"/>
      <c r="J590" s="25"/>
      <c r="K590" s="25"/>
      <c r="L590" s="26"/>
      <c r="M590" s="25"/>
      <c r="N590" s="25"/>
      <c r="O590" s="26"/>
      <c r="P590" s="26"/>
      <c r="Q590" s="26"/>
      <c r="R590" s="26"/>
      <c r="S590" s="25"/>
      <c r="T590" s="26"/>
      <c r="U590" s="26"/>
      <c r="V590" s="25"/>
      <c r="W590" s="25"/>
      <c r="X590" s="26"/>
      <c r="Y590" s="25"/>
      <c r="Z590" s="10"/>
    </row>
    <row r="591" spans="1:26" ht="12.75">
      <c r="A591" s="25"/>
      <c r="B591" s="25"/>
      <c r="C591" s="25"/>
      <c r="D591" s="26"/>
      <c r="E591" s="26"/>
      <c r="F591" s="26"/>
      <c r="G591" s="26"/>
      <c r="H591" s="25"/>
      <c r="I591" s="26"/>
      <c r="J591" s="25"/>
      <c r="K591" s="25"/>
      <c r="L591" s="26"/>
      <c r="M591" s="25"/>
      <c r="N591" s="25"/>
      <c r="O591" s="26"/>
      <c r="P591" s="26"/>
      <c r="Q591" s="26"/>
      <c r="R591" s="26"/>
      <c r="S591" s="25"/>
      <c r="T591" s="26"/>
      <c r="U591" s="26"/>
      <c r="V591" s="25"/>
      <c r="W591" s="25"/>
      <c r="X591" s="26"/>
      <c r="Y591" s="25"/>
      <c r="Z591" s="10"/>
    </row>
    <row r="592" spans="1:26" ht="12.75">
      <c r="A592" s="25"/>
      <c r="B592" s="25"/>
      <c r="C592" s="25"/>
      <c r="D592" s="26"/>
      <c r="E592" s="26"/>
      <c r="F592" s="26"/>
      <c r="G592" s="26"/>
      <c r="H592" s="25"/>
      <c r="I592" s="26"/>
      <c r="J592" s="25"/>
      <c r="K592" s="25"/>
      <c r="L592" s="26"/>
      <c r="M592" s="25"/>
      <c r="N592" s="25"/>
      <c r="O592" s="26"/>
      <c r="P592" s="26"/>
      <c r="Q592" s="26"/>
      <c r="R592" s="26"/>
      <c r="S592" s="25"/>
      <c r="T592" s="26"/>
      <c r="U592" s="26"/>
      <c r="V592" s="25"/>
      <c r="W592" s="25"/>
      <c r="X592" s="26"/>
      <c r="Y592" s="25"/>
      <c r="Z592" s="10"/>
    </row>
    <row r="593" spans="1:26" ht="12.75">
      <c r="A593" s="25"/>
      <c r="B593" s="25"/>
      <c r="C593" s="25"/>
      <c r="D593" s="26"/>
      <c r="E593" s="26"/>
      <c r="F593" s="26"/>
      <c r="G593" s="26"/>
      <c r="H593" s="25"/>
      <c r="I593" s="26"/>
      <c r="J593" s="25"/>
      <c r="K593" s="25"/>
      <c r="L593" s="26"/>
      <c r="M593" s="25"/>
      <c r="N593" s="25"/>
      <c r="O593" s="26"/>
      <c r="P593" s="26"/>
      <c r="Q593" s="26"/>
      <c r="R593" s="26"/>
      <c r="S593" s="25"/>
      <c r="T593" s="26"/>
      <c r="U593" s="26"/>
      <c r="V593" s="25"/>
      <c r="W593" s="25"/>
      <c r="X593" s="26"/>
      <c r="Y593" s="25"/>
      <c r="Z593" s="10"/>
    </row>
    <row r="594" spans="1:26" ht="12.75">
      <c r="A594" s="25"/>
      <c r="B594" s="25"/>
      <c r="C594" s="25"/>
      <c r="D594" s="26"/>
      <c r="E594" s="26"/>
      <c r="F594" s="26"/>
      <c r="G594" s="26"/>
      <c r="H594" s="25"/>
      <c r="I594" s="26"/>
      <c r="J594" s="25"/>
      <c r="K594" s="25"/>
      <c r="L594" s="26"/>
      <c r="M594" s="25"/>
      <c r="N594" s="25"/>
      <c r="O594" s="26"/>
      <c r="P594" s="26"/>
      <c r="Q594" s="26"/>
      <c r="R594" s="26"/>
      <c r="S594" s="25"/>
      <c r="T594" s="26"/>
      <c r="U594" s="26"/>
      <c r="V594" s="25"/>
      <c r="W594" s="25"/>
      <c r="X594" s="26"/>
      <c r="Y594" s="25"/>
      <c r="Z594" s="10"/>
    </row>
    <row r="595" spans="1:26" ht="12.75">
      <c r="A595" s="25"/>
      <c r="B595" s="25"/>
      <c r="C595" s="25"/>
      <c r="D595" s="26"/>
      <c r="E595" s="26"/>
      <c r="F595" s="26"/>
      <c r="G595" s="26"/>
      <c r="H595" s="25"/>
      <c r="I595" s="26"/>
      <c r="J595" s="25"/>
      <c r="K595" s="25"/>
      <c r="L595" s="26"/>
      <c r="M595" s="25"/>
      <c r="N595" s="25"/>
      <c r="O595" s="26"/>
      <c r="P595" s="26"/>
      <c r="Q595" s="26"/>
      <c r="R595" s="26"/>
      <c r="S595" s="25"/>
      <c r="T595" s="26"/>
      <c r="U595" s="26"/>
      <c r="V595" s="25"/>
      <c r="W595" s="25"/>
      <c r="X595" s="26"/>
      <c r="Y595" s="25"/>
      <c r="Z595" s="10"/>
    </row>
    <row r="596" spans="1:26" ht="12.75">
      <c r="A596" s="25"/>
      <c r="B596" s="25"/>
      <c r="C596" s="25"/>
      <c r="D596" s="26"/>
      <c r="E596" s="26"/>
      <c r="F596" s="26"/>
      <c r="G596" s="26"/>
      <c r="H596" s="25"/>
      <c r="I596" s="26"/>
      <c r="J596" s="25"/>
      <c r="K596" s="25"/>
      <c r="L596" s="26"/>
      <c r="M596" s="25"/>
      <c r="N596" s="25"/>
      <c r="O596" s="26"/>
      <c r="P596" s="26"/>
      <c r="Q596" s="26"/>
      <c r="R596" s="26"/>
      <c r="S596" s="25"/>
      <c r="T596" s="26"/>
      <c r="U596" s="26"/>
      <c r="V596" s="25"/>
      <c r="W596" s="25"/>
      <c r="X596" s="26"/>
      <c r="Y596" s="25"/>
      <c r="Z596" s="10"/>
    </row>
    <row r="597" spans="1:26" ht="12.75">
      <c r="A597" s="25"/>
      <c r="B597" s="25"/>
      <c r="C597" s="25"/>
      <c r="D597" s="26"/>
      <c r="E597" s="26"/>
      <c r="F597" s="26"/>
      <c r="G597" s="26"/>
      <c r="H597" s="25"/>
      <c r="I597" s="26"/>
      <c r="J597" s="25"/>
      <c r="K597" s="25"/>
      <c r="L597" s="26"/>
      <c r="M597" s="25"/>
      <c r="N597" s="25"/>
      <c r="O597" s="26"/>
      <c r="P597" s="26"/>
      <c r="Q597" s="26"/>
      <c r="R597" s="26"/>
      <c r="S597" s="25"/>
      <c r="T597" s="26"/>
      <c r="U597" s="26"/>
      <c r="V597" s="25"/>
      <c r="W597" s="25"/>
      <c r="X597" s="26"/>
      <c r="Y597" s="25"/>
      <c r="Z597" s="10"/>
    </row>
    <row r="598" spans="1:26" ht="12.75">
      <c r="A598" s="25"/>
      <c r="B598" s="25"/>
      <c r="C598" s="25"/>
      <c r="D598" s="26"/>
      <c r="E598" s="26"/>
      <c r="F598" s="26"/>
      <c r="G598" s="26"/>
      <c r="H598" s="25"/>
      <c r="I598" s="26"/>
      <c r="J598" s="25"/>
      <c r="K598" s="25"/>
      <c r="L598" s="26"/>
      <c r="M598" s="25"/>
      <c r="N598" s="25"/>
      <c r="O598" s="26"/>
      <c r="P598" s="26"/>
      <c r="Q598" s="26"/>
      <c r="R598" s="26"/>
      <c r="S598" s="25"/>
      <c r="T598" s="26"/>
      <c r="U598" s="26"/>
      <c r="V598" s="25"/>
      <c r="W598" s="25"/>
      <c r="X598" s="26"/>
      <c r="Y598" s="25"/>
      <c r="Z598" s="10"/>
    </row>
    <row r="599" spans="1:26" ht="12.75">
      <c r="A599" s="25"/>
      <c r="B599" s="25"/>
      <c r="C599" s="25"/>
      <c r="D599" s="26"/>
      <c r="E599" s="26"/>
      <c r="F599" s="26"/>
      <c r="G599" s="26"/>
      <c r="H599" s="25"/>
      <c r="I599" s="26"/>
      <c r="J599" s="25"/>
      <c r="K599" s="25"/>
      <c r="L599" s="26"/>
      <c r="M599" s="25"/>
      <c r="N599" s="25"/>
      <c r="O599" s="26"/>
      <c r="P599" s="26"/>
      <c r="Q599" s="26"/>
      <c r="R599" s="26"/>
      <c r="S599" s="25"/>
      <c r="T599" s="26"/>
      <c r="U599" s="26"/>
      <c r="V599" s="25"/>
      <c r="W599" s="25"/>
      <c r="X599" s="26"/>
      <c r="Y599" s="25"/>
      <c r="Z599" s="10"/>
    </row>
    <row r="600" spans="1:26" ht="12.75">
      <c r="A600" s="25"/>
      <c r="B600" s="25"/>
      <c r="C600" s="25"/>
      <c r="D600" s="26"/>
      <c r="E600" s="26"/>
      <c r="F600" s="26"/>
      <c r="G600" s="26"/>
      <c r="H600" s="25"/>
      <c r="I600" s="26"/>
      <c r="J600" s="25"/>
      <c r="K600" s="25"/>
      <c r="L600" s="26"/>
      <c r="M600" s="25"/>
      <c r="N600" s="25"/>
      <c r="O600" s="26"/>
      <c r="P600" s="26"/>
      <c r="Q600" s="26"/>
      <c r="R600" s="26"/>
      <c r="S600" s="25"/>
      <c r="T600" s="26"/>
      <c r="U600" s="26"/>
      <c r="V600" s="25"/>
      <c r="W600" s="25"/>
      <c r="X600" s="26"/>
      <c r="Y600" s="25"/>
      <c r="Z600" s="10"/>
    </row>
    <row r="601" spans="1:26" ht="12.75">
      <c r="A601" s="25"/>
      <c r="B601" s="25"/>
      <c r="C601" s="25"/>
      <c r="D601" s="26"/>
      <c r="E601" s="26"/>
      <c r="F601" s="26"/>
      <c r="G601" s="26"/>
      <c r="H601" s="25"/>
      <c r="I601" s="26"/>
      <c r="J601" s="25"/>
      <c r="K601" s="25"/>
      <c r="L601" s="26"/>
      <c r="M601" s="25"/>
      <c r="N601" s="25"/>
      <c r="O601" s="26"/>
      <c r="P601" s="26"/>
      <c r="Q601" s="26"/>
      <c r="R601" s="26"/>
      <c r="S601" s="25"/>
      <c r="T601" s="26"/>
      <c r="U601" s="26"/>
      <c r="V601" s="25"/>
      <c r="W601" s="25"/>
      <c r="X601" s="26"/>
      <c r="Y601" s="25"/>
      <c r="Z601" s="10"/>
    </row>
    <row r="602" spans="1:26" ht="12.75">
      <c r="A602" s="25"/>
      <c r="B602" s="25"/>
      <c r="C602" s="25"/>
      <c r="D602" s="26"/>
      <c r="E602" s="26"/>
      <c r="F602" s="26"/>
      <c r="G602" s="26"/>
      <c r="H602" s="25"/>
      <c r="I602" s="26"/>
      <c r="J602" s="25"/>
      <c r="K602" s="25"/>
      <c r="L602" s="26"/>
      <c r="M602" s="25"/>
      <c r="N602" s="25"/>
      <c r="O602" s="26"/>
      <c r="P602" s="26"/>
      <c r="Q602" s="26"/>
      <c r="R602" s="26"/>
      <c r="S602" s="25"/>
      <c r="T602" s="26"/>
      <c r="U602" s="26"/>
      <c r="V602" s="25"/>
      <c r="W602" s="25"/>
      <c r="X602" s="26"/>
      <c r="Y602" s="25"/>
      <c r="Z602" s="10"/>
    </row>
    <row r="603" spans="1:26" ht="12.75">
      <c r="A603" s="25"/>
      <c r="B603" s="25"/>
      <c r="C603" s="25"/>
      <c r="D603" s="26"/>
      <c r="E603" s="26"/>
      <c r="F603" s="26"/>
      <c r="G603" s="26"/>
      <c r="H603" s="25"/>
      <c r="I603" s="26"/>
      <c r="J603" s="25"/>
      <c r="K603" s="25"/>
      <c r="L603" s="26"/>
      <c r="M603" s="25"/>
      <c r="N603" s="25"/>
      <c r="O603" s="26"/>
      <c r="P603" s="26"/>
      <c r="Q603" s="26"/>
      <c r="R603" s="26"/>
      <c r="S603" s="25"/>
      <c r="T603" s="26"/>
      <c r="U603" s="26"/>
      <c r="V603" s="25"/>
      <c r="W603" s="25"/>
      <c r="X603" s="26"/>
      <c r="Y603" s="25"/>
      <c r="Z603" s="10"/>
    </row>
    <row r="604" spans="1:26" ht="12.75">
      <c r="A604" s="25"/>
      <c r="B604" s="25"/>
      <c r="C604" s="25"/>
      <c r="D604" s="26"/>
      <c r="E604" s="26"/>
      <c r="F604" s="26"/>
      <c r="G604" s="26"/>
      <c r="H604" s="25"/>
      <c r="I604" s="26"/>
      <c r="J604" s="25"/>
      <c r="K604" s="25"/>
      <c r="L604" s="26"/>
      <c r="M604" s="25"/>
      <c r="N604" s="25"/>
      <c r="O604" s="26"/>
      <c r="P604" s="26"/>
      <c r="Q604" s="26"/>
      <c r="R604" s="26"/>
      <c r="S604" s="25"/>
      <c r="T604" s="26"/>
      <c r="U604" s="26"/>
      <c r="V604" s="25"/>
      <c r="W604" s="25"/>
      <c r="X604" s="26"/>
      <c r="Y604" s="25"/>
      <c r="Z604" s="10"/>
    </row>
    <row r="605" spans="1:26" ht="12.75">
      <c r="A605" s="25"/>
      <c r="B605" s="25"/>
      <c r="C605" s="25"/>
      <c r="D605" s="26"/>
      <c r="E605" s="26"/>
      <c r="F605" s="26"/>
      <c r="G605" s="26"/>
      <c r="H605" s="25"/>
      <c r="I605" s="26"/>
      <c r="J605" s="25"/>
      <c r="K605" s="25"/>
      <c r="L605" s="26"/>
      <c r="M605" s="25"/>
      <c r="N605" s="25"/>
      <c r="O605" s="26"/>
      <c r="P605" s="26"/>
      <c r="Q605" s="26"/>
      <c r="R605" s="26"/>
      <c r="S605" s="25"/>
      <c r="T605" s="26"/>
      <c r="U605" s="26"/>
      <c r="V605" s="25"/>
      <c r="W605" s="25"/>
      <c r="X605" s="26"/>
      <c r="Y605" s="25"/>
      <c r="Z605" s="10"/>
    </row>
    <row r="606" spans="1:26" ht="12.75">
      <c r="A606" s="25"/>
      <c r="B606" s="25"/>
      <c r="C606" s="25"/>
      <c r="D606" s="26"/>
      <c r="E606" s="26"/>
      <c r="F606" s="26"/>
      <c r="G606" s="26"/>
      <c r="H606" s="25"/>
      <c r="I606" s="26"/>
      <c r="J606" s="25"/>
      <c r="K606" s="25"/>
      <c r="L606" s="26"/>
      <c r="M606" s="25"/>
      <c r="N606" s="25"/>
      <c r="O606" s="26"/>
      <c r="P606" s="26"/>
      <c r="Q606" s="26"/>
      <c r="R606" s="26"/>
      <c r="S606" s="25"/>
      <c r="T606" s="26"/>
      <c r="U606" s="26"/>
      <c r="V606" s="25"/>
      <c r="W606" s="25"/>
      <c r="X606" s="26"/>
      <c r="Y606" s="25"/>
      <c r="Z606" s="10"/>
    </row>
    <row r="607" spans="1:26" ht="12.75">
      <c r="A607" s="25"/>
      <c r="B607" s="25"/>
      <c r="C607" s="25"/>
      <c r="D607" s="26"/>
      <c r="E607" s="26"/>
      <c r="F607" s="26"/>
      <c r="G607" s="26"/>
      <c r="H607" s="25"/>
      <c r="I607" s="26"/>
      <c r="J607" s="25"/>
      <c r="K607" s="25"/>
      <c r="L607" s="26"/>
      <c r="M607" s="25"/>
      <c r="N607" s="25"/>
      <c r="O607" s="26"/>
      <c r="P607" s="26"/>
      <c r="Q607" s="26"/>
      <c r="R607" s="26"/>
      <c r="S607" s="25"/>
      <c r="T607" s="26"/>
      <c r="U607" s="26"/>
      <c r="V607" s="25"/>
      <c r="W607" s="25"/>
      <c r="X607" s="26"/>
      <c r="Y607" s="25"/>
      <c r="Z607" s="10"/>
    </row>
    <row r="608" spans="1:26" ht="12.75">
      <c r="A608" s="25"/>
      <c r="B608" s="25"/>
      <c r="C608" s="25"/>
      <c r="D608" s="26"/>
      <c r="E608" s="26"/>
      <c r="F608" s="26"/>
      <c r="G608" s="26"/>
      <c r="H608" s="25"/>
      <c r="I608" s="26"/>
      <c r="J608" s="25"/>
      <c r="K608" s="25"/>
      <c r="L608" s="26"/>
      <c r="M608" s="25"/>
      <c r="N608" s="25"/>
      <c r="O608" s="26"/>
      <c r="P608" s="26"/>
      <c r="Q608" s="26"/>
      <c r="R608" s="26"/>
      <c r="S608" s="25"/>
      <c r="T608" s="26"/>
      <c r="U608" s="26"/>
      <c r="V608" s="25"/>
      <c r="W608" s="25"/>
      <c r="X608" s="26"/>
      <c r="Y608" s="25"/>
      <c r="Z608" s="10"/>
    </row>
    <row r="609" spans="1:26" ht="12.75">
      <c r="A609" s="25"/>
      <c r="B609" s="25"/>
      <c r="C609" s="25"/>
      <c r="D609" s="26"/>
      <c r="E609" s="26"/>
      <c r="F609" s="26"/>
      <c r="G609" s="26"/>
      <c r="H609" s="25"/>
      <c r="I609" s="26"/>
      <c r="J609" s="25"/>
      <c r="K609" s="25"/>
      <c r="L609" s="26"/>
      <c r="M609" s="25"/>
      <c r="N609" s="25"/>
      <c r="O609" s="26"/>
      <c r="P609" s="26"/>
      <c r="Q609" s="26"/>
      <c r="R609" s="26"/>
      <c r="S609" s="25"/>
      <c r="T609" s="26"/>
      <c r="U609" s="26"/>
      <c r="V609" s="25"/>
      <c r="W609" s="25"/>
      <c r="X609" s="26"/>
      <c r="Y609" s="25"/>
      <c r="Z609" s="10"/>
    </row>
    <row r="610" spans="1:26" ht="12.75">
      <c r="A610" s="25"/>
      <c r="B610" s="25"/>
      <c r="C610" s="25"/>
      <c r="D610" s="26"/>
      <c r="E610" s="26"/>
      <c r="F610" s="26"/>
      <c r="G610" s="26"/>
      <c r="H610" s="25"/>
      <c r="I610" s="26"/>
      <c r="J610" s="25"/>
      <c r="K610" s="25"/>
      <c r="L610" s="26"/>
      <c r="M610" s="25"/>
      <c r="N610" s="25"/>
      <c r="O610" s="26"/>
      <c r="P610" s="26"/>
      <c r="Q610" s="26"/>
      <c r="R610" s="26"/>
      <c r="S610" s="25"/>
      <c r="T610" s="26"/>
      <c r="U610" s="26"/>
      <c r="V610" s="25"/>
      <c r="W610" s="25"/>
      <c r="X610" s="26"/>
      <c r="Y610" s="25"/>
      <c r="Z610" s="10"/>
    </row>
    <row r="611" spans="1:26" ht="12.75">
      <c r="A611" s="25"/>
      <c r="B611" s="25"/>
      <c r="C611" s="25"/>
      <c r="D611" s="26"/>
      <c r="E611" s="26"/>
      <c r="F611" s="26"/>
      <c r="G611" s="26"/>
      <c r="H611" s="25"/>
      <c r="I611" s="26"/>
      <c r="J611" s="25"/>
      <c r="K611" s="25"/>
      <c r="L611" s="26"/>
      <c r="M611" s="25"/>
      <c r="N611" s="25"/>
      <c r="O611" s="26"/>
      <c r="P611" s="26"/>
      <c r="Q611" s="26"/>
      <c r="R611" s="26"/>
      <c r="S611" s="25"/>
      <c r="T611" s="26"/>
      <c r="U611" s="26"/>
      <c r="V611" s="25"/>
      <c r="W611" s="25"/>
      <c r="X611" s="26"/>
      <c r="Y611" s="25"/>
      <c r="Z611" s="10"/>
    </row>
    <row r="612" spans="1:26" ht="12.75">
      <c r="A612" s="25"/>
      <c r="B612" s="25"/>
      <c r="C612" s="25"/>
      <c r="D612" s="26"/>
      <c r="E612" s="26"/>
      <c r="F612" s="26"/>
      <c r="G612" s="26"/>
      <c r="H612" s="25"/>
      <c r="I612" s="26"/>
      <c r="J612" s="25"/>
      <c r="K612" s="25"/>
      <c r="L612" s="26"/>
      <c r="M612" s="25"/>
      <c r="N612" s="25"/>
      <c r="O612" s="26"/>
      <c r="P612" s="26"/>
      <c r="Q612" s="26"/>
      <c r="R612" s="26"/>
      <c r="S612" s="25"/>
      <c r="T612" s="26"/>
      <c r="U612" s="26"/>
      <c r="V612" s="25"/>
      <c r="W612" s="25"/>
      <c r="X612" s="26"/>
      <c r="Y612" s="25"/>
      <c r="Z612" s="10"/>
    </row>
    <row r="613" spans="1:26" ht="12.75">
      <c r="A613" s="25"/>
      <c r="B613" s="25"/>
      <c r="C613" s="25"/>
      <c r="D613" s="26"/>
      <c r="E613" s="26"/>
      <c r="F613" s="26"/>
      <c r="G613" s="26"/>
      <c r="H613" s="25"/>
      <c r="I613" s="26"/>
      <c r="J613" s="25"/>
      <c r="K613" s="25"/>
      <c r="L613" s="26"/>
      <c r="M613" s="25"/>
      <c r="N613" s="25"/>
      <c r="O613" s="26"/>
      <c r="P613" s="26"/>
      <c r="Q613" s="26"/>
      <c r="R613" s="26"/>
      <c r="S613" s="25"/>
      <c r="T613" s="26"/>
      <c r="U613" s="26"/>
      <c r="V613" s="25"/>
      <c r="W613" s="25"/>
      <c r="X613" s="26"/>
      <c r="Y613" s="25"/>
      <c r="Z613" s="10"/>
    </row>
    <row r="614" spans="1:26" ht="12.75">
      <c r="A614" s="25"/>
      <c r="B614" s="25"/>
      <c r="C614" s="25"/>
      <c r="D614" s="26"/>
      <c r="E614" s="26"/>
      <c r="F614" s="26"/>
      <c r="G614" s="26"/>
      <c r="H614" s="25"/>
      <c r="I614" s="26"/>
      <c r="J614" s="25"/>
      <c r="K614" s="25"/>
      <c r="L614" s="26"/>
      <c r="M614" s="25"/>
      <c r="N614" s="25"/>
      <c r="O614" s="26"/>
      <c r="P614" s="26"/>
      <c r="Q614" s="26"/>
      <c r="R614" s="26"/>
      <c r="S614" s="25"/>
      <c r="T614" s="26"/>
      <c r="U614" s="26"/>
      <c r="V614" s="25"/>
      <c r="W614" s="25"/>
      <c r="X614" s="26"/>
      <c r="Y614" s="25"/>
      <c r="Z614" s="10"/>
    </row>
    <row r="615" spans="1:26" ht="12.75">
      <c r="A615" s="25"/>
      <c r="B615" s="25"/>
      <c r="C615" s="25"/>
      <c r="D615" s="26"/>
      <c r="E615" s="26"/>
      <c r="F615" s="26"/>
      <c r="G615" s="26"/>
      <c r="H615" s="25"/>
      <c r="I615" s="26"/>
      <c r="J615" s="25"/>
      <c r="K615" s="25"/>
      <c r="L615" s="26"/>
      <c r="M615" s="25"/>
      <c r="N615" s="25"/>
      <c r="O615" s="26"/>
      <c r="P615" s="26"/>
      <c r="Q615" s="26"/>
      <c r="R615" s="26"/>
      <c r="S615" s="25"/>
      <c r="T615" s="26"/>
      <c r="U615" s="26"/>
      <c r="V615" s="25"/>
      <c r="W615" s="25"/>
      <c r="X615" s="26"/>
      <c r="Y615" s="25"/>
      <c r="Z615" s="10"/>
    </row>
    <row r="616" spans="1:26" ht="12.75">
      <c r="A616" s="25"/>
      <c r="B616" s="25"/>
      <c r="C616" s="25"/>
      <c r="D616" s="26"/>
      <c r="E616" s="26"/>
      <c r="F616" s="26"/>
      <c r="G616" s="26"/>
      <c r="H616" s="25"/>
      <c r="I616" s="26"/>
      <c r="J616" s="25"/>
      <c r="K616" s="25"/>
      <c r="L616" s="26"/>
      <c r="M616" s="25"/>
      <c r="N616" s="25"/>
      <c r="O616" s="26"/>
      <c r="P616" s="26"/>
      <c r="Q616" s="26"/>
      <c r="R616" s="26"/>
      <c r="S616" s="25"/>
      <c r="T616" s="26"/>
      <c r="U616" s="26"/>
      <c r="V616" s="25"/>
      <c r="W616" s="25"/>
      <c r="X616" s="26"/>
      <c r="Y616" s="25"/>
      <c r="Z616" s="10"/>
    </row>
    <row r="617" spans="1:26" ht="12.75">
      <c r="A617" s="25"/>
      <c r="B617" s="25"/>
      <c r="C617" s="25"/>
      <c r="D617" s="26"/>
      <c r="E617" s="26"/>
      <c r="F617" s="26"/>
      <c r="G617" s="26"/>
      <c r="H617" s="25"/>
      <c r="I617" s="26"/>
      <c r="J617" s="25"/>
      <c r="K617" s="25"/>
      <c r="L617" s="26"/>
      <c r="M617" s="25"/>
      <c r="N617" s="25"/>
      <c r="O617" s="26"/>
      <c r="P617" s="26"/>
      <c r="Q617" s="26"/>
      <c r="R617" s="26"/>
      <c r="S617" s="25"/>
      <c r="T617" s="26"/>
      <c r="U617" s="26"/>
      <c r="V617" s="25"/>
      <c r="W617" s="25"/>
      <c r="X617" s="26"/>
      <c r="Y617" s="25"/>
      <c r="Z617" s="10"/>
    </row>
    <row r="618" spans="1:26" ht="12.75">
      <c r="A618" s="25"/>
      <c r="B618" s="25"/>
      <c r="C618" s="25"/>
      <c r="D618" s="26"/>
      <c r="E618" s="26"/>
      <c r="F618" s="26"/>
      <c r="G618" s="26"/>
      <c r="H618" s="25"/>
      <c r="I618" s="26"/>
      <c r="J618" s="25"/>
      <c r="K618" s="25"/>
      <c r="L618" s="26"/>
      <c r="M618" s="25"/>
      <c r="N618" s="25"/>
      <c r="O618" s="26"/>
      <c r="P618" s="26"/>
      <c r="Q618" s="26"/>
      <c r="R618" s="26"/>
      <c r="S618" s="25"/>
      <c r="T618" s="26"/>
      <c r="U618" s="26"/>
      <c r="V618" s="25"/>
      <c r="W618" s="25"/>
      <c r="X618" s="26"/>
      <c r="Y618" s="25"/>
      <c r="Z618" s="10"/>
    </row>
    <row r="619" spans="1:26" ht="12.75">
      <c r="A619" s="25"/>
      <c r="B619" s="25"/>
      <c r="C619" s="25"/>
      <c r="D619" s="26"/>
      <c r="E619" s="26"/>
      <c r="F619" s="26"/>
      <c r="G619" s="26"/>
      <c r="H619" s="25"/>
      <c r="I619" s="26"/>
      <c r="J619" s="25"/>
      <c r="K619" s="25"/>
      <c r="L619" s="26"/>
      <c r="M619" s="25"/>
      <c r="N619" s="25"/>
      <c r="O619" s="26"/>
      <c r="P619" s="26"/>
      <c r="Q619" s="26"/>
      <c r="R619" s="26"/>
      <c r="S619" s="25"/>
      <c r="T619" s="26"/>
      <c r="U619" s="26"/>
      <c r="V619" s="25"/>
      <c r="W619" s="25"/>
      <c r="X619" s="26"/>
      <c r="Y619" s="25"/>
      <c r="Z619" s="10"/>
    </row>
    <row r="620" spans="1:26" ht="12.75">
      <c r="A620" s="25"/>
      <c r="B620" s="25"/>
      <c r="C620" s="25"/>
      <c r="D620" s="26"/>
      <c r="E620" s="26"/>
      <c r="F620" s="26"/>
      <c r="G620" s="26"/>
      <c r="H620" s="25"/>
      <c r="I620" s="26"/>
      <c r="J620" s="25"/>
      <c r="K620" s="25"/>
      <c r="L620" s="26"/>
      <c r="M620" s="25"/>
      <c r="N620" s="25"/>
      <c r="O620" s="26"/>
      <c r="P620" s="26"/>
      <c r="Q620" s="26"/>
      <c r="R620" s="26"/>
      <c r="S620" s="25"/>
      <c r="T620" s="26"/>
      <c r="U620" s="26"/>
      <c r="V620" s="25"/>
      <c r="W620" s="25"/>
      <c r="X620" s="26"/>
      <c r="Y620" s="25"/>
      <c r="Z620" s="10"/>
    </row>
    <row r="621" spans="1:26" ht="12.75">
      <c r="A621" s="25"/>
      <c r="B621" s="25"/>
      <c r="C621" s="25"/>
      <c r="D621" s="26"/>
      <c r="E621" s="26"/>
      <c r="F621" s="26"/>
      <c r="G621" s="26"/>
      <c r="H621" s="25"/>
      <c r="I621" s="26"/>
      <c r="J621" s="25"/>
      <c r="K621" s="25"/>
      <c r="L621" s="26"/>
      <c r="M621" s="25"/>
      <c r="N621" s="25"/>
      <c r="O621" s="26"/>
      <c r="P621" s="26"/>
      <c r="Q621" s="26"/>
      <c r="R621" s="26"/>
      <c r="S621" s="25"/>
      <c r="T621" s="26"/>
      <c r="U621" s="26"/>
      <c r="V621" s="25"/>
      <c r="W621" s="25"/>
      <c r="X621" s="26"/>
      <c r="Y621" s="25"/>
      <c r="Z621" s="10"/>
    </row>
    <row r="622" spans="1:26" ht="12.75">
      <c r="A622" s="25"/>
      <c r="B622" s="25"/>
      <c r="C622" s="25"/>
      <c r="D622" s="26"/>
      <c r="E622" s="26"/>
      <c r="F622" s="26"/>
      <c r="G622" s="26"/>
      <c r="H622" s="25"/>
      <c r="I622" s="26"/>
      <c r="J622" s="25"/>
      <c r="K622" s="25"/>
      <c r="L622" s="26"/>
      <c r="M622" s="25"/>
      <c r="N622" s="25"/>
      <c r="O622" s="26"/>
      <c r="P622" s="26"/>
      <c r="Q622" s="26"/>
      <c r="R622" s="26"/>
      <c r="S622" s="25"/>
      <c r="T622" s="26"/>
      <c r="U622" s="26"/>
      <c r="V622" s="25"/>
      <c r="W622" s="25"/>
      <c r="X622" s="26"/>
      <c r="Y622" s="25"/>
      <c r="Z622" s="10"/>
    </row>
    <row r="623" spans="1:26" ht="12.75">
      <c r="A623" s="25"/>
      <c r="B623" s="25"/>
      <c r="C623" s="25"/>
      <c r="D623" s="26"/>
      <c r="E623" s="26"/>
      <c r="F623" s="26"/>
      <c r="G623" s="26"/>
      <c r="H623" s="25"/>
      <c r="I623" s="26"/>
      <c r="J623" s="25"/>
      <c r="K623" s="25"/>
      <c r="L623" s="26"/>
      <c r="M623" s="25"/>
      <c r="N623" s="25"/>
      <c r="O623" s="26"/>
      <c r="P623" s="26"/>
      <c r="Q623" s="26"/>
      <c r="R623" s="26"/>
      <c r="S623" s="25"/>
      <c r="T623" s="26"/>
      <c r="U623" s="26"/>
      <c r="V623" s="25"/>
      <c r="W623" s="25"/>
      <c r="X623" s="26"/>
      <c r="Y623" s="25"/>
      <c r="Z623" s="10"/>
    </row>
    <row r="624" spans="1:26" ht="12.75">
      <c r="A624" s="25"/>
      <c r="B624" s="25"/>
      <c r="C624" s="25"/>
      <c r="D624" s="26"/>
      <c r="E624" s="26"/>
      <c r="F624" s="26"/>
      <c r="G624" s="26"/>
      <c r="H624" s="25"/>
      <c r="I624" s="26"/>
      <c r="J624" s="25"/>
      <c r="K624" s="25"/>
      <c r="L624" s="26"/>
      <c r="M624" s="25"/>
      <c r="N624" s="25"/>
      <c r="O624" s="26"/>
      <c r="P624" s="26"/>
      <c r="Q624" s="26"/>
      <c r="R624" s="26"/>
      <c r="S624" s="25"/>
      <c r="T624" s="26"/>
      <c r="U624" s="26"/>
      <c r="V624" s="25"/>
      <c r="W624" s="25"/>
      <c r="X624" s="26"/>
      <c r="Y624" s="25"/>
      <c r="Z624" s="10"/>
    </row>
    <row r="625" spans="1:26" ht="12.75">
      <c r="A625" s="25"/>
      <c r="B625" s="25"/>
      <c r="C625" s="25"/>
      <c r="D625" s="26"/>
      <c r="E625" s="26"/>
      <c r="F625" s="26"/>
      <c r="G625" s="26"/>
      <c r="H625" s="25"/>
      <c r="I625" s="26"/>
      <c r="J625" s="25"/>
      <c r="K625" s="25"/>
      <c r="L625" s="26"/>
      <c r="M625" s="25"/>
      <c r="N625" s="25"/>
      <c r="O625" s="26"/>
      <c r="P625" s="26"/>
      <c r="Q625" s="26"/>
      <c r="R625" s="26"/>
      <c r="S625" s="25"/>
      <c r="T625" s="26"/>
      <c r="U625" s="26"/>
      <c r="V625" s="25"/>
      <c r="W625" s="25"/>
      <c r="X625" s="26"/>
      <c r="Y625" s="25"/>
      <c r="Z625" s="10"/>
    </row>
    <row r="626" spans="1:26" ht="12.75">
      <c r="A626" s="25"/>
      <c r="B626" s="25"/>
      <c r="C626" s="25"/>
      <c r="D626" s="26"/>
      <c r="E626" s="26"/>
      <c r="F626" s="26"/>
      <c r="G626" s="26"/>
      <c r="H626" s="25"/>
      <c r="I626" s="26"/>
      <c r="J626" s="25"/>
      <c r="K626" s="25"/>
      <c r="L626" s="26"/>
      <c r="M626" s="25"/>
      <c r="N626" s="25"/>
      <c r="O626" s="26"/>
      <c r="P626" s="26"/>
      <c r="Q626" s="26"/>
      <c r="R626" s="26"/>
      <c r="S626" s="25"/>
      <c r="T626" s="26"/>
      <c r="U626" s="26"/>
      <c r="V626" s="25"/>
      <c r="W626" s="25"/>
      <c r="X626" s="26"/>
      <c r="Y626" s="25"/>
      <c r="Z626" s="10"/>
    </row>
    <row r="627" spans="1:26" ht="12.75">
      <c r="A627" s="25"/>
      <c r="B627" s="25"/>
      <c r="C627" s="25"/>
      <c r="D627" s="26"/>
      <c r="E627" s="26"/>
      <c r="F627" s="26"/>
      <c r="G627" s="26"/>
      <c r="H627" s="25"/>
      <c r="I627" s="26"/>
      <c r="J627" s="25"/>
      <c r="K627" s="25"/>
      <c r="L627" s="26"/>
      <c r="M627" s="25"/>
      <c r="N627" s="25"/>
      <c r="O627" s="26"/>
      <c r="P627" s="26"/>
      <c r="Q627" s="26"/>
      <c r="R627" s="26"/>
      <c r="S627" s="25"/>
      <c r="T627" s="26"/>
      <c r="U627" s="26"/>
      <c r="V627" s="25"/>
      <c r="W627" s="25"/>
      <c r="X627" s="26"/>
      <c r="Y627" s="25"/>
      <c r="Z627" s="10"/>
    </row>
    <row r="628" spans="1:26" ht="12.75">
      <c r="A628" s="25"/>
      <c r="B628" s="25"/>
      <c r="C628" s="25"/>
      <c r="D628" s="26"/>
      <c r="E628" s="26"/>
      <c r="F628" s="26"/>
      <c r="G628" s="26"/>
      <c r="H628" s="25"/>
      <c r="I628" s="26"/>
      <c r="J628" s="25"/>
      <c r="K628" s="25"/>
      <c r="L628" s="26"/>
      <c r="M628" s="25"/>
      <c r="N628" s="25"/>
      <c r="O628" s="26"/>
      <c r="P628" s="26"/>
      <c r="Q628" s="26"/>
      <c r="R628" s="26"/>
      <c r="S628" s="25"/>
      <c r="T628" s="26"/>
      <c r="U628" s="26"/>
      <c r="V628" s="25"/>
      <c r="W628" s="25"/>
      <c r="X628" s="26"/>
      <c r="Y628" s="25"/>
      <c r="Z628" s="10"/>
    </row>
    <row r="629" spans="1:26" ht="12.75">
      <c r="A629" s="25"/>
      <c r="B629" s="25"/>
      <c r="C629" s="25"/>
      <c r="D629" s="26"/>
      <c r="E629" s="26"/>
      <c r="F629" s="26"/>
      <c r="G629" s="26"/>
      <c r="H629" s="25"/>
      <c r="I629" s="26"/>
      <c r="J629" s="25"/>
      <c r="K629" s="25"/>
      <c r="L629" s="26"/>
      <c r="M629" s="25"/>
      <c r="N629" s="25"/>
      <c r="O629" s="26"/>
      <c r="P629" s="26"/>
      <c r="Q629" s="26"/>
      <c r="R629" s="26"/>
      <c r="S629" s="25"/>
      <c r="T629" s="26"/>
      <c r="U629" s="26"/>
      <c r="V629" s="25"/>
      <c r="W629" s="25"/>
      <c r="X629" s="26"/>
      <c r="Y629" s="25"/>
      <c r="Z629" s="10"/>
    </row>
    <row r="630" spans="1:26" ht="12.75">
      <c r="A630" s="25"/>
      <c r="B630" s="25"/>
      <c r="C630" s="25"/>
      <c r="D630" s="26"/>
      <c r="E630" s="26"/>
      <c r="F630" s="26"/>
      <c r="G630" s="26"/>
      <c r="H630" s="25"/>
      <c r="I630" s="26"/>
      <c r="J630" s="25"/>
      <c r="K630" s="25"/>
      <c r="L630" s="26"/>
      <c r="M630" s="25"/>
      <c r="N630" s="25"/>
      <c r="O630" s="26"/>
      <c r="P630" s="26"/>
      <c r="Q630" s="26"/>
      <c r="R630" s="26"/>
      <c r="S630" s="25"/>
      <c r="T630" s="26"/>
      <c r="U630" s="26"/>
      <c r="V630" s="25"/>
      <c r="W630" s="25"/>
      <c r="X630" s="26"/>
      <c r="Y630" s="25"/>
      <c r="Z630" s="10"/>
    </row>
    <row r="631" spans="1:26" ht="12.75">
      <c r="A631" s="25"/>
      <c r="B631" s="25"/>
      <c r="C631" s="25"/>
      <c r="D631" s="26"/>
      <c r="E631" s="26"/>
      <c r="F631" s="26"/>
      <c r="G631" s="26"/>
      <c r="H631" s="25"/>
      <c r="I631" s="26"/>
      <c r="J631" s="25"/>
      <c r="K631" s="25"/>
      <c r="L631" s="26"/>
      <c r="M631" s="25"/>
      <c r="N631" s="25"/>
      <c r="O631" s="26"/>
      <c r="P631" s="26"/>
      <c r="Q631" s="26"/>
      <c r="R631" s="26"/>
      <c r="S631" s="25"/>
      <c r="T631" s="26"/>
      <c r="U631" s="26"/>
      <c r="V631" s="25"/>
      <c r="W631" s="25"/>
      <c r="X631" s="26"/>
      <c r="Y631" s="25"/>
      <c r="Z631" s="10"/>
    </row>
    <row r="632" spans="1:26" ht="12.75">
      <c r="A632" s="25"/>
      <c r="B632" s="25"/>
      <c r="C632" s="25"/>
      <c r="D632" s="26"/>
      <c r="E632" s="26"/>
      <c r="F632" s="26"/>
      <c r="G632" s="26"/>
      <c r="H632" s="25"/>
      <c r="I632" s="26"/>
      <c r="J632" s="25"/>
      <c r="K632" s="25"/>
      <c r="L632" s="26"/>
      <c r="M632" s="25"/>
      <c r="N632" s="25"/>
      <c r="O632" s="26"/>
      <c r="P632" s="26"/>
      <c r="Q632" s="26"/>
      <c r="R632" s="26"/>
      <c r="S632" s="25"/>
      <c r="T632" s="26"/>
      <c r="U632" s="26"/>
      <c r="V632" s="25"/>
      <c r="W632" s="25"/>
      <c r="X632" s="26"/>
      <c r="Y632" s="25"/>
      <c r="Z632" s="10"/>
    </row>
    <row r="633" spans="1:26" ht="12.75">
      <c r="A633" s="25"/>
      <c r="B633" s="25"/>
      <c r="C633" s="25"/>
      <c r="D633" s="26"/>
      <c r="E633" s="26"/>
      <c r="F633" s="26"/>
      <c r="G633" s="26"/>
      <c r="H633" s="25"/>
      <c r="I633" s="26"/>
      <c r="J633" s="25"/>
      <c r="K633" s="25"/>
      <c r="L633" s="26"/>
      <c r="M633" s="25"/>
      <c r="N633" s="25"/>
      <c r="O633" s="26"/>
      <c r="P633" s="26"/>
      <c r="Q633" s="26"/>
      <c r="R633" s="26"/>
      <c r="S633" s="25"/>
      <c r="T633" s="26"/>
      <c r="U633" s="26"/>
      <c r="V633" s="25"/>
      <c r="W633" s="25"/>
      <c r="X633" s="26"/>
      <c r="Y633" s="25"/>
      <c r="Z633" s="10"/>
    </row>
    <row r="634" spans="1:26" ht="12.75">
      <c r="A634" s="25"/>
      <c r="B634" s="25"/>
      <c r="C634" s="25"/>
      <c r="D634" s="26"/>
      <c r="E634" s="26"/>
      <c r="F634" s="26"/>
      <c r="G634" s="26"/>
      <c r="H634" s="25"/>
      <c r="I634" s="26"/>
      <c r="J634" s="25"/>
      <c r="K634" s="25"/>
      <c r="L634" s="26"/>
      <c r="M634" s="25"/>
      <c r="N634" s="25"/>
      <c r="O634" s="26"/>
      <c r="P634" s="26"/>
      <c r="Q634" s="26"/>
      <c r="R634" s="26"/>
      <c r="S634" s="25"/>
      <c r="T634" s="26"/>
      <c r="U634" s="26"/>
      <c r="V634" s="25"/>
      <c r="W634" s="25"/>
      <c r="X634" s="26"/>
      <c r="Y634" s="25"/>
      <c r="Z634" s="10"/>
    </row>
    <row r="635" spans="1:26" ht="12.75">
      <c r="A635" s="25"/>
      <c r="B635" s="25"/>
      <c r="C635" s="25"/>
      <c r="D635" s="26"/>
      <c r="E635" s="26"/>
      <c r="F635" s="26"/>
      <c r="G635" s="26"/>
      <c r="H635" s="25"/>
      <c r="I635" s="26"/>
      <c r="J635" s="25"/>
      <c r="K635" s="25"/>
      <c r="L635" s="26"/>
      <c r="M635" s="25"/>
      <c r="N635" s="25"/>
      <c r="O635" s="26"/>
      <c r="P635" s="26"/>
      <c r="Q635" s="26"/>
      <c r="R635" s="26"/>
      <c r="S635" s="25"/>
      <c r="T635" s="26"/>
      <c r="U635" s="26"/>
      <c r="V635" s="25"/>
      <c r="W635" s="25"/>
      <c r="X635" s="26"/>
      <c r="Y635" s="25"/>
      <c r="Z635" s="10"/>
    </row>
    <row r="636" spans="1:26" ht="12.75">
      <c r="A636" s="25"/>
      <c r="B636" s="25"/>
      <c r="C636" s="25"/>
      <c r="D636" s="26"/>
      <c r="E636" s="26"/>
      <c r="F636" s="26"/>
      <c r="G636" s="26"/>
      <c r="H636" s="25"/>
      <c r="I636" s="26"/>
      <c r="J636" s="25"/>
      <c r="K636" s="25"/>
      <c r="L636" s="26"/>
      <c r="M636" s="25"/>
      <c r="N636" s="25"/>
      <c r="O636" s="26"/>
      <c r="P636" s="26"/>
      <c r="Q636" s="26"/>
      <c r="R636" s="26"/>
      <c r="S636" s="25"/>
      <c r="T636" s="26"/>
      <c r="U636" s="26"/>
      <c r="V636" s="25"/>
      <c r="W636" s="25"/>
      <c r="X636" s="26"/>
      <c r="Y636" s="25"/>
      <c r="Z636" s="10"/>
    </row>
    <row r="637" spans="1:26" ht="12.75">
      <c r="A637" s="25"/>
      <c r="B637" s="25"/>
      <c r="C637" s="25"/>
      <c r="D637" s="26"/>
      <c r="E637" s="26"/>
      <c r="F637" s="26"/>
      <c r="G637" s="26"/>
      <c r="H637" s="25"/>
      <c r="I637" s="26"/>
      <c r="J637" s="25"/>
      <c r="K637" s="25"/>
      <c r="L637" s="26"/>
      <c r="M637" s="25"/>
      <c r="N637" s="25"/>
      <c r="O637" s="26"/>
      <c r="P637" s="26"/>
      <c r="Q637" s="26"/>
      <c r="R637" s="26"/>
      <c r="S637" s="25"/>
      <c r="T637" s="26"/>
      <c r="U637" s="26"/>
      <c r="V637" s="25"/>
      <c r="W637" s="25"/>
      <c r="X637" s="26"/>
      <c r="Y637" s="25"/>
      <c r="Z637" s="10"/>
    </row>
    <row r="638" spans="1:26" ht="12.75">
      <c r="A638" s="25"/>
      <c r="B638" s="25"/>
      <c r="C638" s="25"/>
      <c r="D638" s="26"/>
      <c r="E638" s="26"/>
      <c r="F638" s="26"/>
      <c r="G638" s="26"/>
      <c r="H638" s="25"/>
      <c r="I638" s="26"/>
      <c r="J638" s="25"/>
      <c r="K638" s="25"/>
      <c r="L638" s="26"/>
      <c r="M638" s="25"/>
      <c r="N638" s="25"/>
      <c r="O638" s="26"/>
      <c r="P638" s="26"/>
      <c r="Q638" s="26"/>
      <c r="R638" s="26"/>
      <c r="S638" s="25"/>
      <c r="T638" s="26"/>
      <c r="U638" s="26"/>
      <c r="V638" s="25"/>
      <c r="W638" s="25"/>
      <c r="X638" s="26"/>
      <c r="Y638" s="25"/>
      <c r="Z638" s="10"/>
    </row>
    <row r="639" spans="1:26" ht="12.75">
      <c r="A639" s="25"/>
      <c r="B639" s="25"/>
      <c r="C639" s="25"/>
      <c r="D639" s="26"/>
      <c r="E639" s="26"/>
      <c r="F639" s="26"/>
      <c r="G639" s="26"/>
      <c r="H639" s="25"/>
      <c r="I639" s="26"/>
      <c r="J639" s="25"/>
      <c r="K639" s="25"/>
      <c r="L639" s="26"/>
      <c r="M639" s="25"/>
      <c r="N639" s="25"/>
      <c r="O639" s="26"/>
      <c r="P639" s="26"/>
      <c r="Q639" s="26"/>
      <c r="R639" s="26"/>
      <c r="S639" s="25"/>
      <c r="T639" s="26"/>
      <c r="U639" s="26"/>
      <c r="V639" s="25"/>
      <c r="W639" s="25"/>
      <c r="X639" s="26"/>
      <c r="Y639" s="25"/>
      <c r="Z639" s="10"/>
    </row>
    <row r="640" spans="1:26" ht="12.75">
      <c r="A640" s="25"/>
      <c r="B640" s="25"/>
      <c r="C640" s="25"/>
      <c r="D640" s="26"/>
      <c r="E640" s="26"/>
      <c r="F640" s="26"/>
      <c r="G640" s="26"/>
      <c r="H640" s="25"/>
      <c r="I640" s="26"/>
      <c r="J640" s="25"/>
      <c r="K640" s="25"/>
      <c r="L640" s="26"/>
      <c r="M640" s="25"/>
      <c r="N640" s="25"/>
      <c r="O640" s="26"/>
      <c r="P640" s="26"/>
      <c r="Q640" s="26"/>
      <c r="R640" s="26"/>
      <c r="S640" s="25"/>
      <c r="T640" s="26"/>
      <c r="U640" s="26"/>
      <c r="V640" s="25"/>
      <c r="W640" s="25"/>
      <c r="X640" s="26"/>
      <c r="Y640" s="25"/>
      <c r="Z640" s="10"/>
    </row>
    <row r="641" spans="1:26" ht="12.75">
      <c r="A641" s="25"/>
      <c r="B641" s="25"/>
      <c r="C641" s="25"/>
      <c r="D641" s="26"/>
      <c r="E641" s="26"/>
      <c r="F641" s="26"/>
      <c r="G641" s="26"/>
      <c r="H641" s="25"/>
      <c r="I641" s="26"/>
      <c r="J641" s="25"/>
      <c r="K641" s="25"/>
      <c r="L641" s="26"/>
      <c r="M641" s="25"/>
      <c r="N641" s="25"/>
      <c r="O641" s="26"/>
      <c r="P641" s="26"/>
      <c r="Q641" s="26"/>
      <c r="R641" s="26"/>
      <c r="S641" s="25"/>
      <c r="T641" s="26"/>
      <c r="U641" s="26"/>
      <c r="V641" s="25"/>
      <c r="W641" s="25"/>
      <c r="X641" s="26"/>
      <c r="Y641" s="25"/>
      <c r="Z641" s="10"/>
    </row>
    <row r="642" spans="1:26" ht="12.75">
      <c r="A642" s="25"/>
      <c r="B642" s="25"/>
      <c r="C642" s="25"/>
      <c r="D642" s="26"/>
      <c r="E642" s="26"/>
      <c r="F642" s="26"/>
      <c r="G642" s="26"/>
      <c r="H642" s="25"/>
      <c r="I642" s="26"/>
      <c r="J642" s="25"/>
      <c r="K642" s="25"/>
      <c r="L642" s="26"/>
      <c r="M642" s="25"/>
      <c r="N642" s="25"/>
      <c r="O642" s="26"/>
      <c r="P642" s="26"/>
      <c r="Q642" s="26"/>
      <c r="R642" s="26"/>
      <c r="S642" s="25"/>
      <c r="T642" s="26"/>
      <c r="U642" s="26"/>
      <c r="V642" s="25"/>
      <c r="W642" s="25"/>
      <c r="X642" s="26"/>
      <c r="Y642" s="25"/>
      <c r="Z642" s="10"/>
    </row>
    <row r="643" spans="1:26" ht="12.75">
      <c r="A643" s="25"/>
      <c r="B643" s="25"/>
      <c r="C643" s="25"/>
      <c r="D643" s="26"/>
      <c r="E643" s="26"/>
      <c r="F643" s="26"/>
      <c r="G643" s="26"/>
      <c r="H643" s="25"/>
      <c r="I643" s="26"/>
      <c r="J643" s="25"/>
      <c r="K643" s="25"/>
      <c r="L643" s="26"/>
      <c r="M643" s="25"/>
      <c r="N643" s="25"/>
      <c r="O643" s="26"/>
      <c r="P643" s="26"/>
      <c r="Q643" s="26"/>
      <c r="R643" s="26"/>
      <c r="S643" s="25"/>
      <c r="T643" s="26"/>
      <c r="U643" s="26"/>
      <c r="V643" s="25"/>
      <c r="W643" s="25"/>
      <c r="X643" s="26"/>
      <c r="Y643" s="25"/>
      <c r="Z643" s="10"/>
    </row>
    <row r="644" spans="1:26" ht="12.75">
      <c r="A644" s="25"/>
      <c r="B644" s="25"/>
      <c r="C644" s="25"/>
      <c r="D644" s="26"/>
      <c r="E644" s="26"/>
      <c r="F644" s="26"/>
      <c r="G644" s="26"/>
      <c r="H644" s="25"/>
      <c r="I644" s="26"/>
      <c r="J644" s="25"/>
      <c r="K644" s="25"/>
      <c r="L644" s="26"/>
      <c r="M644" s="25"/>
      <c r="N644" s="25"/>
      <c r="O644" s="26"/>
      <c r="P644" s="26"/>
      <c r="Q644" s="26"/>
      <c r="R644" s="26"/>
      <c r="S644" s="25"/>
      <c r="T644" s="26"/>
      <c r="U644" s="26"/>
      <c r="V644" s="25"/>
      <c r="W644" s="25"/>
      <c r="X644" s="26"/>
      <c r="Y644" s="25"/>
      <c r="Z644" s="10"/>
    </row>
    <row r="645" spans="1:26" ht="12.75">
      <c r="A645" s="25"/>
      <c r="B645" s="25"/>
      <c r="C645" s="25"/>
      <c r="D645" s="26"/>
      <c r="E645" s="26"/>
      <c r="F645" s="26"/>
      <c r="G645" s="26"/>
      <c r="H645" s="25"/>
      <c r="I645" s="26"/>
      <c r="J645" s="25"/>
      <c r="K645" s="25"/>
      <c r="L645" s="26"/>
      <c r="M645" s="25"/>
      <c r="N645" s="25"/>
      <c r="O645" s="26"/>
      <c r="P645" s="26"/>
      <c r="Q645" s="26"/>
      <c r="R645" s="26"/>
      <c r="S645" s="25"/>
      <c r="T645" s="26"/>
      <c r="U645" s="26"/>
      <c r="V645" s="25"/>
      <c r="W645" s="25"/>
      <c r="X645" s="26"/>
      <c r="Y645" s="25"/>
      <c r="Z645" s="10"/>
    </row>
    <row r="646" spans="1:26" ht="12.75">
      <c r="A646" s="25"/>
      <c r="B646" s="25"/>
      <c r="C646" s="25"/>
      <c r="D646" s="26"/>
      <c r="E646" s="26"/>
      <c r="F646" s="26"/>
      <c r="G646" s="26"/>
      <c r="H646" s="25"/>
      <c r="I646" s="26"/>
      <c r="J646" s="25"/>
      <c r="K646" s="25"/>
      <c r="L646" s="26"/>
      <c r="M646" s="25"/>
      <c r="N646" s="25"/>
      <c r="O646" s="26"/>
      <c r="P646" s="26"/>
      <c r="Q646" s="26"/>
      <c r="R646" s="26"/>
      <c r="S646" s="25"/>
      <c r="T646" s="26"/>
      <c r="U646" s="26"/>
      <c r="V646" s="25"/>
      <c r="W646" s="25"/>
      <c r="X646" s="26"/>
      <c r="Y646" s="25"/>
      <c r="Z646" s="10"/>
    </row>
    <row r="647" spans="1:26" ht="12.75">
      <c r="A647" s="25"/>
      <c r="B647" s="25"/>
      <c r="C647" s="25"/>
      <c r="D647" s="26"/>
      <c r="E647" s="26"/>
      <c r="F647" s="26"/>
      <c r="G647" s="26"/>
      <c r="H647" s="25"/>
      <c r="I647" s="26"/>
      <c r="J647" s="25"/>
      <c r="K647" s="25"/>
      <c r="L647" s="26"/>
      <c r="M647" s="25"/>
      <c r="N647" s="25"/>
      <c r="O647" s="26"/>
      <c r="P647" s="26"/>
      <c r="Q647" s="26"/>
      <c r="R647" s="26"/>
      <c r="S647" s="25"/>
      <c r="T647" s="26"/>
      <c r="U647" s="26"/>
      <c r="V647" s="25"/>
      <c r="W647" s="25"/>
      <c r="X647" s="26"/>
      <c r="Y647" s="25"/>
      <c r="Z647" s="10"/>
    </row>
    <row r="648" spans="1:26" ht="12.75">
      <c r="A648" s="25"/>
      <c r="B648" s="25"/>
      <c r="C648" s="25"/>
      <c r="D648" s="26"/>
      <c r="E648" s="26"/>
      <c r="F648" s="26"/>
      <c r="G648" s="26"/>
      <c r="H648" s="25"/>
      <c r="I648" s="26"/>
      <c r="J648" s="25"/>
      <c r="K648" s="25"/>
      <c r="L648" s="26"/>
      <c r="M648" s="25"/>
      <c r="N648" s="25"/>
      <c r="O648" s="26"/>
      <c r="P648" s="26"/>
      <c r="Q648" s="26"/>
      <c r="R648" s="26"/>
      <c r="S648" s="25"/>
      <c r="T648" s="26"/>
      <c r="U648" s="26"/>
      <c r="V648" s="25"/>
      <c r="W648" s="25"/>
      <c r="X648" s="26"/>
      <c r="Y648" s="25"/>
      <c r="Z648" s="10"/>
    </row>
    <row r="649" spans="1:26" ht="12.75">
      <c r="A649" s="25"/>
      <c r="B649" s="25"/>
      <c r="C649" s="25"/>
      <c r="D649" s="26"/>
      <c r="E649" s="26"/>
      <c r="F649" s="26"/>
      <c r="G649" s="26"/>
      <c r="H649" s="25"/>
      <c r="I649" s="26"/>
      <c r="J649" s="25"/>
      <c r="K649" s="25"/>
      <c r="L649" s="26"/>
      <c r="M649" s="25"/>
      <c r="N649" s="25"/>
      <c r="O649" s="26"/>
      <c r="P649" s="26"/>
      <c r="Q649" s="26"/>
      <c r="R649" s="26"/>
      <c r="S649" s="25"/>
      <c r="T649" s="26"/>
      <c r="U649" s="26"/>
      <c r="V649" s="25"/>
      <c r="W649" s="25"/>
      <c r="X649" s="26"/>
      <c r="Y649" s="25"/>
      <c r="Z649" s="10"/>
    </row>
    <row r="650" spans="1:26" ht="12.75">
      <c r="A650" s="25"/>
      <c r="B650" s="25"/>
      <c r="C650" s="25"/>
      <c r="D650" s="26"/>
      <c r="E650" s="26"/>
      <c r="F650" s="26"/>
      <c r="G650" s="26"/>
      <c r="H650" s="25"/>
      <c r="I650" s="26"/>
      <c r="J650" s="25"/>
      <c r="K650" s="25"/>
      <c r="L650" s="26"/>
      <c r="M650" s="25"/>
      <c r="N650" s="25"/>
      <c r="O650" s="26"/>
      <c r="P650" s="26"/>
      <c r="Q650" s="26"/>
      <c r="R650" s="26"/>
      <c r="S650" s="25"/>
      <c r="T650" s="26"/>
      <c r="U650" s="26"/>
      <c r="V650" s="25"/>
      <c r="W650" s="25"/>
      <c r="X650" s="26"/>
      <c r="Y650" s="25"/>
      <c r="Z650" s="10"/>
    </row>
    <row r="651" spans="1:26" ht="12.75">
      <c r="A651" s="25"/>
      <c r="B651" s="25"/>
      <c r="C651" s="25"/>
      <c r="D651" s="26"/>
      <c r="E651" s="26"/>
      <c r="F651" s="26"/>
      <c r="G651" s="26"/>
      <c r="H651" s="25"/>
      <c r="I651" s="26"/>
      <c r="J651" s="25"/>
      <c r="K651" s="25"/>
      <c r="L651" s="26"/>
      <c r="M651" s="25"/>
      <c r="N651" s="25"/>
      <c r="O651" s="26"/>
      <c r="P651" s="26"/>
      <c r="Q651" s="26"/>
      <c r="R651" s="26"/>
      <c r="S651" s="25"/>
      <c r="T651" s="26"/>
      <c r="U651" s="26"/>
      <c r="V651" s="25"/>
      <c r="W651" s="25"/>
      <c r="X651" s="26"/>
      <c r="Y651" s="25"/>
      <c r="Z651" s="10"/>
    </row>
    <row r="652" spans="1:26" ht="12.75">
      <c r="A652" s="25"/>
      <c r="B652" s="25"/>
      <c r="C652" s="25"/>
      <c r="D652" s="26"/>
      <c r="E652" s="26"/>
      <c r="F652" s="26"/>
      <c r="G652" s="26"/>
      <c r="H652" s="25"/>
      <c r="I652" s="26"/>
      <c r="J652" s="25"/>
      <c r="K652" s="25"/>
      <c r="L652" s="26"/>
      <c r="M652" s="25"/>
      <c r="N652" s="25"/>
      <c r="O652" s="26"/>
      <c r="P652" s="26"/>
      <c r="Q652" s="26"/>
      <c r="R652" s="26"/>
      <c r="S652" s="25"/>
      <c r="T652" s="26"/>
      <c r="U652" s="26"/>
      <c r="V652" s="25"/>
      <c r="W652" s="25"/>
      <c r="X652" s="26"/>
      <c r="Y652" s="25"/>
      <c r="Z652" s="10"/>
    </row>
    <row r="653" spans="1:26" ht="12.75">
      <c r="A653" s="25"/>
      <c r="B653" s="25"/>
      <c r="C653" s="25"/>
      <c r="D653" s="26"/>
      <c r="E653" s="26"/>
      <c r="F653" s="26"/>
      <c r="G653" s="26"/>
      <c r="H653" s="25"/>
      <c r="I653" s="26"/>
      <c r="J653" s="25"/>
      <c r="K653" s="25"/>
      <c r="L653" s="26"/>
      <c r="M653" s="25"/>
      <c r="N653" s="25"/>
      <c r="O653" s="26"/>
      <c r="P653" s="26"/>
      <c r="Q653" s="26"/>
      <c r="R653" s="26"/>
      <c r="S653" s="25"/>
      <c r="T653" s="26"/>
      <c r="U653" s="26"/>
      <c r="V653" s="25"/>
      <c r="W653" s="25"/>
      <c r="X653" s="26"/>
      <c r="Y653" s="25"/>
      <c r="Z653" s="10"/>
    </row>
    <row r="654" spans="1:26" ht="12.75">
      <c r="A654" s="25"/>
      <c r="B654" s="25"/>
      <c r="C654" s="25"/>
      <c r="D654" s="26"/>
      <c r="E654" s="26"/>
      <c r="F654" s="26"/>
      <c r="G654" s="26"/>
      <c r="H654" s="25"/>
      <c r="I654" s="26"/>
      <c r="J654" s="25"/>
      <c r="K654" s="25"/>
      <c r="L654" s="26"/>
      <c r="M654" s="25"/>
      <c r="N654" s="25"/>
      <c r="O654" s="26"/>
      <c r="P654" s="26"/>
      <c r="Q654" s="26"/>
      <c r="R654" s="26"/>
      <c r="S654" s="25"/>
      <c r="T654" s="26"/>
      <c r="U654" s="26"/>
      <c r="V654" s="25"/>
      <c r="W654" s="25"/>
      <c r="X654" s="26"/>
      <c r="Y654" s="25"/>
      <c r="Z654" s="10"/>
    </row>
    <row r="655" spans="1:26" ht="12.75">
      <c r="A655" s="25"/>
      <c r="B655" s="25"/>
      <c r="C655" s="25"/>
      <c r="D655" s="26"/>
      <c r="E655" s="26"/>
      <c r="F655" s="26"/>
      <c r="G655" s="26"/>
      <c r="H655" s="25"/>
      <c r="I655" s="26"/>
      <c r="J655" s="25"/>
      <c r="K655" s="25"/>
      <c r="L655" s="26"/>
      <c r="M655" s="25"/>
      <c r="N655" s="25"/>
      <c r="O655" s="26"/>
      <c r="P655" s="26"/>
      <c r="Q655" s="26"/>
      <c r="R655" s="26"/>
      <c r="S655" s="25"/>
      <c r="T655" s="26"/>
      <c r="U655" s="26"/>
      <c r="V655" s="25"/>
      <c r="W655" s="25"/>
      <c r="X655" s="26"/>
      <c r="Y655" s="25"/>
      <c r="Z655" s="10"/>
    </row>
    <row r="656" spans="1:26" ht="12.75">
      <c r="A656" s="25"/>
      <c r="B656" s="25"/>
      <c r="C656" s="25"/>
      <c r="D656" s="26"/>
      <c r="E656" s="26"/>
      <c r="F656" s="26"/>
      <c r="G656" s="26"/>
      <c r="H656" s="25"/>
      <c r="I656" s="26"/>
      <c r="J656" s="25"/>
      <c r="K656" s="25"/>
      <c r="L656" s="26"/>
      <c r="M656" s="25"/>
      <c r="N656" s="25"/>
      <c r="O656" s="26"/>
      <c r="P656" s="26"/>
      <c r="Q656" s="26"/>
      <c r="R656" s="26"/>
      <c r="S656" s="25"/>
      <c r="T656" s="26"/>
      <c r="U656" s="26"/>
      <c r="V656" s="25"/>
      <c r="W656" s="25"/>
      <c r="X656" s="26"/>
      <c r="Y656" s="25"/>
      <c r="Z656" s="10"/>
    </row>
    <row r="657" spans="1:26" ht="12.75">
      <c r="A657" s="25"/>
      <c r="B657" s="25"/>
      <c r="C657" s="25"/>
      <c r="D657" s="26"/>
      <c r="E657" s="26"/>
      <c r="F657" s="26"/>
      <c r="G657" s="26"/>
      <c r="H657" s="25"/>
      <c r="I657" s="26"/>
      <c r="J657" s="25"/>
      <c r="K657" s="25"/>
      <c r="L657" s="26"/>
      <c r="M657" s="25"/>
      <c r="N657" s="25"/>
      <c r="O657" s="26"/>
      <c r="P657" s="26"/>
      <c r="Q657" s="26"/>
      <c r="R657" s="26"/>
      <c r="S657" s="25"/>
      <c r="T657" s="26"/>
      <c r="U657" s="26"/>
      <c r="V657" s="25"/>
      <c r="W657" s="25"/>
      <c r="X657" s="26"/>
      <c r="Y657" s="25"/>
      <c r="Z657" s="10"/>
    </row>
    <row r="658" spans="1:26" ht="12.75">
      <c r="A658" s="25"/>
      <c r="B658" s="25"/>
      <c r="C658" s="25"/>
      <c r="D658" s="26"/>
      <c r="E658" s="26"/>
      <c r="F658" s="26"/>
      <c r="G658" s="26"/>
      <c r="H658" s="25"/>
      <c r="I658" s="26"/>
      <c r="J658" s="25"/>
      <c r="K658" s="25"/>
      <c r="L658" s="26"/>
      <c r="M658" s="25"/>
      <c r="N658" s="25"/>
      <c r="O658" s="26"/>
      <c r="P658" s="26"/>
      <c r="Q658" s="26"/>
      <c r="R658" s="26"/>
      <c r="S658" s="25"/>
      <c r="T658" s="26"/>
      <c r="U658" s="26"/>
      <c r="V658" s="25"/>
      <c r="W658" s="25"/>
      <c r="X658" s="26"/>
      <c r="Y658" s="25"/>
      <c r="Z658" s="10"/>
    </row>
    <row r="659" spans="1:26" ht="12.75">
      <c r="A659" s="25"/>
      <c r="B659" s="25"/>
      <c r="C659" s="25"/>
      <c r="D659" s="26"/>
      <c r="E659" s="26"/>
      <c r="F659" s="26"/>
      <c r="G659" s="26"/>
      <c r="H659" s="25"/>
      <c r="I659" s="26"/>
      <c r="J659" s="25"/>
      <c r="K659" s="25"/>
      <c r="L659" s="26"/>
      <c r="M659" s="25"/>
      <c r="N659" s="25"/>
      <c r="O659" s="26"/>
      <c r="P659" s="26"/>
      <c r="Q659" s="26"/>
      <c r="R659" s="26"/>
      <c r="S659" s="25"/>
      <c r="T659" s="26"/>
      <c r="U659" s="26"/>
      <c r="V659" s="25"/>
      <c r="W659" s="25"/>
      <c r="X659" s="26"/>
      <c r="Y659" s="25"/>
      <c r="Z659" s="10"/>
    </row>
    <row r="660" spans="1:26" ht="12.75">
      <c r="A660" s="25"/>
      <c r="B660" s="25"/>
      <c r="C660" s="25"/>
      <c r="D660" s="26"/>
      <c r="E660" s="26"/>
      <c r="F660" s="26"/>
      <c r="G660" s="26"/>
      <c r="H660" s="25"/>
      <c r="I660" s="26"/>
      <c r="J660" s="25"/>
      <c r="K660" s="25"/>
      <c r="L660" s="26"/>
      <c r="M660" s="25"/>
      <c r="N660" s="25"/>
      <c r="O660" s="26"/>
      <c r="P660" s="26"/>
      <c r="Q660" s="26"/>
      <c r="R660" s="26"/>
      <c r="S660" s="25"/>
      <c r="T660" s="26"/>
      <c r="U660" s="26"/>
      <c r="V660" s="25"/>
      <c r="W660" s="25"/>
      <c r="X660" s="26"/>
      <c r="Y660" s="25"/>
      <c r="Z660" s="10"/>
    </row>
    <row r="661" spans="1:26" ht="12.75">
      <c r="A661" s="25"/>
      <c r="B661" s="25"/>
      <c r="C661" s="25"/>
      <c r="D661" s="26"/>
      <c r="E661" s="26"/>
      <c r="F661" s="26"/>
      <c r="G661" s="26"/>
      <c r="H661" s="25"/>
      <c r="I661" s="26"/>
      <c r="J661" s="25"/>
      <c r="K661" s="25"/>
      <c r="L661" s="26"/>
      <c r="M661" s="25"/>
      <c r="N661" s="25"/>
      <c r="O661" s="26"/>
      <c r="P661" s="26"/>
      <c r="Q661" s="26"/>
      <c r="R661" s="26"/>
      <c r="S661" s="25"/>
      <c r="T661" s="26"/>
      <c r="U661" s="26"/>
      <c r="V661" s="25"/>
      <c r="W661" s="25"/>
      <c r="X661" s="26"/>
      <c r="Y661" s="25"/>
      <c r="Z661" s="10"/>
    </row>
    <row r="662" spans="1:26" ht="12.75">
      <c r="A662" s="25"/>
      <c r="B662" s="25"/>
      <c r="C662" s="25"/>
      <c r="D662" s="26"/>
      <c r="E662" s="26"/>
      <c r="F662" s="26"/>
      <c r="G662" s="26"/>
      <c r="H662" s="25"/>
      <c r="I662" s="26"/>
      <c r="J662" s="25"/>
      <c r="K662" s="25"/>
      <c r="L662" s="26"/>
      <c r="M662" s="25"/>
      <c r="N662" s="25"/>
      <c r="O662" s="26"/>
      <c r="P662" s="26"/>
      <c r="Q662" s="26"/>
      <c r="R662" s="26"/>
      <c r="S662" s="25"/>
      <c r="T662" s="26"/>
      <c r="U662" s="26"/>
      <c r="V662" s="25"/>
      <c r="W662" s="25"/>
      <c r="X662" s="26"/>
      <c r="Y662" s="25"/>
      <c r="Z662" s="10"/>
    </row>
    <row r="663" spans="1:26" ht="12.75">
      <c r="A663" s="25"/>
      <c r="B663" s="25"/>
      <c r="C663" s="25"/>
      <c r="D663" s="26"/>
      <c r="E663" s="26"/>
      <c r="F663" s="26"/>
      <c r="G663" s="26"/>
      <c r="H663" s="25"/>
      <c r="I663" s="26"/>
      <c r="J663" s="25"/>
      <c r="K663" s="25"/>
      <c r="L663" s="26"/>
      <c r="M663" s="25"/>
      <c r="N663" s="25"/>
      <c r="O663" s="26"/>
      <c r="P663" s="26"/>
      <c r="Q663" s="26"/>
      <c r="R663" s="26"/>
      <c r="S663" s="25"/>
      <c r="T663" s="26"/>
      <c r="U663" s="26"/>
      <c r="V663" s="25"/>
      <c r="W663" s="25"/>
      <c r="X663" s="26"/>
      <c r="Y663" s="25"/>
      <c r="Z663" s="10"/>
    </row>
    <row r="664" spans="1:26" ht="12.75">
      <c r="A664" s="25"/>
      <c r="B664" s="25"/>
      <c r="C664" s="25"/>
      <c r="D664" s="26"/>
      <c r="E664" s="26"/>
      <c r="F664" s="26"/>
      <c r="G664" s="26"/>
      <c r="H664" s="25"/>
      <c r="I664" s="26"/>
      <c r="J664" s="25"/>
      <c r="K664" s="25"/>
      <c r="L664" s="26"/>
      <c r="M664" s="25"/>
      <c r="N664" s="25"/>
      <c r="O664" s="26"/>
      <c r="P664" s="26"/>
      <c r="Q664" s="26"/>
      <c r="R664" s="26"/>
      <c r="S664" s="25"/>
      <c r="T664" s="26"/>
      <c r="U664" s="26"/>
      <c r="V664" s="25"/>
      <c r="W664" s="25"/>
      <c r="X664" s="26"/>
      <c r="Y664" s="25"/>
      <c r="Z664" s="10"/>
    </row>
    <row r="665" spans="1:26" ht="12.75">
      <c r="A665" s="25"/>
      <c r="B665" s="25"/>
      <c r="C665" s="25"/>
      <c r="D665" s="26"/>
      <c r="E665" s="26"/>
      <c r="F665" s="26"/>
      <c r="G665" s="26"/>
      <c r="H665" s="25"/>
      <c r="I665" s="26"/>
      <c r="J665" s="25"/>
      <c r="K665" s="25"/>
      <c r="L665" s="26"/>
      <c r="M665" s="25"/>
      <c r="N665" s="25"/>
      <c r="O665" s="26"/>
      <c r="P665" s="26"/>
      <c r="Q665" s="26"/>
      <c r="R665" s="26"/>
      <c r="S665" s="25"/>
      <c r="T665" s="26"/>
      <c r="U665" s="26"/>
      <c r="V665" s="25"/>
      <c r="W665" s="25"/>
      <c r="X665" s="26"/>
      <c r="Y665" s="25"/>
      <c r="Z665" s="10"/>
    </row>
    <row r="666" spans="1:26" ht="12.75">
      <c r="A666" s="25"/>
      <c r="B666" s="25"/>
      <c r="C666" s="25"/>
      <c r="D666" s="26"/>
      <c r="E666" s="26"/>
      <c r="F666" s="26"/>
      <c r="G666" s="26"/>
      <c r="H666" s="25"/>
      <c r="I666" s="26"/>
      <c r="J666" s="25"/>
      <c r="K666" s="25"/>
      <c r="L666" s="26"/>
      <c r="M666" s="25"/>
      <c r="N666" s="25"/>
      <c r="O666" s="26"/>
      <c r="P666" s="26"/>
      <c r="Q666" s="26"/>
      <c r="R666" s="26"/>
      <c r="S666" s="25"/>
      <c r="T666" s="26"/>
      <c r="U666" s="26"/>
      <c r="V666" s="25"/>
      <c r="W666" s="25"/>
      <c r="X666" s="26"/>
      <c r="Y666" s="25"/>
      <c r="Z666" s="10"/>
    </row>
    <row r="667" spans="1:26" ht="12.75">
      <c r="A667" s="25"/>
      <c r="B667" s="25"/>
      <c r="C667" s="25"/>
      <c r="D667" s="26"/>
      <c r="E667" s="26"/>
      <c r="F667" s="26"/>
      <c r="G667" s="26"/>
      <c r="H667" s="25"/>
      <c r="I667" s="26"/>
      <c r="J667" s="25"/>
      <c r="K667" s="25"/>
      <c r="L667" s="26"/>
      <c r="M667" s="25"/>
      <c r="N667" s="25"/>
      <c r="O667" s="26"/>
      <c r="P667" s="26"/>
      <c r="Q667" s="26"/>
      <c r="R667" s="26"/>
      <c r="S667" s="25"/>
      <c r="T667" s="26"/>
      <c r="U667" s="26"/>
      <c r="V667" s="25"/>
      <c r="W667" s="25"/>
      <c r="X667" s="26"/>
      <c r="Y667" s="25"/>
      <c r="Z667" s="10"/>
    </row>
    <row r="668" spans="1:26" ht="12.75">
      <c r="A668" s="25"/>
      <c r="B668" s="25"/>
      <c r="C668" s="25"/>
      <c r="D668" s="26"/>
      <c r="E668" s="26"/>
      <c r="F668" s="26"/>
      <c r="G668" s="26"/>
      <c r="H668" s="25"/>
      <c r="I668" s="26"/>
      <c r="J668" s="25"/>
      <c r="K668" s="25"/>
      <c r="L668" s="26"/>
      <c r="M668" s="25"/>
      <c r="N668" s="25"/>
      <c r="O668" s="26"/>
      <c r="P668" s="26"/>
      <c r="Q668" s="26"/>
      <c r="R668" s="26"/>
      <c r="S668" s="25"/>
      <c r="T668" s="26"/>
      <c r="U668" s="26"/>
      <c r="V668" s="25"/>
      <c r="W668" s="25"/>
      <c r="X668" s="26"/>
      <c r="Y668" s="25"/>
      <c r="Z668" s="10"/>
    </row>
    <row r="669" spans="1:26" ht="12.75">
      <c r="A669" s="25"/>
      <c r="B669" s="25"/>
      <c r="C669" s="25"/>
      <c r="D669" s="26"/>
      <c r="E669" s="26"/>
      <c r="F669" s="26"/>
      <c r="G669" s="26"/>
      <c r="H669" s="25"/>
      <c r="I669" s="26"/>
      <c r="J669" s="25"/>
      <c r="K669" s="25"/>
      <c r="L669" s="26"/>
      <c r="M669" s="25"/>
      <c r="N669" s="25"/>
      <c r="O669" s="26"/>
      <c r="P669" s="26"/>
      <c r="Q669" s="26"/>
      <c r="R669" s="26"/>
      <c r="S669" s="25"/>
      <c r="T669" s="26"/>
      <c r="U669" s="26"/>
      <c r="V669" s="25"/>
      <c r="W669" s="25"/>
      <c r="X669" s="26"/>
      <c r="Y669" s="25"/>
      <c r="Z669" s="10"/>
    </row>
    <row r="670" spans="1:26" ht="12.75">
      <c r="A670" s="25"/>
      <c r="B670" s="25"/>
      <c r="C670" s="25"/>
      <c r="D670" s="26"/>
      <c r="E670" s="26"/>
      <c r="F670" s="26"/>
      <c r="G670" s="26"/>
      <c r="H670" s="25"/>
      <c r="I670" s="26"/>
      <c r="J670" s="25"/>
      <c r="K670" s="25"/>
      <c r="L670" s="26"/>
      <c r="M670" s="25"/>
      <c r="N670" s="25"/>
      <c r="O670" s="26"/>
      <c r="P670" s="26"/>
      <c r="Q670" s="26"/>
      <c r="R670" s="26"/>
      <c r="S670" s="25"/>
      <c r="T670" s="26"/>
      <c r="U670" s="26"/>
      <c r="V670" s="25"/>
      <c r="W670" s="25"/>
      <c r="X670" s="26"/>
      <c r="Y670" s="25"/>
      <c r="Z670" s="10"/>
    </row>
    <row r="671" spans="1:26" ht="12.75">
      <c r="A671" s="25"/>
      <c r="B671" s="25"/>
      <c r="C671" s="25"/>
      <c r="D671" s="26"/>
      <c r="E671" s="26"/>
      <c r="F671" s="26"/>
      <c r="G671" s="26"/>
      <c r="H671" s="25"/>
      <c r="I671" s="26"/>
      <c r="J671" s="25"/>
      <c r="K671" s="25"/>
      <c r="L671" s="26"/>
      <c r="M671" s="25"/>
      <c r="N671" s="25"/>
      <c r="O671" s="26"/>
      <c r="P671" s="26"/>
      <c r="Q671" s="26"/>
      <c r="R671" s="26"/>
      <c r="S671" s="25"/>
      <c r="T671" s="26"/>
      <c r="U671" s="26"/>
      <c r="V671" s="25"/>
      <c r="W671" s="25"/>
      <c r="X671" s="26"/>
      <c r="Y671" s="25"/>
      <c r="Z671" s="10"/>
    </row>
    <row r="672" spans="1:26" ht="12.75">
      <c r="A672" s="25"/>
      <c r="B672" s="25"/>
      <c r="C672" s="25"/>
      <c r="D672" s="26"/>
      <c r="E672" s="26"/>
      <c r="F672" s="26"/>
      <c r="G672" s="26"/>
      <c r="H672" s="25"/>
      <c r="I672" s="26"/>
      <c r="J672" s="25"/>
      <c r="K672" s="25"/>
      <c r="L672" s="26"/>
      <c r="M672" s="25"/>
      <c r="N672" s="25"/>
      <c r="O672" s="26"/>
      <c r="P672" s="26"/>
      <c r="Q672" s="26"/>
      <c r="R672" s="26"/>
      <c r="S672" s="25"/>
      <c r="T672" s="26"/>
      <c r="U672" s="26"/>
      <c r="V672" s="25"/>
      <c r="W672" s="25"/>
      <c r="X672" s="26"/>
      <c r="Y672" s="25"/>
      <c r="Z672" s="10"/>
    </row>
    <row r="673" spans="1:26" ht="12.75">
      <c r="A673" s="25"/>
      <c r="B673" s="25"/>
      <c r="C673" s="25"/>
      <c r="D673" s="26"/>
      <c r="E673" s="26"/>
      <c r="F673" s="26"/>
      <c r="G673" s="26"/>
      <c r="H673" s="25"/>
      <c r="I673" s="26"/>
      <c r="J673" s="25"/>
      <c r="K673" s="25"/>
      <c r="L673" s="26"/>
      <c r="M673" s="25"/>
      <c r="N673" s="25"/>
      <c r="O673" s="26"/>
      <c r="P673" s="26"/>
      <c r="Q673" s="26"/>
      <c r="R673" s="26"/>
      <c r="S673" s="25"/>
      <c r="T673" s="26"/>
      <c r="U673" s="26"/>
      <c r="V673" s="25"/>
      <c r="W673" s="25"/>
      <c r="X673" s="26"/>
      <c r="Y673" s="25"/>
      <c r="Z673" s="10"/>
    </row>
    <row r="674" spans="1:26" ht="12.75">
      <c r="A674" s="25"/>
      <c r="B674" s="25"/>
      <c r="C674" s="25"/>
      <c r="D674" s="26"/>
      <c r="E674" s="26"/>
      <c r="F674" s="26"/>
      <c r="G674" s="26"/>
      <c r="H674" s="25"/>
      <c r="I674" s="26"/>
      <c r="J674" s="25"/>
      <c r="K674" s="25"/>
      <c r="L674" s="26"/>
      <c r="M674" s="25"/>
      <c r="N674" s="25"/>
      <c r="O674" s="26"/>
      <c r="P674" s="26"/>
      <c r="Q674" s="26"/>
      <c r="R674" s="26"/>
      <c r="S674" s="25"/>
      <c r="T674" s="26"/>
      <c r="U674" s="26"/>
      <c r="V674" s="25"/>
      <c r="W674" s="25"/>
      <c r="X674" s="26"/>
      <c r="Y674" s="25"/>
      <c r="Z674" s="10"/>
    </row>
    <row r="675" spans="1:26" ht="12.75">
      <c r="A675" s="25"/>
      <c r="B675" s="25"/>
      <c r="C675" s="25"/>
      <c r="D675" s="26"/>
      <c r="E675" s="26"/>
      <c r="F675" s="26"/>
      <c r="G675" s="26"/>
      <c r="H675" s="25"/>
      <c r="I675" s="26"/>
      <c r="J675" s="25"/>
      <c r="K675" s="25"/>
      <c r="L675" s="26"/>
      <c r="M675" s="25"/>
      <c r="N675" s="25"/>
      <c r="O675" s="26"/>
      <c r="P675" s="26"/>
      <c r="Q675" s="26"/>
      <c r="R675" s="26"/>
      <c r="S675" s="25"/>
      <c r="T675" s="26"/>
      <c r="U675" s="26"/>
      <c r="V675" s="25"/>
      <c r="W675" s="25"/>
      <c r="X675" s="26"/>
      <c r="Y675" s="25"/>
      <c r="Z675" s="10"/>
    </row>
    <row r="676" spans="1:26" ht="12.75">
      <c r="A676" s="25"/>
      <c r="B676" s="25"/>
      <c r="C676" s="25"/>
      <c r="D676" s="26"/>
      <c r="E676" s="26"/>
      <c r="F676" s="26"/>
      <c r="G676" s="26"/>
      <c r="H676" s="25"/>
      <c r="I676" s="26"/>
      <c r="J676" s="25"/>
      <c r="K676" s="25"/>
      <c r="L676" s="26"/>
      <c r="M676" s="25"/>
      <c r="N676" s="25"/>
      <c r="O676" s="26"/>
      <c r="P676" s="26"/>
      <c r="Q676" s="26"/>
      <c r="R676" s="26"/>
      <c r="S676" s="25"/>
      <c r="T676" s="26"/>
      <c r="U676" s="26"/>
      <c r="V676" s="25"/>
      <c r="W676" s="25"/>
      <c r="X676" s="26"/>
      <c r="Y676" s="25"/>
      <c r="Z676" s="10"/>
    </row>
    <row r="677" spans="1:26" ht="12.75">
      <c r="A677" s="25"/>
      <c r="B677" s="25"/>
      <c r="C677" s="25"/>
      <c r="D677" s="26"/>
      <c r="E677" s="26"/>
      <c r="F677" s="26"/>
      <c r="G677" s="26"/>
      <c r="H677" s="25"/>
      <c r="I677" s="26"/>
      <c r="J677" s="25"/>
      <c r="K677" s="25"/>
      <c r="L677" s="26"/>
      <c r="M677" s="25"/>
      <c r="N677" s="25"/>
      <c r="O677" s="26"/>
      <c r="P677" s="26"/>
      <c r="Q677" s="26"/>
      <c r="R677" s="26"/>
      <c r="S677" s="25"/>
      <c r="T677" s="26"/>
      <c r="U677" s="26"/>
      <c r="V677" s="25"/>
      <c r="W677" s="25"/>
      <c r="X677" s="26"/>
      <c r="Y677" s="25"/>
      <c r="Z677" s="10"/>
    </row>
    <row r="678" spans="1:26" ht="12.75">
      <c r="A678" s="25"/>
      <c r="B678" s="25"/>
      <c r="C678" s="25"/>
      <c r="D678" s="26"/>
      <c r="E678" s="26"/>
      <c r="F678" s="26"/>
      <c r="G678" s="26"/>
      <c r="H678" s="25"/>
      <c r="I678" s="26"/>
      <c r="J678" s="25"/>
      <c r="K678" s="25"/>
      <c r="L678" s="26"/>
      <c r="M678" s="25"/>
      <c r="N678" s="25"/>
      <c r="O678" s="26"/>
      <c r="P678" s="26"/>
      <c r="Q678" s="26"/>
      <c r="R678" s="26"/>
      <c r="S678" s="25"/>
      <c r="T678" s="26"/>
      <c r="U678" s="26"/>
      <c r="V678" s="25"/>
      <c r="W678" s="25"/>
      <c r="X678" s="26"/>
      <c r="Y678" s="25"/>
      <c r="Z678" s="10"/>
    </row>
    <row r="679" spans="1:26" ht="12.75">
      <c r="A679" s="25"/>
      <c r="B679" s="25"/>
      <c r="C679" s="25"/>
      <c r="D679" s="26"/>
      <c r="E679" s="26"/>
      <c r="F679" s="26"/>
      <c r="G679" s="26"/>
      <c r="H679" s="25"/>
      <c r="I679" s="26"/>
      <c r="J679" s="25"/>
      <c r="K679" s="25"/>
      <c r="L679" s="26"/>
      <c r="M679" s="25"/>
      <c r="N679" s="25"/>
      <c r="O679" s="26"/>
      <c r="P679" s="26"/>
      <c r="Q679" s="26"/>
      <c r="R679" s="26"/>
      <c r="S679" s="25"/>
      <c r="T679" s="26"/>
      <c r="U679" s="26"/>
      <c r="V679" s="25"/>
      <c r="W679" s="25"/>
      <c r="X679" s="26"/>
      <c r="Y679" s="25"/>
      <c r="Z679" s="10"/>
    </row>
    <row r="680" spans="1:26" ht="12.75">
      <c r="A680" s="25"/>
      <c r="B680" s="25"/>
      <c r="C680" s="25"/>
      <c r="D680" s="26"/>
      <c r="E680" s="26"/>
      <c r="F680" s="26"/>
      <c r="G680" s="26"/>
      <c r="H680" s="25"/>
      <c r="I680" s="26"/>
      <c r="J680" s="25"/>
      <c r="K680" s="25"/>
      <c r="L680" s="26"/>
      <c r="M680" s="25"/>
      <c r="N680" s="25"/>
      <c r="O680" s="26"/>
      <c r="P680" s="26"/>
      <c r="Q680" s="26"/>
      <c r="R680" s="26"/>
      <c r="S680" s="25"/>
      <c r="T680" s="26"/>
      <c r="U680" s="26"/>
      <c r="V680" s="25"/>
      <c r="W680" s="25"/>
      <c r="X680" s="26"/>
      <c r="Y680" s="25"/>
      <c r="Z680" s="10"/>
    </row>
    <row r="681" spans="1:26" ht="12.75">
      <c r="A681" s="25"/>
      <c r="B681" s="25"/>
      <c r="C681" s="25"/>
      <c r="D681" s="26"/>
      <c r="E681" s="26"/>
      <c r="F681" s="26"/>
      <c r="G681" s="26"/>
      <c r="H681" s="25"/>
      <c r="I681" s="26"/>
      <c r="J681" s="25"/>
      <c r="K681" s="25"/>
      <c r="L681" s="26"/>
      <c r="M681" s="25"/>
      <c r="N681" s="25"/>
      <c r="O681" s="26"/>
      <c r="P681" s="26"/>
      <c r="Q681" s="26"/>
      <c r="R681" s="26"/>
      <c r="S681" s="25"/>
      <c r="T681" s="26"/>
      <c r="U681" s="26"/>
      <c r="V681" s="25"/>
      <c r="W681" s="25"/>
      <c r="X681" s="26"/>
      <c r="Y681" s="25"/>
      <c r="Z681" s="10"/>
    </row>
    <row r="682" spans="1:26" ht="12.75">
      <c r="A682" s="25"/>
      <c r="B682" s="25"/>
      <c r="C682" s="25"/>
      <c r="D682" s="26"/>
      <c r="E682" s="26"/>
      <c r="F682" s="26"/>
      <c r="G682" s="26"/>
      <c r="H682" s="25"/>
      <c r="I682" s="26"/>
      <c r="J682" s="25"/>
      <c r="K682" s="25"/>
      <c r="L682" s="26"/>
      <c r="M682" s="25"/>
      <c r="N682" s="25"/>
      <c r="O682" s="26"/>
      <c r="P682" s="26"/>
      <c r="Q682" s="26"/>
      <c r="R682" s="26"/>
      <c r="S682" s="25"/>
      <c r="T682" s="26"/>
      <c r="U682" s="26"/>
      <c r="V682" s="25"/>
      <c r="W682" s="25"/>
      <c r="X682" s="26"/>
      <c r="Y682" s="25"/>
      <c r="Z682" s="10"/>
    </row>
    <row r="683" spans="1:26" ht="12.75">
      <c r="A683" s="25"/>
      <c r="B683" s="25"/>
      <c r="C683" s="25"/>
      <c r="D683" s="26"/>
      <c r="E683" s="26"/>
      <c r="F683" s="26"/>
      <c r="G683" s="26"/>
      <c r="H683" s="25"/>
      <c r="I683" s="26"/>
      <c r="J683" s="25"/>
      <c r="K683" s="25"/>
      <c r="L683" s="26"/>
      <c r="M683" s="25"/>
      <c r="N683" s="25"/>
      <c r="O683" s="26"/>
      <c r="P683" s="26"/>
      <c r="Q683" s="26"/>
      <c r="R683" s="26"/>
      <c r="S683" s="25"/>
      <c r="T683" s="26"/>
      <c r="U683" s="26"/>
      <c r="V683" s="25"/>
      <c r="W683" s="25"/>
      <c r="X683" s="26"/>
      <c r="Y683" s="25"/>
      <c r="Z683" s="10"/>
    </row>
    <row r="684" spans="1:26" ht="12.75">
      <c r="A684" s="25"/>
      <c r="B684" s="25"/>
      <c r="C684" s="25"/>
      <c r="D684" s="26"/>
      <c r="E684" s="26"/>
      <c r="F684" s="26"/>
      <c r="G684" s="26"/>
      <c r="H684" s="25"/>
      <c r="I684" s="26"/>
      <c r="J684" s="25"/>
      <c r="K684" s="25"/>
      <c r="L684" s="26"/>
      <c r="M684" s="25"/>
      <c r="N684" s="25"/>
      <c r="O684" s="26"/>
      <c r="P684" s="26"/>
      <c r="Q684" s="26"/>
      <c r="R684" s="26"/>
      <c r="S684" s="25"/>
      <c r="T684" s="26"/>
      <c r="U684" s="26"/>
      <c r="V684" s="25"/>
      <c r="W684" s="25"/>
      <c r="X684" s="26"/>
      <c r="Y684" s="25"/>
      <c r="Z684" s="10"/>
    </row>
    <row r="685" spans="1:26" ht="12.75">
      <c r="A685" s="25"/>
      <c r="B685" s="25"/>
      <c r="C685" s="25"/>
      <c r="D685" s="26"/>
      <c r="E685" s="26"/>
      <c r="F685" s="26"/>
      <c r="G685" s="26"/>
      <c r="H685" s="25"/>
      <c r="I685" s="26"/>
      <c r="J685" s="25"/>
      <c r="K685" s="25"/>
      <c r="L685" s="26"/>
      <c r="M685" s="25"/>
      <c r="N685" s="25"/>
      <c r="O685" s="26"/>
      <c r="P685" s="26"/>
      <c r="Q685" s="26"/>
      <c r="R685" s="26"/>
      <c r="S685" s="25"/>
      <c r="T685" s="26"/>
      <c r="U685" s="26"/>
      <c r="V685" s="25"/>
      <c r="W685" s="25"/>
      <c r="X685" s="26"/>
      <c r="Y685" s="25"/>
      <c r="Z685" s="10"/>
    </row>
    <row r="686" spans="1:26" ht="12.75">
      <c r="A686" s="25"/>
      <c r="B686" s="25"/>
      <c r="C686" s="25"/>
      <c r="D686" s="26"/>
      <c r="E686" s="26"/>
      <c r="F686" s="26"/>
      <c r="G686" s="26"/>
      <c r="H686" s="25"/>
      <c r="I686" s="26"/>
      <c r="J686" s="25"/>
      <c r="K686" s="25"/>
      <c r="L686" s="26"/>
      <c r="M686" s="25"/>
      <c r="N686" s="25"/>
      <c r="O686" s="26"/>
      <c r="P686" s="26"/>
      <c r="Q686" s="26"/>
      <c r="R686" s="26"/>
      <c r="S686" s="25"/>
      <c r="T686" s="26"/>
      <c r="U686" s="26"/>
      <c r="V686" s="25"/>
      <c r="W686" s="25"/>
      <c r="X686" s="26"/>
      <c r="Y686" s="25"/>
      <c r="Z686" s="10"/>
    </row>
    <row r="687" spans="1:26" ht="12.75">
      <c r="A687" s="25"/>
      <c r="B687" s="25"/>
      <c r="C687" s="25"/>
      <c r="D687" s="26"/>
      <c r="E687" s="26"/>
      <c r="F687" s="26"/>
      <c r="G687" s="26"/>
      <c r="H687" s="25"/>
      <c r="I687" s="26"/>
      <c r="J687" s="25"/>
      <c r="K687" s="25"/>
      <c r="L687" s="26"/>
      <c r="M687" s="25"/>
      <c r="N687" s="25"/>
      <c r="O687" s="26"/>
      <c r="P687" s="26"/>
      <c r="Q687" s="26"/>
      <c r="R687" s="26"/>
      <c r="S687" s="25"/>
      <c r="T687" s="26"/>
      <c r="U687" s="26"/>
      <c r="V687" s="25"/>
      <c r="W687" s="25"/>
      <c r="X687" s="26"/>
      <c r="Y687" s="25"/>
      <c r="Z687" s="10"/>
    </row>
    <row r="688" spans="1:26" ht="12.75">
      <c r="A688" s="25"/>
      <c r="B688" s="25"/>
      <c r="C688" s="25"/>
      <c r="D688" s="26"/>
      <c r="E688" s="26"/>
      <c r="F688" s="26"/>
      <c r="G688" s="26"/>
      <c r="H688" s="25"/>
      <c r="I688" s="26"/>
      <c r="J688" s="25"/>
      <c r="K688" s="25"/>
      <c r="L688" s="26"/>
      <c r="M688" s="25"/>
      <c r="N688" s="25"/>
      <c r="O688" s="26"/>
      <c r="P688" s="26"/>
      <c r="Q688" s="26"/>
      <c r="R688" s="26"/>
      <c r="S688" s="25"/>
      <c r="T688" s="26"/>
      <c r="U688" s="26"/>
      <c r="V688" s="25"/>
      <c r="W688" s="25"/>
      <c r="X688" s="26"/>
      <c r="Y688" s="25"/>
      <c r="Z688" s="10"/>
    </row>
    <row r="689" spans="1:26" ht="12.75">
      <c r="A689" s="25"/>
      <c r="B689" s="25"/>
      <c r="C689" s="25"/>
      <c r="D689" s="26"/>
      <c r="E689" s="26"/>
      <c r="F689" s="26"/>
      <c r="G689" s="26"/>
      <c r="H689" s="25"/>
      <c r="I689" s="26"/>
      <c r="J689" s="25"/>
      <c r="K689" s="25"/>
      <c r="L689" s="26"/>
      <c r="M689" s="25"/>
      <c r="N689" s="25"/>
      <c r="O689" s="26"/>
      <c r="P689" s="26"/>
      <c r="Q689" s="26"/>
      <c r="R689" s="26"/>
      <c r="S689" s="25"/>
      <c r="T689" s="26"/>
      <c r="U689" s="26"/>
      <c r="V689" s="25"/>
      <c r="W689" s="25"/>
      <c r="X689" s="26"/>
      <c r="Y689" s="25"/>
      <c r="Z689" s="10"/>
    </row>
    <row r="690" spans="1:26" ht="12.75">
      <c r="A690" s="25"/>
      <c r="B690" s="25"/>
      <c r="C690" s="25"/>
      <c r="D690" s="26"/>
      <c r="E690" s="26"/>
      <c r="F690" s="26"/>
      <c r="G690" s="26"/>
      <c r="H690" s="25"/>
      <c r="I690" s="26"/>
      <c r="J690" s="25"/>
      <c r="K690" s="25"/>
      <c r="L690" s="26"/>
      <c r="M690" s="25"/>
      <c r="N690" s="25"/>
      <c r="O690" s="26"/>
      <c r="P690" s="26"/>
      <c r="Q690" s="26"/>
      <c r="R690" s="26"/>
      <c r="S690" s="25"/>
      <c r="T690" s="26"/>
      <c r="U690" s="26"/>
      <c r="V690" s="25"/>
      <c r="W690" s="25"/>
      <c r="X690" s="26"/>
      <c r="Y690" s="25"/>
      <c r="Z690" s="10"/>
    </row>
    <row r="691" spans="1:26" ht="12.75">
      <c r="A691" s="25"/>
      <c r="B691" s="25"/>
      <c r="C691" s="25"/>
      <c r="D691" s="26"/>
      <c r="E691" s="26"/>
      <c r="F691" s="26"/>
      <c r="G691" s="26"/>
      <c r="H691" s="25"/>
      <c r="I691" s="26"/>
      <c r="J691" s="25"/>
      <c r="K691" s="25"/>
      <c r="L691" s="26"/>
      <c r="M691" s="25"/>
      <c r="N691" s="25"/>
      <c r="O691" s="26"/>
      <c r="P691" s="26"/>
      <c r="Q691" s="26"/>
      <c r="R691" s="26"/>
      <c r="S691" s="25"/>
      <c r="T691" s="26"/>
      <c r="U691" s="26"/>
      <c r="V691" s="25"/>
      <c r="W691" s="25"/>
      <c r="X691" s="26"/>
      <c r="Y691" s="25"/>
      <c r="Z691" s="10"/>
    </row>
    <row r="692" spans="1:26" ht="12.75">
      <c r="A692" s="25"/>
      <c r="B692" s="25"/>
      <c r="C692" s="25"/>
      <c r="D692" s="26"/>
      <c r="E692" s="26"/>
      <c r="F692" s="26"/>
      <c r="G692" s="26"/>
      <c r="H692" s="25"/>
      <c r="I692" s="26"/>
      <c r="J692" s="25"/>
      <c r="K692" s="25"/>
      <c r="L692" s="26"/>
      <c r="M692" s="25"/>
      <c r="N692" s="25"/>
      <c r="O692" s="26"/>
      <c r="P692" s="26"/>
      <c r="Q692" s="26"/>
      <c r="R692" s="26"/>
      <c r="S692" s="25"/>
      <c r="T692" s="26"/>
      <c r="U692" s="26"/>
      <c r="V692" s="25"/>
      <c r="W692" s="25"/>
      <c r="X692" s="26"/>
      <c r="Y692" s="25"/>
      <c r="Z692" s="10"/>
    </row>
    <row r="693" spans="1:26" ht="12.75">
      <c r="A693" s="25"/>
      <c r="B693" s="25"/>
      <c r="C693" s="25"/>
      <c r="D693" s="26"/>
      <c r="E693" s="26"/>
      <c r="F693" s="26"/>
      <c r="G693" s="26"/>
      <c r="H693" s="25"/>
      <c r="I693" s="26"/>
      <c r="J693" s="25"/>
      <c r="K693" s="25"/>
      <c r="L693" s="26"/>
      <c r="M693" s="25"/>
      <c r="N693" s="25"/>
      <c r="O693" s="26"/>
      <c r="P693" s="26"/>
      <c r="Q693" s="26"/>
      <c r="R693" s="26"/>
      <c r="S693" s="25"/>
      <c r="T693" s="26"/>
      <c r="U693" s="26"/>
      <c r="V693" s="25"/>
      <c r="W693" s="25"/>
      <c r="X693" s="26"/>
      <c r="Y693" s="25"/>
      <c r="Z693" s="10"/>
    </row>
    <row r="694" spans="1:26" ht="12.75">
      <c r="A694" s="25"/>
      <c r="B694" s="25"/>
      <c r="C694" s="25"/>
      <c r="D694" s="26"/>
      <c r="E694" s="26"/>
      <c r="F694" s="26"/>
      <c r="G694" s="26"/>
      <c r="H694" s="25"/>
      <c r="I694" s="26"/>
      <c r="J694" s="25"/>
      <c r="K694" s="25"/>
      <c r="L694" s="26"/>
      <c r="M694" s="25"/>
      <c r="N694" s="25"/>
      <c r="O694" s="26"/>
      <c r="P694" s="26"/>
      <c r="Q694" s="26"/>
      <c r="R694" s="26"/>
      <c r="S694" s="25"/>
      <c r="T694" s="26"/>
      <c r="U694" s="26"/>
      <c r="V694" s="25"/>
      <c r="W694" s="25"/>
      <c r="X694" s="26"/>
      <c r="Y694" s="25"/>
      <c r="Z694" s="10"/>
    </row>
    <row r="695" spans="1:26" ht="12.75">
      <c r="A695" s="25"/>
      <c r="B695" s="25"/>
      <c r="C695" s="25"/>
      <c r="D695" s="26"/>
      <c r="E695" s="26"/>
      <c r="F695" s="26"/>
      <c r="G695" s="26"/>
      <c r="H695" s="25"/>
      <c r="I695" s="26"/>
      <c r="J695" s="25"/>
      <c r="K695" s="25"/>
      <c r="L695" s="26"/>
      <c r="M695" s="25"/>
      <c r="N695" s="25"/>
      <c r="O695" s="26"/>
      <c r="P695" s="26"/>
      <c r="Q695" s="26"/>
      <c r="R695" s="26"/>
      <c r="S695" s="25"/>
      <c r="T695" s="26"/>
      <c r="U695" s="26"/>
      <c r="V695" s="25"/>
      <c r="W695" s="25"/>
      <c r="X695" s="26"/>
      <c r="Y695" s="25"/>
      <c r="Z695" s="10"/>
    </row>
    <row r="696" spans="1:26" ht="12.75">
      <c r="A696" s="25"/>
      <c r="B696" s="25"/>
      <c r="C696" s="25"/>
      <c r="D696" s="26"/>
      <c r="E696" s="26"/>
      <c r="F696" s="26"/>
      <c r="G696" s="26"/>
      <c r="H696" s="25"/>
      <c r="I696" s="26"/>
      <c r="J696" s="25"/>
      <c r="K696" s="25"/>
      <c r="L696" s="26"/>
      <c r="M696" s="25"/>
      <c r="N696" s="25"/>
      <c r="O696" s="26"/>
      <c r="P696" s="26"/>
      <c r="Q696" s="26"/>
      <c r="R696" s="26"/>
      <c r="S696" s="25"/>
      <c r="T696" s="26"/>
      <c r="U696" s="26"/>
      <c r="V696" s="25"/>
      <c r="W696" s="25"/>
      <c r="X696" s="26"/>
      <c r="Y696" s="25"/>
      <c r="Z696" s="10"/>
    </row>
    <row r="697" spans="1:26" ht="12.75">
      <c r="A697" s="25"/>
      <c r="B697" s="25"/>
      <c r="C697" s="25"/>
      <c r="D697" s="26"/>
      <c r="E697" s="26"/>
      <c r="F697" s="26"/>
      <c r="G697" s="26"/>
      <c r="H697" s="25"/>
      <c r="I697" s="26"/>
      <c r="J697" s="25"/>
      <c r="K697" s="25"/>
      <c r="L697" s="26"/>
      <c r="M697" s="25"/>
      <c r="N697" s="25"/>
      <c r="O697" s="26"/>
      <c r="P697" s="26"/>
      <c r="Q697" s="26"/>
      <c r="R697" s="26"/>
      <c r="S697" s="25"/>
      <c r="T697" s="26"/>
      <c r="U697" s="26"/>
      <c r="V697" s="25"/>
      <c r="W697" s="25"/>
      <c r="X697" s="26"/>
      <c r="Y697" s="25"/>
      <c r="Z697" s="10"/>
    </row>
    <row r="698" spans="1:26" ht="12.75">
      <c r="A698" s="25"/>
      <c r="B698" s="25"/>
      <c r="C698" s="25"/>
      <c r="D698" s="26"/>
      <c r="E698" s="26"/>
      <c r="F698" s="26"/>
      <c r="G698" s="26"/>
      <c r="H698" s="25"/>
      <c r="I698" s="26"/>
      <c r="J698" s="25"/>
      <c r="K698" s="25"/>
      <c r="L698" s="26"/>
      <c r="M698" s="25"/>
      <c r="N698" s="25"/>
      <c r="O698" s="26"/>
      <c r="P698" s="26"/>
      <c r="Q698" s="26"/>
      <c r="R698" s="26"/>
      <c r="S698" s="25"/>
      <c r="T698" s="26"/>
      <c r="U698" s="26"/>
      <c r="V698" s="25"/>
      <c r="W698" s="25"/>
      <c r="X698" s="26"/>
      <c r="Y698" s="25"/>
      <c r="Z698" s="10"/>
    </row>
    <row r="699" spans="1:26" ht="12.75">
      <c r="A699" s="25"/>
      <c r="B699" s="25"/>
      <c r="C699" s="25"/>
      <c r="D699" s="26"/>
      <c r="E699" s="26"/>
      <c r="F699" s="26"/>
      <c r="G699" s="26"/>
      <c r="H699" s="25"/>
      <c r="I699" s="26"/>
      <c r="J699" s="25"/>
      <c r="K699" s="25"/>
      <c r="L699" s="26"/>
      <c r="M699" s="25"/>
      <c r="N699" s="25"/>
      <c r="O699" s="26"/>
      <c r="P699" s="26"/>
      <c r="Q699" s="26"/>
      <c r="R699" s="26"/>
      <c r="S699" s="25"/>
      <c r="T699" s="26"/>
      <c r="U699" s="26"/>
      <c r="V699" s="25"/>
      <c r="W699" s="25"/>
      <c r="X699" s="26"/>
      <c r="Y699" s="25"/>
      <c r="Z699" s="10"/>
    </row>
    <row r="700" spans="1:26" ht="12.75">
      <c r="A700" s="25"/>
      <c r="B700" s="25"/>
      <c r="C700" s="25"/>
      <c r="D700" s="26"/>
      <c r="E700" s="26"/>
      <c r="F700" s="26"/>
      <c r="G700" s="26"/>
      <c r="H700" s="25"/>
      <c r="I700" s="26"/>
      <c r="J700" s="25"/>
      <c r="K700" s="25"/>
      <c r="L700" s="26"/>
      <c r="M700" s="25"/>
      <c r="N700" s="25"/>
      <c r="O700" s="26"/>
      <c r="P700" s="26"/>
      <c r="Q700" s="26"/>
      <c r="R700" s="26"/>
      <c r="S700" s="25"/>
      <c r="T700" s="26"/>
      <c r="U700" s="26"/>
      <c r="V700" s="25"/>
      <c r="W700" s="25"/>
      <c r="X700" s="26"/>
      <c r="Y700" s="25"/>
      <c r="Z700" s="10"/>
    </row>
    <row r="701" spans="1:26" ht="12.75">
      <c r="A701" s="25"/>
      <c r="B701" s="25"/>
      <c r="C701" s="25"/>
      <c r="D701" s="26"/>
      <c r="E701" s="26"/>
      <c r="F701" s="26"/>
      <c r="G701" s="26"/>
      <c r="H701" s="25"/>
      <c r="I701" s="26"/>
      <c r="J701" s="25"/>
      <c r="K701" s="25"/>
      <c r="L701" s="26"/>
      <c r="M701" s="25"/>
      <c r="N701" s="25"/>
      <c r="O701" s="26"/>
      <c r="P701" s="26"/>
      <c r="Q701" s="26"/>
      <c r="R701" s="26"/>
      <c r="S701" s="25"/>
      <c r="T701" s="26"/>
      <c r="U701" s="26"/>
      <c r="V701" s="25"/>
      <c r="W701" s="25"/>
      <c r="X701" s="26"/>
      <c r="Y701" s="25"/>
      <c r="Z701" s="10"/>
    </row>
    <row r="702" spans="1:26" ht="12.75">
      <c r="A702" s="25"/>
      <c r="B702" s="25"/>
      <c r="C702" s="25"/>
      <c r="D702" s="26"/>
      <c r="E702" s="26"/>
      <c r="F702" s="26"/>
      <c r="G702" s="26"/>
      <c r="H702" s="25"/>
      <c r="I702" s="26"/>
      <c r="J702" s="25"/>
      <c r="K702" s="25"/>
      <c r="L702" s="26"/>
      <c r="M702" s="25"/>
      <c r="N702" s="25"/>
      <c r="O702" s="26"/>
      <c r="P702" s="26"/>
      <c r="Q702" s="26"/>
      <c r="R702" s="26"/>
      <c r="S702" s="25"/>
      <c r="T702" s="26"/>
      <c r="U702" s="26"/>
      <c r="V702" s="25"/>
      <c r="W702" s="25"/>
      <c r="X702" s="26"/>
      <c r="Y702" s="25"/>
      <c r="Z702" s="10"/>
    </row>
    <row r="703" spans="1:26" ht="12.75">
      <c r="A703" s="25"/>
      <c r="B703" s="25"/>
      <c r="C703" s="25"/>
      <c r="D703" s="26"/>
      <c r="E703" s="26"/>
      <c r="F703" s="26"/>
      <c r="G703" s="26"/>
      <c r="H703" s="25"/>
      <c r="I703" s="26"/>
      <c r="J703" s="25"/>
      <c r="K703" s="25"/>
      <c r="L703" s="26"/>
      <c r="M703" s="25"/>
      <c r="N703" s="25"/>
      <c r="O703" s="26"/>
      <c r="P703" s="26"/>
      <c r="Q703" s="26"/>
      <c r="R703" s="26"/>
      <c r="S703" s="25"/>
      <c r="T703" s="26"/>
      <c r="U703" s="26"/>
      <c r="V703" s="25"/>
      <c r="W703" s="25"/>
      <c r="X703" s="26"/>
      <c r="Y703" s="25"/>
      <c r="Z703" s="10"/>
    </row>
    <row r="704" spans="1:26" ht="12.75">
      <c r="A704" s="25"/>
      <c r="B704" s="25"/>
      <c r="C704" s="25"/>
      <c r="D704" s="26"/>
      <c r="E704" s="26"/>
      <c r="F704" s="26"/>
      <c r="G704" s="26"/>
      <c r="H704" s="25"/>
      <c r="I704" s="26"/>
      <c r="J704" s="25"/>
      <c r="K704" s="25"/>
      <c r="L704" s="26"/>
      <c r="M704" s="25"/>
      <c r="N704" s="25"/>
      <c r="O704" s="26"/>
      <c r="P704" s="26"/>
      <c r="Q704" s="26"/>
      <c r="R704" s="26"/>
      <c r="S704" s="25"/>
      <c r="T704" s="26"/>
      <c r="U704" s="26"/>
      <c r="V704" s="25"/>
      <c r="W704" s="25"/>
      <c r="X704" s="26"/>
      <c r="Y704" s="25"/>
      <c r="Z704" s="10"/>
    </row>
    <row r="705" spans="1:26" ht="12.75">
      <c r="A705" s="25"/>
      <c r="B705" s="25"/>
      <c r="C705" s="25"/>
      <c r="D705" s="26"/>
      <c r="E705" s="26"/>
      <c r="F705" s="26"/>
      <c r="G705" s="26"/>
      <c r="H705" s="25"/>
      <c r="I705" s="26"/>
      <c r="J705" s="25"/>
      <c r="K705" s="25"/>
      <c r="L705" s="26"/>
      <c r="M705" s="25"/>
      <c r="N705" s="25"/>
      <c r="O705" s="26"/>
      <c r="P705" s="26"/>
      <c r="Q705" s="26"/>
      <c r="R705" s="26"/>
      <c r="S705" s="25"/>
      <c r="T705" s="26"/>
      <c r="U705" s="26"/>
      <c r="V705" s="25"/>
      <c r="W705" s="25"/>
      <c r="X705" s="26"/>
      <c r="Y705" s="25"/>
      <c r="Z705" s="10"/>
    </row>
    <row r="706" spans="1:26" ht="12.75">
      <c r="A706" s="25"/>
      <c r="B706" s="25"/>
      <c r="C706" s="25"/>
      <c r="D706" s="26"/>
      <c r="E706" s="26"/>
      <c r="F706" s="26"/>
      <c r="G706" s="26"/>
      <c r="H706" s="25"/>
      <c r="I706" s="26"/>
      <c r="J706" s="25"/>
      <c r="K706" s="25"/>
      <c r="L706" s="26"/>
      <c r="M706" s="25"/>
      <c r="N706" s="25"/>
      <c r="O706" s="26"/>
      <c r="P706" s="26"/>
      <c r="Q706" s="26"/>
      <c r="R706" s="26"/>
      <c r="S706" s="25"/>
      <c r="T706" s="26"/>
      <c r="U706" s="26"/>
      <c r="V706" s="25"/>
      <c r="W706" s="25"/>
      <c r="X706" s="26"/>
      <c r="Y706" s="25"/>
      <c r="Z706" s="10"/>
    </row>
    <row r="707" spans="1:26" ht="12.75">
      <c r="A707" s="25"/>
      <c r="B707" s="25"/>
      <c r="C707" s="25"/>
      <c r="D707" s="26"/>
      <c r="E707" s="26"/>
      <c r="F707" s="26"/>
      <c r="G707" s="26"/>
      <c r="H707" s="25"/>
      <c r="I707" s="26"/>
      <c r="J707" s="25"/>
      <c r="K707" s="25"/>
      <c r="L707" s="26"/>
      <c r="M707" s="25"/>
      <c r="N707" s="25"/>
      <c r="O707" s="26"/>
      <c r="P707" s="26"/>
      <c r="Q707" s="26"/>
      <c r="R707" s="26"/>
      <c r="S707" s="25"/>
      <c r="T707" s="26"/>
      <c r="U707" s="26"/>
      <c r="V707" s="25"/>
      <c r="W707" s="25"/>
      <c r="X707" s="26"/>
      <c r="Y707" s="25"/>
      <c r="Z707" s="10"/>
    </row>
    <row r="708" spans="1:26" ht="12.75">
      <c r="A708" s="25"/>
      <c r="B708" s="25"/>
      <c r="C708" s="25"/>
      <c r="D708" s="26"/>
      <c r="E708" s="26"/>
      <c r="F708" s="26"/>
      <c r="G708" s="26"/>
      <c r="H708" s="25"/>
      <c r="I708" s="26"/>
      <c r="J708" s="25"/>
      <c r="K708" s="25"/>
      <c r="L708" s="26"/>
      <c r="M708" s="25"/>
      <c r="N708" s="25"/>
      <c r="O708" s="26"/>
      <c r="P708" s="26"/>
      <c r="Q708" s="26"/>
      <c r="R708" s="26"/>
      <c r="S708" s="25"/>
      <c r="T708" s="26"/>
      <c r="U708" s="26"/>
      <c r="V708" s="25"/>
      <c r="W708" s="25"/>
      <c r="X708" s="26"/>
      <c r="Y708" s="25"/>
      <c r="Z708" s="10"/>
    </row>
    <row r="709" spans="1:26" ht="12.75">
      <c r="A709" s="25"/>
      <c r="B709" s="25"/>
      <c r="C709" s="25"/>
      <c r="D709" s="26"/>
      <c r="E709" s="26"/>
      <c r="F709" s="26"/>
      <c r="G709" s="26"/>
      <c r="H709" s="25"/>
      <c r="I709" s="26"/>
      <c r="J709" s="25"/>
      <c r="K709" s="25"/>
      <c r="L709" s="26"/>
      <c r="M709" s="25"/>
      <c r="N709" s="25"/>
      <c r="O709" s="26"/>
      <c r="P709" s="26"/>
      <c r="Q709" s="26"/>
      <c r="R709" s="26"/>
      <c r="S709" s="25"/>
      <c r="T709" s="26"/>
      <c r="U709" s="26"/>
      <c r="V709" s="25"/>
      <c r="W709" s="25"/>
      <c r="X709" s="26"/>
      <c r="Y709" s="25"/>
      <c r="Z709" s="10"/>
    </row>
    <row r="710" spans="1:26" ht="12.75">
      <c r="A710" s="25"/>
      <c r="B710" s="25"/>
      <c r="C710" s="25"/>
      <c r="D710" s="26"/>
      <c r="E710" s="26"/>
      <c r="F710" s="26"/>
      <c r="G710" s="26"/>
      <c r="H710" s="25"/>
      <c r="I710" s="26"/>
      <c r="J710" s="25"/>
      <c r="K710" s="25"/>
      <c r="L710" s="26"/>
      <c r="M710" s="25"/>
      <c r="N710" s="25"/>
      <c r="O710" s="26"/>
      <c r="P710" s="26"/>
      <c r="Q710" s="26"/>
      <c r="R710" s="26"/>
      <c r="S710" s="25"/>
      <c r="T710" s="26"/>
      <c r="U710" s="26"/>
      <c r="V710" s="25"/>
      <c r="W710" s="25"/>
      <c r="X710" s="26"/>
      <c r="Y710" s="25"/>
      <c r="Z710" s="10"/>
    </row>
    <row r="711" spans="1:26" ht="12.75">
      <c r="A711" s="25"/>
      <c r="B711" s="25"/>
      <c r="C711" s="25"/>
      <c r="D711" s="26"/>
      <c r="E711" s="26"/>
      <c r="F711" s="26"/>
      <c r="G711" s="26"/>
      <c r="H711" s="25"/>
      <c r="I711" s="26"/>
      <c r="J711" s="25"/>
      <c r="K711" s="25"/>
      <c r="L711" s="26"/>
      <c r="M711" s="25"/>
      <c r="N711" s="25"/>
      <c r="O711" s="26"/>
      <c r="P711" s="26"/>
      <c r="Q711" s="26"/>
      <c r="R711" s="26"/>
      <c r="S711" s="25"/>
      <c r="T711" s="26"/>
      <c r="U711" s="26"/>
      <c r="V711" s="25"/>
      <c r="W711" s="25"/>
      <c r="X711" s="26"/>
      <c r="Y711" s="25"/>
      <c r="Z711" s="10"/>
    </row>
    <row r="712" spans="1:26" ht="12.75">
      <c r="A712" s="25"/>
      <c r="B712" s="25"/>
      <c r="C712" s="25"/>
      <c r="D712" s="26"/>
      <c r="E712" s="26"/>
      <c r="F712" s="26"/>
      <c r="G712" s="26"/>
      <c r="H712" s="25"/>
      <c r="I712" s="26"/>
      <c r="J712" s="25"/>
      <c r="K712" s="25"/>
      <c r="L712" s="26"/>
      <c r="M712" s="25"/>
      <c r="N712" s="25"/>
      <c r="O712" s="26"/>
      <c r="P712" s="26"/>
      <c r="Q712" s="26"/>
      <c r="R712" s="26"/>
      <c r="S712" s="25"/>
      <c r="T712" s="26"/>
      <c r="U712" s="26"/>
      <c r="V712" s="25"/>
      <c r="W712" s="25"/>
      <c r="X712" s="26"/>
      <c r="Y712" s="25"/>
      <c r="Z712" s="10"/>
    </row>
    <row r="713" spans="1:26" ht="12.75">
      <c r="A713" s="25"/>
      <c r="B713" s="25"/>
      <c r="C713" s="25"/>
      <c r="D713" s="26"/>
      <c r="E713" s="26"/>
      <c r="F713" s="26"/>
      <c r="G713" s="26"/>
      <c r="H713" s="25"/>
      <c r="I713" s="26"/>
      <c r="J713" s="25"/>
      <c r="K713" s="25"/>
      <c r="L713" s="26"/>
      <c r="M713" s="25"/>
      <c r="N713" s="25"/>
      <c r="O713" s="26"/>
      <c r="P713" s="26"/>
      <c r="Q713" s="26"/>
      <c r="R713" s="26"/>
      <c r="S713" s="25"/>
      <c r="T713" s="26"/>
      <c r="U713" s="26"/>
      <c r="V713" s="25"/>
      <c r="W713" s="25"/>
      <c r="X713" s="26"/>
      <c r="Y713" s="25"/>
      <c r="Z713" s="10"/>
    </row>
    <row r="714" spans="1:26" ht="12.75">
      <c r="A714" s="25"/>
      <c r="B714" s="25"/>
      <c r="C714" s="25"/>
      <c r="D714" s="26"/>
      <c r="E714" s="26"/>
      <c r="F714" s="26"/>
      <c r="G714" s="26"/>
      <c r="H714" s="25"/>
      <c r="I714" s="26"/>
      <c r="J714" s="25"/>
      <c r="K714" s="25"/>
      <c r="L714" s="26"/>
      <c r="M714" s="25"/>
      <c r="N714" s="25"/>
      <c r="O714" s="26"/>
      <c r="P714" s="26"/>
      <c r="Q714" s="26"/>
      <c r="R714" s="26"/>
      <c r="S714" s="25"/>
      <c r="T714" s="26"/>
      <c r="U714" s="26"/>
      <c r="V714" s="25"/>
      <c r="W714" s="25"/>
      <c r="X714" s="26"/>
      <c r="Y714" s="25"/>
      <c r="Z714" s="10"/>
    </row>
    <row r="715" spans="1:26" ht="12.75">
      <c r="A715" s="25"/>
      <c r="B715" s="25"/>
      <c r="C715" s="25"/>
      <c r="D715" s="26"/>
      <c r="E715" s="26"/>
      <c r="F715" s="26"/>
      <c r="G715" s="26"/>
      <c r="H715" s="25"/>
      <c r="I715" s="26"/>
      <c r="J715" s="25"/>
      <c r="K715" s="25"/>
      <c r="L715" s="26"/>
      <c r="M715" s="25"/>
      <c r="N715" s="25"/>
      <c r="O715" s="26"/>
      <c r="P715" s="26"/>
      <c r="Q715" s="26"/>
      <c r="R715" s="26"/>
      <c r="S715" s="25"/>
      <c r="T715" s="26"/>
      <c r="U715" s="26"/>
      <c r="V715" s="25"/>
      <c r="W715" s="25"/>
      <c r="X715" s="26"/>
      <c r="Y715" s="25"/>
      <c r="Z715" s="10"/>
    </row>
    <row r="716" spans="1:26" ht="12.75">
      <c r="A716" s="25"/>
      <c r="B716" s="25"/>
      <c r="C716" s="25"/>
      <c r="D716" s="26"/>
      <c r="E716" s="26"/>
      <c r="F716" s="26"/>
      <c r="G716" s="26"/>
      <c r="H716" s="25"/>
      <c r="I716" s="26"/>
      <c r="J716" s="25"/>
      <c r="K716" s="25"/>
      <c r="L716" s="26"/>
      <c r="M716" s="25"/>
      <c r="N716" s="25"/>
      <c r="O716" s="26"/>
      <c r="P716" s="26"/>
      <c r="Q716" s="26"/>
      <c r="R716" s="26"/>
      <c r="S716" s="25"/>
      <c r="T716" s="26"/>
      <c r="U716" s="26"/>
      <c r="V716" s="25"/>
      <c r="W716" s="25"/>
      <c r="X716" s="26"/>
      <c r="Y716" s="25"/>
      <c r="Z716" s="10"/>
    </row>
    <row r="717" spans="1:26" ht="12.75">
      <c r="A717" s="25"/>
      <c r="B717" s="25"/>
      <c r="C717" s="25"/>
      <c r="D717" s="26"/>
      <c r="E717" s="26"/>
      <c r="F717" s="26"/>
      <c r="G717" s="26"/>
      <c r="H717" s="25"/>
      <c r="I717" s="26"/>
      <c r="J717" s="25"/>
      <c r="K717" s="25"/>
      <c r="L717" s="26"/>
      <c r="M717" s="25"/>
      <c r="N717" s="25"/>
      <c r="O717" s="26"/>
      <c r="P717" s="26"/>
      <c r="Q717" s="26"/>
      <c r="R717" s="26"/>
      <c r="S717" s="25"/>
      <c r="T717" s="26"/>
      <c r="U717" s="26"/>
      <c r="V717" s="25"/>
      <c r="W717" s="25"/>
      <c r="X717" s="26"/>
      <c r="Y717" s="25"/>
      <c r="Z717" s="10"/>
    </row>
    <row r="718" spans="1:26" ht="12.75">
      <c r="A718" s="25"/>
      <c r="B718" s="25"/>
      <c r="C718" s="25"/>
      <c r="D718" s="26"/>
      <c r="E718" s="26"/>
      <c r="F718" s="26"/>
      <c r="G718" s="26"/>
      <c r="H718" s="25"/>
      <c r="I718" s="26"/>
      <c r="J718" s="25"/>
      <c r="K718" s="25"/>
      <c r="L718" s="26"/>
      <c r="M718" s="25"/>
      <c r="N718" s="25"/>
      <c r="O718" s="26"/>
      <c r="P718" s="26"/>
      <c r="Q718" s="26"/>
      <c r="R718" s="26"/>
      <c r="S718" s="25"/>
      <c r="T718" s="26"/>
      <c r="U718" s="26"/>
      <c r="V718" s="25"/>
      <c r="W718" s="25"/>
      <c r="X718" s="26"/>
      <c r="Y718" s="25"/>
      <c r="Z718" s="10"/>
    </row>
    <row r="719" spans="1:26" ht="12.75">
      <c r="A719" s="25"/>
      <c r="B719" s="25"/>
      <c r="C719" s="25"/>
      <c r="D719" s="26"/>
      <c r="E719" s="26"/>
      <c r="F719" s="26"/>
      <c r="G719" s="26"/>
      <c r="H719" s="25"/>
      <c r="I719" s="26"/>
      <c r="J719" s="25"/>
      <c r="K719" s="25"/>
      <c r="L719" s="26"/>
      <c r="M719" s="25"/>
      <c r="N719" s="25"/>
      <c r="O719" s="26"/>
      <c r="P719" s="26"/>
      <c r="Q719" s="26"/>
      <c r="R719" s="26"/>
      <c r="S719" s="25"/>
      <c r="T719" s="26"/>
      <c r="U719" s="26"/>
      <c r="V719" s="25"/>
      <c r="W719" s="25"/>
      <c r="X719" s="26"/>
      <c r="Y719" s="25"/>
      <c r="Z719" s="10"/>
    </row>
    <row r="720" spans="1:26" ht="12.75">
      <c r="A720" s="25"/>
      <c r="B720" s="25"/>
      <c r="C720" s="25"/>
      <c r="D720" s="26"/>
      <c r="E720" s="26"/>
      <c r="F720" s="26"/>
      <c r="G720" s="26"/>
      <c r="H720" s="25"/>
      <c r="I720" s="26"/>
      <c r="J720" s="25"/>
      <c r="K720" s="25"/>
      <c r="L720" s="26"/>
      <c r="M720" s="25"/>
      <c r="N720" s="25"/>
      <c r="O720" s="26"/>
      <c r="P720" s="26"/>
      <c r="Q720" s="26"/>
      <c r="R720" s="26"/>
      <c r="S720" s="25"/>
      <c r="T720" s="26"/>
      <c r="U720" s="26"/>
      <c r="V720" s="25"/>
      <c r="W720" s="25"/>
      <c r="X720" s="26"/>
      <c r="Y720" s="25"/>
      <c r="Z720" s="10"/>
    </row>
    <row r="721" spans="1:26" ht="12.75">
      <c r="A721" s="25"/>
      <c r="B721" s="25"/>
      <c r="C721" s="25"/>
      <c r="D721" s="26"/>
      <c r="E721" s="26"/>
      <c r="F721" s="26"/>
      <c r="G721" s="26"/>
      <c r="H721" s="25"/>
      <c r="I721" s="26"/>
      <c r="J721" s="25"/>
      <c r="K721" s="25"/>
      <c r="L721" s="26"/>
      <c r="M721" s="25"/>
      <c r="N721" s="25"/>
      <c r="O721" s="26"/>
      <c r="P721" s="26"/>
      <c r="Q721" s="26"/>
      <c r="R721" s="26"/>
      <c r="S721" s="25"/>
      <c r="T721" s="26"/>
      <c r="U721" s="26"/>
      <c r="V721" s="25"/>
      <c r="W721" s="25"/>
      <c r="X721" s="26"/>
      <c r="Y721" s="25"/>
      <c r="Z721" s="10"/>
    </row>
    <row r="722" spans="1:26" ht="12.75">
      <c r="A722" s="25"/>
      <c r="B722" s="25"/>
      <c r="C722" s="25"/>
      <c r="D722" s="26"/>
      <c r="E722" s="26"/>
      <c r="F722" s="26"/>
      <c r="G722" s="26"/>
      <c r="H722" s="25"/>
      <c r="I722" s="26"/>
      <c r="J722" s="25"/>
      <c r="K722" s="25"/>
      <c r="L722" s="26"/>
      <c r="M722" s="25"/>
      <c r="N722" s="25"/>
      <c r="O722" s="26"/>
      <c r="P722" s="26"/>
      <c r="Q722" s="26"/>
      <c r="R722" s="26"/>
      <c r="S722" s="25"/>
      <c r="T722" s="26"/>
      <c r="U722" s="26"/>
      <c r="V722" s="25"/>
      <c r="W722" s="25"/>
      <c r="X722" s="26"/>
      <c r="Y722" s="25"/>
      <c r="Z722" s="10"/>
    </row>
    <row r="723" spans="1:26" ht="12.75">
      <c r="A723" s="25"/>
      <c r="B723" s="25"/>
      <c r="C723" s="25"/>
      <c r="D723" s="26"/>
      <c r="E723" s="26"/>
      <c r="F723" s="26"/>
      <c r="G723" s="26"/>
      <c r="H723" s="25"/>
      <c r="I723" s="26"/>
      <c r="J723" s="25"/>
      <c r="K723" s="25"/>
      <c r="L723" s="26"/>
      <c r="M723" s="25"/>
      <c r="N723" s="25"/>
      <c r="O723" s="26"/>
      <c r="P723" s="26"/>
      <c r="Q723" s="26"/>
      <c r="R723" s="26"/>
      <c r="S723" s="25"/>
      <c r="T723" s="26"/>
      <c r="U723" s="26"/>
      <c r="V723" s="25"/>
      <c r="W723" s="25"/>
      <c r="X723" s="26"/>
      <c r="Y723" s="25"/>
      <c r="Z723" s="10"/>
    </row>
    <row r="724" spans="1:26" ht="12.75">
      <c r="A724" s="25"/>
      <c r="B724" s="25"/>
      <c r="C724" s="25"/>
      <c r="D724" s="26"/>
      <c r="E724" s="26"/>
      <c r="F724" s="26"/>
      <c r="G724" s="26"/>
      <c r="H724" s="25"/>
      <c r="I724" s="26"/>
      <c r="J724" s="25"/>
      <c r="K724" s="25"/>
      <c r="L724" s="26"/>
      <c r="M724" s="25"/>
      <c r="N724" s="25"/>
      <c r="O724" s="26"/>
      <c r="P724" s="26"/>
      <c r="Q724" s="26"/>
      <c r="R724" s="26"/>
      <c r="S724" s="25"/>
      <c r="T724" s="26"/>
      <c r="U724" s="26"/>
      <c r="V724" s="25"/>
      <c r="W724" s="25"/>
      <c r="X724" s="26"/>
      <c r="Y724" s="25"/>
      <c r="Z724" s="10"/>
    </row>
    <row r="725" spans="1:26" ht="12.75">
      <c r="A725" s="25"/>
      <c r="B725" s="25"/>
      <c r="C725" s="25"/>
      <c r="D725" s="26"/>
      <c r="E725" s="26"/>
      <c r="F725" s="26"/>
      <c r="G725" s="26"/>
      <c r="H725" s="25"/>
      <c r="I725" s="26"/>
      <c r="J725" s="25"/>
      <c r="K725" s="25"/>
      <c r="L725" s="26"/>
      <c r="M725" s="25"/>
      <c r="N725" s="25"/>
      <c r="O725" s="26"/>
      <c r="P725" s="26"/>
      <c r="Q725" s="26"/>
      <c r="R725" s="26"/>
      <c r="S725" s="25"/>
      <c r="T725" s="26"/>
      <c r="U725" s="26"/>
      <c r="V725" s="25"/>
      <c r="W725" s="25"/>
      <c r="X725" s="26"/>
      <c r="Y725" s="25"/>
      <c r="Z725" s="10"/>
    </row>
    <row r="726" spans="1:26" ht="12.75">
      <c r="A726" s="25"/>
      <c r="B726" s="25"/>
      <c r="C726" s="25"/>
      <c r="D726" s="26"/>
      <c r="E726" s="26"/>
      <c r="F726" s="26"/>
      <c r="G726" s="26"/>
      <c r="H726" s="25"/>
      <c r="I726" s="26"/>
      <c r="J726" s="25"/>
      <c r="K726" s="25"/>
      <c r="L726" s="26"/>
      <c r="M726" s="25"/>
      <c r="N726" s="25"/>
      <c r="O726" s="26"/>
      <c r="P726" s="26"/>
      <c r="Q726" s="26"/>
      <c r="R726" s="26"/>
      <c r="S726" s="25"/>
      <c r="T726" s="26"/>
      <c r="U726" s="26"/>
      <c r="V726" s="25"/>
      <c r="W726" s="25"/>
      <c r="X726" s="26"/>
      <c r="Y726" s="25"/>
      <c r="Z726" s="10"/>
    </row>
    <row r="727" spans="1:26" ht="12.75">
      <c r="A727" s="25"/>
      <c r="B727" s="25"/>
      <c r="C727" s="25"/>
      <c r="D727" s="26"/>
      <c r="E727" s="26"/>
      <c r="F727" s="26"/>
      <c r="G727" s="26"/>
      <c r="H727" s="25"/>
      <c r="I727" s="26"/>
      <c r="J727" s="25"/>
      <c r="K727" s="25"/>
      <c r="L727" s="26"/>
      <c r="M727" s="25"/>
      <c r="N727" s="25"/>
      <c r="O727" s="26"/>
      <c r="P727" s="26"/>
      <c r="Q727" s="26"/>
      <c r="R727" s="26"/>
      <c r="S727" s="25"/>
      <c r="T727" s="26"/>
      <c r="U727" s="26"/>
      <c r="V727" s="25"/>
      <c r="W727" s="25"/>
      <c r="X727" s="26"/>
      <c r="Y727" s="25"/>
      <c r="Z727" s="10"/>
    </row>
    <row r="728" spans="1:26" ht="12.75">
      <c r="A728" s="25"/>
      <c r="B728" s="25"/>
      <c r="C728" s="25"/>
      <c r="D728" s="26"/>
      <c r="E728" s="26"/>
      <c r="F728" s="26"/>
      <c r="G728" s="26"/>
      <c r="H728" s="25"/>
      <c r="I728" s="26"/>
      <c r="J728" s="25"/>
      <c r="K728" s="25"/>
      <c r="L728" s="26"/>
      <c r="M728" s="25"/>
      <c r="N728" s="25"/>
      <c r="O728" s="26"/>
      <c r="P728" s="26"/>
      <c r="Q728" s="26"/>
      <c r="R728" s="26"/>
      <c r="S728" s="25"/>
      <c r="T728" s="26"/>
      <c r="U728" s="26"/>
      <c r="V728" s="25"/>
      <c r="W728" s="25"/>
      <c r="X728" s="26"/>
      <c r="Y728" s="25"/>
      <c r="Z728" s="10"/>
    </row>
    <row r="729" spans="1:26" ht="12.75">
      <c r="A729" s="25"/>
      <c r="B729" s="25"/>
      <c r="C729" s="25"/>
      <c r="D729" s="26"/>
      <c r="E729" s="26"/>
      <c r="F729" s="26"/>
      <c r="G729" s="26"/>
      <c r="H729" s="25"/>
      <c r="I729" s="26"/>
      <c r="J729" s="25"/>
      <c r="K729" s="25"/>
      <c r="L729" s="26"/>
      <c r="M729" s="25"/>
      <c r="N729" s="25"/>
      <c r="O729" s="26"/>
      <c r="P729" s="26"/>
      <c r="Q729" s="26"/>
      <c r="R729" s="26"/>
      <c r="S729" s="25"/>
      <c r="T729" s="26"/>
      <c r="U729" s="26"/>
      <c r="V729" s="25"/>
      <c r="W729" s="25"/>
      <c r="X729" s="26"/>
      <c r="Y729" s="25"/>
      <c r="Z729" s="10"/>
    </row>
    <row r="730" spans="1:26" ht="12.75">
      <c r="A730" s="25"/>
      <c r="B730" s="25"/>
      <c r="C730" s="25"/>
      <c r="D730" s="26"/>
      <c r="E730" s="26"/>
      <c r="F730" s="26"/>
      <c r="G730" s="26"/>
      <c r="H730" s="25"/>
      <c r="I730" s="26"/>
      <c r="J730" s="25"/>
      <c r="K730" s="25"/>
      <c r="L730" s="26"/>
      <c r="M730" s="25"/>
      <c r="N730" s="25"/>
      <c r="O730" s="26"/>
      <c r="P730" s="26"/>
      <c r="Q730" s="26"/>
      <c r="R730" s="26"/>
      <c r="S730" s="25"/>
      <c r="T730" s="26"/>
      <c r="U730" s="26"/>
      <c r="V730" s="25"/>
      <c r="W730" s="25"/>
      <c r="X730" s="26"/>
      <c r="Y730" s="25"/>
      <c r="Z730" s="10"/>
    </row>
    <row r="731" spans="1:26" ht="12.75">
      <c r="A731" s="25"/>
      <c r="B731" s="25"/>
      <c r="C731" s="25"/>
      <c r="D731" s="26"/>
      <c r="E731" s="26"/>
      <c r="F731" s="26"/>
      <c r="G731" s="26"/>
      <c r="H731" s="25"/>
      <c r="I731" s="26"/>
      <c r="J731" s="25"/>
      <c r="K731" s="25"/>
      <c r="L731" s="26"/>
      <c r="M731" s="25"/>
      <c r="N731" s="25"/>
      <c r="O731" s="26"/>
      <c r="P731" s="26"/>
      <c r="Q731" s="26"/>
      <c r="R731" s="26"/>
      <c r="S731" s="25"/>
      <c r="T731" s="26"/>
      <c r="U731" s="26"/>
      <c r="V731" s="25"/>
      <c r="W731" s="25"/>
      <c r="X731" s="26"/>
      <c r="Y731" s="25"/>
      <c r="Z731" s="10"/>
    </row>
    <row r="732" spans="1:26" ht="12.75">
      <c r="A732" s="25"/>
      <c r="B732" s="25"/>
      <c r="C732" s="25"/>
      <c r="D732" s="26"/>
      <c r="E732" s="26"/>
      <c r="F732" s="26"/>
      <c r="G732" s="26"/>
      <c r="H732" s="25"/>
      <c r="I732" s="26"/>
      <c r="J732" s="25"/>
      <c r="K732" s="25"/>
      <c r="L732" s="26"/>
      <c r="M732" s="25"/>
      <c r="N732" s="25"/>
      <c r="O732" s="26"/>
      <c r="P732" s="26"/>
      <c r="Q732" s="26"/>
      <c r="R732" s="26"/>
      <c r="S732" s="25"/>
      <c r="T732" s="26"/>
      <c r="U732" s="26"/>
      <c r="V732" s="25"/>
      <c r="W732" s="25"/>
      <c r="X732" s="26"/>
      <c r="Y732" s="25"/>
      <c r="Z732" s="10"/>
    </row>
    <row r="733" spans="1:26" ht="12.75">
      <c r="A733" s="25"/>
      <c r="B733" s="25"/>
      <c r="C733" s="25"/>
      <c r="D733" s="26"/>
      <c r="E733" s="26"/>
      <c r="F733" s="26"/>
      <c r="G733" s="26"/>
      <c r="H733" s="25"/>
      <c r="I733" s="26"/>
      <c r="J733" s="25"/>
      <c r="K733" s="25"/>
      <c r="L733" s="26"/>
      <c r="M733" s="25"/>
      <c r="N733" s="25"/>
      <c r="O733" s="26"/>
      <c r="P733" s="26"/>
      <c r="Q733" s="26"/>
      <c r="R733" s="26"/>
      <c r="S733" s="25"/>
      <c r="T733" s="26"/>
      <c r="U733" s="26"/>
      <c r="V733" s="25"/>
      <c r="W733" s="25"/>
      <c r="X733" s="26"/>
      <c r="Y733" s="25"/>
      <c r="Z733" s="10"/>
    </row>
    <row r="734" spans="1:26" ht="12.75">
      <c r="A734" s="25"/>
      <c r="B734" s="25"/>
      <c r="C734" s="25"/>
      <c r="D734" s="26"/>
      <c r="E734" s="26"/>
      <c r="F734" s="26"/>
      <c r="G734" s="26"/>
      <c r="H734" s="25"/>
      <c r="I734" s="26"/>
      <c r="J734" s="25"/>
      <c r="K734" s="25"/>
      <c r="L734" s="26"/>
      <c r="M734" s="25"/>
      <c r="N734" s="25"/>
      <c r="O734" s="26"/>
      <c r="P734" s="26"/>
      <c r="Q734" s="26"/>
      <c r="R734" s="26"/>
      <c r="S734" s="25"/>
      <c r="T734" s="26"/>
      <c r="U734" s="26"/>
      <c r="V734" s="25"/>
      <c r="W734" s="25"/>
      <c r="X734" s="26"/>
      <c r="Y734" s="25"/>
      <c r="Z734" s="10"/>
    </row>
    <row r="735" spans="1:26" ht="12.75">
      <c r="A735" s="25"/>
      <c r="B735" s="25"/>
      <c r="C735" s="25"/>
      <c r="D735" s="26"/>
      <c r="E735" s="26"/>
      <c r="F735" s="26"/>
      <c r="G735" s="26"/>
      <c r="H735" s="25"/>
      <c r="I735" s="26"/>
      <c r="J735" s="25"/>
      <c r="K735" s="25"/>
      <c r="L735" s="26"/>
      <c r="M735" s="25"/>
      <c r="N735" s="25"/>
      <c r="O735" s="26"/>
      <c r="P735" s="26"/>
      <c r="Q735" s="26"/>
      <c r="R735" s="26"/>
      <c r="S735" s="25"/>
      <c r="T735" s="26"/>
      <c r="U735" s="26"/>
      <c r="V735" s="25"/>
      <c r="W735" s="25"/>
      <c r="X735" s="26"/>
      <c r="Y735" s="25"/>
      <c r="Z735" s="10"/>
    </row>
    <row r="736" spans="1:26" ht="12.75">
      <c r="A736" s="25"/>
      <c r="B736" s="25"/>
      <c r="C736" s="25"/>
      <c r="D736" s="26"/>
      <c r="E736" s="26"/>
      <c r="F736" s="26"/>
      <c r="G736" s="26"/>
      <c r="H736" s="25"/>
      <c r="I736" s="26"/>
      <c r="J736" s="25"/>
      <c r="K736" s="25"/>
      <c r="L736" s="26"/>
      <c r="M736" s="25"/>
      <c r="N736" s="25"/>
      <c r="O736" s="26"/>
      <c r="P736" s="26"/>
      <c r="Q736" s="26"/>
      <c r="R736" s="26"/>
      <c r="S736" s="25"/>
      <c r="T736" s="26"/>
      <c r="U736" s="26"/>
      <c r="V736" s="25"/>
      <c r="W736" s="25"/>
      <c r="X736" s="26"/>
      <c r="Y736" s="25"/>
      <c r="Z736" s="10"/>
    </row>
    <row r="737" spans="1:26" ht="12.75">
      <c r="A737" s="25"/>
      <c r="B737" s="25"/>
      <c r="C737" s="25"/>
      <c r="D737" s="26"/>
      <c r="E737" s="26"/>
      <c r="F737" s="26"/>
      <c r="G737" s="26"/>
      <c r="H737" s="25"/>
      <c r="I737" s="26"/>
      <c r="J737" s="25"/>
      <c r="K737" s="25"/>
      <c r="L737" s="26"/>
      <c r="M737" s="25"/>
      <c r="N737" s="25"/>
      <c r="O737" s="26"/>
      <c r="P737" s="26"/>
      <c r="Q737" s="26"/>
      <c r="R737" s="26"/>
      <c r="S737" s="25"/>
      <c r="T737" s="26"/>
      <c r="U737" s="26"/>
      <c r="V737" s="25"/>
      <c r="W737" s="25"/>
      <c r="X737" s="26"/>
      <c r="Y737" s="25"/>
      <c r="Z737" s="10"/>
    </row>
    <row r="738" spans="1:26" ht="12.75">
      <c r="A738" s="25"/>
      <c r="B738" s="25"/>
      <c r="C738" s="25"/>
      <c r="D738" s="26"/>
      <c r="E738" s="26"/>
      <c r="F738" s="26"/>
      <c r="G738" s="26"/>
      <c r="H738" s="25"/>
      <c r="I738" s="26"/>
      <c r="J738" s="25"/>
      <c r="K738" s="25"/>
      <c r="L738" s="26"/>
      <c r="M738" s="25"/>
      <c r="N738" s="25"/>
      <c r="O738" s="26"/>
      <c r="P738" s="26"/>
      <c r="Q738" s="26"/>
      <c r="R738" s="26"/>
      <c r="S738" s="25"/>
      <c r="T738" s="26"/>
      <c r="U738" s="26"/>
      <c r="V738" s="25"/>
      <c r="W738" s="25"/>
      <c r="X738" s="26"/>
      <c r="Y738" s="25"/>
      <c r="Z738" s="10"/>
    </row>
    <row r="739" spans="1:26" ht="12.75">
      <c r="A739" s="25"/>
      <c r="B739" s="25"/>
      <c r="C739" s="25"/>
      <c r="D739" s="26"/>
      <c r="E739" s="26"/>
      <c r="F739" s="26"/>
      <c r="G739" s="26"/>
      <c r="H739" s="25"/>
      <c r="I739" s="26"/>
      <c r="J739" s="25"/>
      <c r="K739" s="25"/>
      <c r="L739" s="26"/>
      <c r="M739" s="25"/>
      <c r="N739" s="25"/>
      <c r="O739" s="26"/>
      <c r="P739" s="26"/>
      <c r="Q739" s="26"/>
      <c r="R739" s="26"/>
      <c r="S739" s="25"/>
      <c r="T739" s="26"/>
      <c r="U739" s="26"/>
      <c r="V739" s="25"/>
      <c r="W739" s="25"/>
      <c r="X739" s="26"/>
      <c r="Y739" s="25"/>
      <c r="Z739" s="10"/>
    </row>
    <row r="740" spans="1:26" ht="12.75">
      <c r="A740" s="25"/>
      <c r="B740" s="25"/>
      <c r="C740" s="25"/>
      <c r="D740" s="26"/>
      <c r="E740" s="26"/>
      <c r="F740" s="26"/>
      <c r="G740" s="26"/>
      <c r="H740" s="25"/>
      <c r="I740" s="26"/>
      <c r="J740" s="25"/>
      <c r="K740" s="25"/>
      <c r="L740" s="26"/>
      <c r="M740" s="25"/>
      <c r="N740" s="25"/>
      <c r="O740" s="26"/>
      <c r="P740" s="26"/>
      <c r="Q740" s="26"/>
      <c r="R740" s="26"/>
      <c r="S740" s="25"/>
      <c r="T740" s="26"/>
      <c r="U740" s="26"/>
      <c r="V740" s="25"/>
      <c r="W740" s="25"/>
      <c r="X740" s="26"/>
      <c r="Y740" s="25"/>
      <c r="Z740" s="10"/>
    </row>
    <row r="741" spans="1:26" ht="12.75">
      <c r="A741" s="25"/>
      <c r="B741" s="25"/>
      <c r="C741" s="25"/>
      <c r="D741" s="26"/>
      <c r="E741" s="26"/>
      <c r="F741" s="26"/>
      <c r="G741" s="26"/>
      <c r="H741" s="25"/>
      <c r="I741" s="26"/>
      <c r="J741" s="25"/>
      <c r="K741" s="25"/>
      <c r="L741" s="26"/>
      <c r="M741" s="25"/>
      <c r="N741" s="25"/>
      <c r="O741" s="26"/>
      <c r="P741" s="26"/>
      <c r="Q741" s="26"/>
      <c r="R741" s="26"/>
      <c r="S741" s="25"/>
      <c r="T741" s="26"/>
      <c r="U741" s="26"/>
      <c r="V741" s="25"/>
      <c r="W741" s="25"/>
      <c r="X741" s="26"/>
      <c r="Y741" s="25"/>
      <c r="Z741" s="10"/>
    </row>
    <row r="742" spans="1:26" ht="12.75">
      <c r="A742" s="25"/>
      <c r="B742" s="25"/>
      <c r="C742" s="25"/>
      <c r="D742" s="26"/>
      <c r="E742" s="26"/>
      <c r="F742" s="26"/>
      <c r="G742" s="26"/>
      <c r="H742" s="25"/>
      <c r="I742" s="26"/>
      <c r="J742" s="25"/>
      <c r="K742" s="25"/>
      <c r="L742" s="26"/>
      <c r="M742" s="25"/>
      <c r="N742" s="25"/>
      <c r="O742" s="26"/>
      <c r="P742" s="26"/>
      <c r="Q742" s="26"/>
      <c r="R742" s="26"/>
      <c r="S742" s="25"/>
      <c r="T742" s="26"/>
      <c r="U742" s="26"/>
      <c r="V742" s="25"/>
      <c r="W742" s="25"/>
      <c r="X742" s="26"/>
      <c r="Y742" s="25"/>
      <c r="Z742" s="10"/>
    </row>
    <row r="743" spans="1:26" ht="12.75">
      <c r="A743" s="25"/>
      <c r="B743" s="25"/>
      <c r="C743" s="25"/>
      <c r="D743" s="26"/>
      <c r="E743" s="26"/>
      <c r="F743" s="26"/>
      <c r="G743" s="26"/>
      <c r="H743" s="25"/>
      <c r="I743" s="26"/>
      <c r="J743" s="25"/>
      <c r="K743" s="25"/>
      <c r="L743" s="26"/>
      <c r="M743" s="25"/>
      <c r="N743" s="25"/>
      <c r="O743" s="26"/>
      <c r="P743" s="26"/>
      <c r="Q743" s="26"/>
      <c r="R743" s="26"/>
      <c r="S743" s="25"/>
      <c r="T743" s="26"/>
      <c r="U743" s="26"/>
      <c r="V743" s="25"/>
      <c r="W743" s="25"/>
      <c r="X743" s="26"/>
      <c r="Y743" s="25"/>
      <c r="Z743" s="10"/>
    </row>
    <row r="744" spans="1:26" ht="12.75">
      <c r="A744" s="25"/>
      <c r="B744" s="25"/>
      <c r="C744" s="25"/>
      <c r="D744" s="26"/>
      <c r="E744" s="26"/>
      <c r="F744" s="26"/>
      <c r="G744" s="26"/>
      <c r="H744" s="25"/>
      <c r="I744" s="26"/>
      <c r="J744" s="25"/>
      <c r="K744" s="25"/>
      <c r="L744" s="26"/>
      <c r="M744" s="25"/>
      <c r="N744" s="25"/>
      <c r="O744" s="26"/>
      <c r="P744" s="26"/>
      <c r="Q744" s="26"/>
      <c r="R744" s="26"/>
      <c r="S744" s="25"/>
      <c r="T744" s="26"/>
      <c r="U744" s="26"/>
      <c r="V744" s="25"/>
      <c r="W744" s="25"/>
      <c r="X744" s="26"/>
      <c r="Y744" s="25"/>
      <c r="Z744" s="10"/>
    </row>
    <row r="745" spans="1:26" ht="12.75">
      <c r="A745" s="25"/>
      <c r="B745" s="25"/>
      <c r="C745" s="25"/>
      <c r="D745" s="26"/>
      <c r="E745" s="26"/>
      <c r="F745" s="26"/>
      <c r="G745" s="26"/>
      <c r="H745" s="25"/>
      <c r="I745" s="26"/>
      <c r="J745" s="25"/>
      <c r="K745" s="25"/>
      <c r="L745" s="26"/>
      <c r="M745" s="25"/>
      <c r="N745" s="25"/>
      <c r="O745" s="26"/>
      <c r="P745" s="26"/>
      <c r="Q745" s="26"/>
      <c r="R745" s="26"/>
      <c r="S745" s="25"/>
      <c r="T745" s="26"/>
      <c r="U745" s="26"/>
      <c r="V745" s="25"/>
      <c r="W745" s="25"/>
      <c r="X745" s="26"/>
      <c r="Y745" s="25"/>
      <c r="Z745" s="10"/>
    </row>
    <row r="746" spans="1:26" ht="12.75">
      <c r="A746" s="25"/>
      <c r="B746" s="25"/>
      <c r="C746" s="25"/>
      <c r="D746" s="26"/>
      <c r="E746" s="26"/>
      <c r="F746" s="26"/>
      <c r="G746" s="26"/>
      <c r="H746" s="25"/>
      <c r="I746" s="26"/>
      <c r="J746" s="25"/>
      <c r="K746" s="25"/>
      <c r="L746" s="26"/>
      <c r="M746" s="25"/>
      <c r="N746" s="25"/>
      <c r="O746" s="26"/>
      <c r="P746" s="26"/>
      <c r="Q746" s="26"/>
      <c r="R746" s="26"/>
      <c r="S746" s="25"/>
      <c r="T746" s="26"/>
      <c r="U746" s="26"/>
      <c r="V746" s="25"/>
      <c r="W746" s="25"/>
      <c r="X746" s="26"/>
      <c r="Y746" s="25"/>
      <c r="Z746" s="10"/>
    </row>
    <row r="747" spans="1:26" ht="12.75">
      <c r="A747" s="25"/>
      <c r="B747" s="25"/>
      <c r="C747" s="25"/>
      <c r="D747" s="26"/>
      <c r="E747" s="26"/>
      <c r="F747" s="26"/>
      <c r="G747" s="26"/>
      <c r="H747" s="25"/>
      <c r="I747" s="26"/>
      <c r="J747" s="25"/>
      <c r="K747" s="25"/>
      <c r="L747" s="26"/>
      <c r="M747" s="25"/>
      <c r="N747" s="25"/>
      <c r="O747" s="26"/>
      <c r="P747" s="26"/>
      <c r="Q747" s="26"/>
      <c r="R747" s="26"/>
      <c r="S747" s="25"/>
      <c r="T747" s="26"/>
      <c r="U747" s="26"/>
      <c r="V747" s="25"/>
      <c r="W747" s="25"/>
      <c r="X747" s="26"/>
      <c r="Y747" s="25"/>
      <c r="Z747" s="10"/>
    </row>
    <row r="748" spans="1:26" ht="12.75">
      <c r="A748" s="25"/>
      <c r="B748" s="25"/>
      <c r="C748" s="25"/>
      <c r="D748" s="26"/>
      <c r="E748" s="26"/>
      <c r="F748" s="26"/>
      <c r="G748" s="26"/>
      <c r="H748" s="25"/>
      <c r="I748" s="26"/>
      <c r="J748" s="25"/>
      <c r="K748" s="25"/>
      <c r="L748" s="26"/>
      <c r="M748" s="25"/>
      <c r="N748" s="25"/>
      <c r="O748" s="26"/>
      <c r="P748" s="26"/>
      <c r="Q748" s="26"/>
      <c r="R748" s="26"/>
      <c r="S748" s="25"/>
      <c r="T748" s="26"/>
      <c r="U748" s="26"/>
      <c r="V748" s="25"/>
      <c r="W748" s="25"/>
      <c r="X748" s="26"/>
      <c r="Y748" s="25"/>
      <c r="Z748" s="10"/>
    </row>
    <row r="749" spans="1:26" ht="12.75">
      <c r="A749" s="25"/>
      <c r="B749" s="25"/>
      <c r="C749" s="25"/>
      <c r="D749" s="26"/>
      <c r="E749" s="26"/>
      <c r="F749" s="26"/>
      <c r="G749" s="26"/>
      <c r="H749" s="25"/>
      <c r="I749" s="26"/>
      <c r="J749" s="25"/>
      <c r="K749" s="25"/>
      <c r="L749" s="26"/>
      <c r="M749" s="25"/>
      <c r="N749" s="25"/>
      <c r="O749" s="26"/>
      <c r="P749" s="26"/>
      <c r="Q749" s="26"/>
      <c r="R749" s="26"/>
      <c r="S749" s="25"/>
      <c r="T749" s="26"/>
      <c r="U749" s="26"/>
      <c r="V749" s="25"/>
      <c r="W749" s="25"/>
      <c r="X749" s="26"/>
      <c r="Y749" s="25"/>
      <c r="Z749" s="10"/>
    </row>
    <row r="750" spans="1:26" ht="12.75">
      <c r="A750" s="25"/>
      <c r="B750" s="25"/>
      <c r="C750" s="25"/>
      <c r="D750" s="26"/>
      <c r="E750" s="26"/>
      <c r="F750" s="26"/>
      <c r="G750" s="26"/>
      <c r="H750" s="25"/>
      <c r="I750" s="26"/>
      <c r="J750" s="25"/>
      <c r="K750" s="25"/>
      <c r="L750" s="26"/>
      <c r="M750" s="25"/>
      <c r="N750" s="25"/>
      <c r="O750" s="26"/>
      <c r="P750" s="26"/>
      <c r="Q750" s="26"/>
      <c r="R750" s="26"/>
      <c r="S750" s="25"/>
      <c r="T750" s="26"/>
      <c r="U750" s="26"/>
      <c r="V750" s="25"/>
      <c r="W750" s="25"/>
      <c r="X750" s="26"/>
      <c r="Y750" s="25"/>
      <c r="Z750" s="10"/>
    </row>
    <row r="751" spans="1:26" ht="12.75">
      <c r="A751" s="25"/>
      <c r="B751" s="25"/>
      <c r="C751" s="25"/>
      <c r="D751" s="26"/>
      <c r="E751" s="26"/>
      <c r="F751" s="26"/>
      <c r="G751" s="26"/>
      <c r="H751" s="25"/>
      <c r="I751" s="26"/>
      <c r="J751" s="25"/>
      <c r="K751" s="25"/>
      <c r="L751" s="26"/>
      <c r="M751" s="25"/>
      <c r="N751" s="25"/>
      <c r="O751" s="26"/>
      <c r="P751" s="26"/>
      <c r="Q751" s="26"/>
      <c r="R751" s="26"/>
      <c r="S751" s="25"/>
      <c r="T751" s="26"/>
      <c r="U751" s="26"/>
      <c r="V751" s="25"/>
      <c r="W751" s="25"/>
      <c r="X751" s="26"/>
      <c r="Y751" s="25"/>
      <c r="Z751" s="10"/>
    </row>
    <row r="752" spans="1:26" ht="12.75">
      <c r="A752" s="25"/>
      <c r="B752" s="25"/>
      <c r="C752" s="25"/>
      <c r="D752" s="26"/>
      <c r="E752" s="26"/>
      <c r="F752" s="26"/>
      <c r="G752" s="26"/>
      <c r="H752" s="25"/>
      <c r="I752" s="26"/>
      <c r="J752" s="25"/>
      <c r="K752" s="25"/>
      <c r="L752" s="26"/>
      <c r="M752" s="25"/>
      <c r="N752" s="25"/>
      <c r="O752" s="26"/>
      <c r="P752" s="26"/>
      <c r="Q752" s="26"/>
      <c r="R752" s="26"/>
      <c r="S752" s="25"/>
      <c r="T752" s="26"/>
      <c r="U752" s="26"/>
      <c r="V752" s="25"/>
      <c r="W752" s="25"/>
      <c r="X752" s="26"/>
      <c r="Y752" s="25"/>
      <c r="Z752" s="10"/>
    </row>
    <row r="753" spans="1:26" ht="12.75">
      <c r="A753" s="25"/>
      <c r="B753" s="25"/>
      <c r="C753" s="25"/>
      <c r="D753" s="26"/>
      <c r="E753" s="26"/>
      <c r="F753" s="26"/>
      <c r="G753" s="26"/>
      <c r="H753" s="25"/>
      <c r="I753" s="26"/>
      <c r="J753" s="25"/>
      <c r="K753" s="25"/>
      <c r="L753" s="26"/>
      <c r="M753" s="25"/>
      <c r="N753" s="25"/>
      <c r="O753" s="26"/>
      <c r="P753" s="26"/>
      <c r="Q753" s="26"/>
      <c r="R753" s="26"/>
      <c r="S753" s="25"/>
      <c r="T753" s="26"/>
      <c r="U753" s="26"/>
      <c r="V753" s="25"/>
      <c r="W753" s="25"/>
      <c r="X753" s="26"/>
      <c r="Y753" s="25"/>
      <c r="Z753" s="10"/>
    </row>
    <row r="754" spans="1:26" ht="12.75">
      <c r="A754" s="25"/>
      <c r="B754" s="25"/>
      <c r="C754" s="25"/>
      <c r="D754" s="26"/>
      <c r="E754" s="26"/>
      <c r="F754" s="26"/>
      <c r="G754" s="26"/>
      <c r="H754" s="25"/>
      <c r="I754" s="26"/>
      <c r="J754" s="25"/>
      <c r="K754" s="25"/>
      <c r="L754" s="26"/>
      <c r="M754" s="25"/>
      <c r="N754" s="25"/>
      <c r="O754" s="26"/>
      <c r="P754" s="26"/>
      <c r="Q754" s="26"/>
      <c r="R754" s="26"/>
      <c r="S754" s="25"/>
      <c r="T754" s="26"/>
      <c r="U754" s="26"/>
      <c r="V754" s="25"/>
      <c r="W754" s="25"/>
      <c r="X754" s="26"/>
      <c r="Y754" s="25"/>
      <c r="Z754" s="10"/>
    </row>
    <row r="755" spans="1:26" ht="12.75">
      <c r="A755" s="25"/>
      <c r="B755" s="25"/>
      <c r="C755" s="25"/>
      <c r="D755" s="26"/>
      <c r="E755" s="26"/>
      <c r="F755" s="26"/>
      <c r="G755" s="26"/>
      <c r="H755" s="25"/>
      <c r="I755" s="26"/>
      <c r="J755" s="25"/>
      <c r="K755" s="25"/>
      <c r="L755" s="26"/>
      <c r="M755" s="25"/>
      <c r="N755" s="25"/>
      <c r="O755" s="26"/>
      <c r="P755" s="26"/>
      <c r="Q755" s="26"/>
      <c r="R755" s="26"/>
      <c r="S755" s="25"/>
      <c r="T755" s="26"/>
      <c r="U755" s="26"/>
      <c r="V755" s="25"/>
      <c r="W755" s="25"/>
      <c r="X755" s="26"/>
      <c r="Y755" s="25"/>
      <c r="Z755" s="10"/>
    </row>
    <row r="756" spans="1:26" ht="12.75">
      <c r="A756" s="25"/>
      <c r="B756" s="25"/>
      <c r="C756" s="25"/>
      <c r="D756" s="26"/>
      <c r="E756" s="26"/>
      <c r="F756" s="26"/>
      <c r="G756" s="26"/>
      <c r="H756" s="25"/>
      <c r="I756" s="26"/>
      <c r="J756" s="25"/>
      <c r="K756" s="25"/>
      <c r="L756" s="26"/>
      <c r="M756" s="25"/>
      <c r="N756" s="25"/>
      <c r="O756" s="26"/>
      <c r="P756" s="26"/>
      <c r="Q756" s="26"/>
      <c r="R756" s="26"/>
      <c r="S756" s="25"/>
      <c r="T756" s="26"/>
      <c r="U756" s="26"/>
      <c r="V756" s="25"/>
      <c r="W756" s="25"/>
      <c r="X756" s="26"/>
      <c r="Y756" s="25"/>
      <c r="Z756" s="10"/>
    </row>
    <row r="757" spans="1:26" ht="12.75">
      <c r="A757" s="25"/>
      <c r="B757" s="25"/>
      <c r="C757" s="25"/>
      <c r="D757" s="26"/>
      <c r="E757" s="26"/>
      <c r="F757" s="26"/>
      <c r="G757" s="26"/>
      <c r="H757" s="25"/>
      <c r="I757" s="26"/>
      <c r="J757" s="25"/>
      <c r="K757" s="25"/>
      <c r="L757" s="26"/>
      <c r="M757" s="25"/>
      <c r="N757" s="25"/>
      <c r="O757" s="26"/>
      <c r="P757" s="26"/>
      <c r="Q757" s="26"/>
      <c r="R757" s="26"/>
      <c r="S757" s="25"/>
      <c r="T757" s="26"/>
      <c r="U757" s="26"/>
      <c r="V757" s="25"/>
      <c r="W757" s="25"/>
      <c r="X757" s="26"/>
      <c r="Y757" s="25"/>
      <c r="Z757" s="10"/>
    </row>
    <row r="758" spans="1:26" ht="12.75">
      <c r="A758" s="25"/>
      <c r="B758" s="25"/>
      <c r="C758" s="25"/>
      <c r="D758" s="26"/>
      <c r="E758" s="26"/>
      <c r="F758" s="26"/>
      <c r="G758" s="26"/>
      <c r="H758" s="25"/>
      <c r="I758" s="26"/>
      <c r="J758" s="25"/>
      <c r="K758" s="25"/>
      <c r="L758" s="26"/>
      <c r="M758" s="25"/>
      <c r="N758" s="25"/>
      <c r="O758" s="26"/>
      <c r="P758" s="26"/>
      <c r="Q758" s="26"/>
      <c r="R758" s="26"/>
      <c r="S758" s="25"/>
      <c r="T758" s="26"/>
      <c r="U758" s="26"/>
      <c r="V758" s="25"/>
      <c r="W758" s="25"/>
      <c r="X758" s="26"/>
      <c r="Y758" s="25"/>
      <c r="Z758" s="10"/>
    </row>
    <row r="759" spans="1:26" ht="12.75">
      <c r="A759" s="25"/>
      <c r="B759" s="25"/>
      <c r="C759" s="25"/>
      <c r="D759" s="26"/>
      <c r="E759" s="26"/>
      <c r="F759" s="26"/>
      <c r="G759" s="26"/>
      <c r="H759" s="25"/>
      <c r="I759" s="26"/>
      <c r="J759" s="25"/>
      <c r="K759" s="25"/>
      <c r="L759" s="26"/>
      <c r="M759" s="25"/>
      <c r="N759" s="25"/>
      <c r="O759" s="26"/>
      <c r="P759" s="26"/>
      <c r="Q759" s="26"/>
      <c r="R759" s="26"/>
      <c r="S759" s="25"/>
      <c r="T759" s="26"/>
      <c r="U759" s="26"/>
      <c r="V759" s="25"/>
      <c r="W759" s="25"/>
      <c r="X759" s="26"/>
      <c r="Y759" s="25"/>
      <c r="Z759" s="10"/>
    </row>
    <row r="760" spans="1:26" ht="12.75">
      <c r="A760" s="25"/>
      <c r="B760" s="25"/>
      <c r="C760" s="25"/>
      <c r="D760" s="26"/>
      <c r="E760" s="26"/>
      <c r="F760" s="26"/>
      <c r="G760" s="26"/>
      <c r="H760" s="25"/>
      <c r="I760" s="26"/>
      <c r="J760" s="25"/>
      <c r="K760" s="25"/>
      <c r="L760" s="26"/>
      <c r="M760" s="25"/>
      <c r="N760" s="25"/>
      <c r="O760" s="26"/>
      <c r="P760" s="26"/>
      <c r="Q760" s="26"/>
      <c r="R760" s="26"/>
      <c r="S760" s="25"/>
      <c r="T760" s="26"/>
      <c r="U760" s="26"/>
      <c r="V760" s="25"/>
      <c r="W760" s="25"/>
      <c r="X760" s="26"/>
      <c r="Y760" s="25"/>
      <c r="Z760" s="10"/>
    </row>
    <row r="761" spans="1:26" ht="12.75">
      <c r="A761" s="25"/>
      <c r="B761" s="25"/>
      <c r="C761" s="25"/>
      <c r="D761" s="26"/>
      <c r="E761" s="26"/>
      <c r="F761" s="26"/>
      <c r="G761" s="26"/>
      <c r="H761" s="25"/>
      <c r="I761" s="26"/>
      <c r="J761" s="25"/>
      <c r="K761" s="25"/>
      <c r="L761" s="26"/>
      <c r="M761" s="25"/>
      <c r="N761" s="25"/>
      <c r="O761" s="26"/>
      <c r="P761" s="26"/>
      <c r="Q761" s="26"/>
      <c r="R761" s="26"/>
      <c r="S761" s="25"/>
      <c r="T761" s="26"/>
      <c r="U761" s="26"/>
      <c r="V761" s="25"/>
      <c r="W761" s="25"/>
      <c r="X761" s="26"/>
      <c r="Y761" s="25"/>
      <c r="Z761" s="10"/>
    </row>
    <row r="762" spans="1:26" ht="12.75">
      <c r="A762" s="25"/>
      <c r="B762" s="25"/>
      <c r="C762" s="25"/>
      <c r="D762" s="26"/>
      <c r="E762" s="26"/>
      <c r="F762" s="26"/>
      <c r="G762" s="26"/>
      <c r="H762" s="25"/>
      <c r="I762" s="26"/>
      <c r="J762" s="25"/>
      <c r="K762" s="25"/>
      <c r="L762" s="26"/>
      <c r="M762" s="25"/>
      <c r="N762" s="25"/>
      <c r="O762" s="26"/>
      <c r="P762" s="26"/>
      <c r="Q762" s="26"/>
      <c r="R762" s="26"/>
      <c r="S762" s="25"/>
      <c r="T762" s="26"/>
      <c r="U762" s="26"/>
      <c r="V762" s="25"/>
      <c r="W762" s="25"/>
      <c r="X762" s="26"/>
      <c r="Y762" s="25"/>
      <c r="Z762" s="10"/>
    </row>
    <row r="763" spans="1:26" ht="12.75">
      <c r="A763" s="25"/>
      <c r="B763" s="25"/>
      <c r="C763" s="25"/>
      <c r="D763" s="26"/>
      <c r="E763" s="26"/>
      <c r="F763" s="26"/>
      <c r="G763" s="26"/>
      <c r="H763" s="25"/>
      <c r="I763" s="26"/>
      <c r="J763" s="25"/>
      <c r="K763" s="25"/>
      <c r="L763" s="26"/>
      <c r="M763" s="25"/>
      <c r="N763" s="25"/>
      <c r="O763" s="26"/>
      <c r="P763" s="26"/>
      <c r="Q763" s="26"/>
      <c r="R763" s="26"/>
      <c r="S763" s="25"/>
      <c r="T763" s="26"/>
      <c r="U763" s="26"/>
      <c r="V763" s="25"/>
      <c r="W763" s="25"/>
      <c r="X763" s="26"/>
      <c r="Y763" s="25"/>
      <c r="Z763" s="10"/>
    </row>
    <row r="764" spans="1:26" ht="12.75">
      <c r="A764" s="25"/>
      <c r="B764" s="25"/>
      <c r="C764" s="25"/>
      <c r="D764" s="26"/>
      <c r="E764" s="26"/>
      <c r="F764" s="26"/>
      <c r="G764" s="26"/>
      <c r="H764" s="25"/>
      <c r="I764" s="26"/>
      <c r="J764" s="25"/>
      <c r="K764" s="25"/>
      <c r="L764" s="26"/>
      <c r="M764" s="25"/>
      <c r="N764" s="25"/>
      <c r="O764" s="26"/>
      <c r="P764" s="26"/>
      <c r="Q764" s="26"/>
      <c r="R764" s="26"/>
      <c r="S764" s="25"/>
      <c r="T764" s="26"/>
      <c r="U764" s="26"/>
      <c r="V764" s="25"/>
      <c r="W764" s="25"/>
      <c r="X764" s="26"/>
      <c r="Y764" s="25"/>
      <c r="Z764" s="10"/>
    </row>
    <row r="765" spans="1:26" ht="12.75">
      <c r="A765" s="25"/>
      <c r="B765" s="25"/>
      <c r="C765" s="25"/>
      <c r="D765" s="26"/>
      <c r="E765" s="26"/>
      <c r="F765" s="26"/>
      <c r="G765" s="26"/>
      <c r="H765" s="25"/>
      <c r="I765" s="26"/>
      <c r="J765" s="25"/>
      <c r="K765" s="25"/>
      <c r="L765" s="26"/>
      <c r="M765" s="25"/>
      <c r="N765" s="25"/>
      <c r="O765" s="26"/>
      <c r="P765" s="26"/>
      <c r="Q765" s="26"/>
      <c r="R765" s="26"/>
      <c r="S765" s="25"/>
      <c r="T765" s="26"/>
      <c r="U765" s="26"/>
      <c r="V765" s="25"/>
      <c r="W765" s="25"/>
      <c r="X765" s="26"/>
      <c r="Y765" s="25"/>
      <c r="Z765" s="10"/>
    </row>
    <row r="766" spans="1:26" ht="12.75">
      <c r="A766" s="25"/>
      <c r="B766" s="25"/>
      <c r="C766" s="25"/>
      <c r="D766" s="26"/>
      <c r="E766" s="26"/>
      <c r="F766" s="26"/>
      <c r="G766" s="26"/>
      <c r="H766" s="25"/>
      <c r="I766" s="26"/>
      <c r="J766" s="25"/>
      <c r="K766" s="25"/>
      <c r="L766" s="26"/>
      <c r="M766" s="25"/>
      <c r="N766" s="25"/>
      <c r="O766" s="26"/>
      <c r="P766" s="26"/>
      <c r="Q766" s="26"/>
      <c r="R766" s="26"/>
      <c r="S766" s="25"/>
      <c r="T766" s="26"/>
      <c r="U766" s="26"/>
      <c r="V766" s="25"/>
      <c r="W766" s="25"/>
      <c r="X766" s="26"/>
      <c r="Y766" s="25"/>
      <c r="Z766" s="10"/>
    </row>
    <row r="767" spans="1:26" ht="12.75">
      <c r="A767" s="25"/>
      <c r="B767" s="25"/>
      <c r="C767" s="25"/>
      <c r="D767" s="26"/>
      <c r="E767" s="26"/>
      <c r="F767" s="26"/>
      <c r="G767" s="26"/>
      <c r="H767" s="25"/>
      <c r="I767" s="26"/>
      <c r="J767" s="25"/>
      <c r="K767" s="25"/>
      <c r="L767" s="26"/>
      <c r="M767" s="25"/>
      <c r="N767" s="25"/>
      <c r="O767" s="26"/>
      <c r="P767" s="26"/>
      <c r="Q767" s="26"/>
      <c r="R767" s="26"/>
      <c r="S767" s="25"/>
      <c r="T767" s="26"/>
      <c r="U767" s="26"/>
      <c r="V767" s="25"/>
      <c r="W767" s="25"/>
      <c r="X767" s="26"/>
      <c r="Y767" s="25"/>
      <c r="Z767" s="10"/>
    </row>
    <row r="768" spans="1:26" ht="12.75">
      <c r="A768" s="25"/>
      <c r="B768" s="25"/>
      <c r="C768" s="25"/>
      <c r="D768" s="26"/>
      <c r="E768" s="26"/>
      <c r="F768" s="26"/>
      <c r="G768" s="26"/>
      <c r="H768" s="25"/>
      <c r="I768" s="26"/>
      <c r="J768" s="25"/>
      <c r="K768" s="25"/>
      <c r="L768" s="26"/>
      <c r="M768" s="25"/>
      <c r="N768" s="25"/>
      <c r="O768" s="26"/>
      <c r="P768" s="26"/>
      <c r="Q768" s="26"/>
      <c r="R768" s="26"/>
      <c r="S768" s="25"/>
      <c r="T768" s="26"/>
      <c r="U768" s="26"/>
      <c r="V768" s="25"/>
      <c r="W768" s="25"/>
      <c r="X768" s="26"/>
      <c r="Y768" s="25"/>
      <c r="Z768" s="10"/>
    </row>
    <row r="769" spans="1:26" ht="12.75">
      <c r="A769" s="25"/>
      <c r="B769" s="25"/>
      <c r="C769" s="25"/>
      <c r="D769" s="26"/>
      <c r="E769" s="26"/>
      <c r="F769" s="26"/>
      <c r="G769" s="26"/>
      <c r="H769" s="25"/>
      <c r="I769" s="26"/>
      <c r="J769" s="25"/>
      <c r="K769" s="25"/>
      <c r="L769" s="26"/>
      <c r="M769" s="25"/>
      <c r="N769" s="25"/>
      <c r="O769" s="26"/>
      <c r="P769" s="26"/>
      <c r="Q769" s="26"/>
      <c r="R769" s="26"/>
      <c r="S769" s="25"/>
      <c r="T769" s="26"/>
      <c r="U769" s="26"/>
      <c r="V769" s="25"/>
      <c r="W769" s="25"/>
      <c r="X769" s="26"/>
      <c r="Y769" s="25"/>
      <c r="Z769" s="10"/>
    </row>
    <row r="770" spans="1:26" ht="12.75">
      <c r="A770" s="25"/>
      <c r="B770" s="25"/>
      <c r="C770" s="25"/>
      <c r="D770" s="26"/>
      <c r="E770" s="26"/>
      <c r="F770" s="26"/>
      <c r="G770" s="26"/>
      <c r="H770" s="25"/>
      <c r="I770" s="26"/>
      <c r="J770" s="25"/>
      <c r="K770" s="25"/>
      <c r="L770" s="26"/>
      <c r="M770" s="25"/>
      <c r="N770" s="25"/>
      <c r="O770" s="26"/>
      <c r="P770" s="26"/>
      <c r="Q770" s="26"/>
      <c r="R770" s="26"/>
      <c r="S770" s="25"/>
      <c r="T770" s="26"/>
      <c r="U770" s="26"/>
      <c r="V770" s="25"/>
      <c r="W770" s="25"/>
      <c r="X770" s="26"/>
      <c r="Y770" s="25"/>
      <c r="Z770" s="10"/>
    </row>
    <row r="771" spans="1:26" ht="12.75">
      <c r="A771" s="25"/>
      <c r="B771" s="25"/>
      <c r="C771" s="25"/>
      <c r="D771" s="26"/>
      <c r="E771" s="26"/>
      <c r="F771" s="26"/>
      <c r="G771" s="26"/>
      <c r="H771" s="25"/>
      <c r="I771" s="26"/>
      <c r="J771" s="25"/>
      <c r="K771" s="25"/>
      <c r="L771" s="26"/>
      <c r="M771" s="25"/>
      <c r="N771" s="25"/>
      <c r="O771" s="26"/>
      <c r="P771" s="26"/>
      <c r="Q771" s="26"/>
      <c r="R771" s="26"/>
      <c r="S771" s="25"/>
      <c r="T771" s="26"/>
      <c r="U771" s="26"/>
      <c r="V771" s="25"/>
      <c r="W771" s="25"/>
      <c r="X771" s="26"/>
      <c r="Y771" s="25"/>
      <c r="Z771" s="10"/>
    </row>
    <row r="772" spans="1:26" ht="12.75">
      <c r="A772" s="25"/>
      <c r="B772" s="25"/>
      <c r="C772" s="25"/>
      <c r="D772" s="26"/>
      <c r="E772" s="26"/>
      <c r="F772" s="26"/>
      <c r="G772" s="26"/>
      <c r="H772" s="25"/>
      <c r="I772" s="26"/>
      <c r="J772" s="25"/>
      <c r="K772" s="25"/>
      <c r="L772" s="26"/>
      <c r="M772" s="25"/>
      <c r="N772" s="25"/>
      <c r="O772" s="26"/>
      <c r="P772" s="26"/>
      <c r="Q772" s="26"/>
      <c r="R772" s="26"/>
      <c r="S772" s="25"/>
      <c r="T772" s="26"/>
      <c r="U772" s="26"/>
      <c r="V772" s="25"/>
      <c r="W772" s="25"/>
      <c r="X772" s="26"/>
      <c r="Y772" s="25"/>
      <c r="Z772" s="10"/>
    </row>
    <row r="773" spans="1:26" ht="12.75">
      <c r="A773" s="25"/>
      <c r="B773" s="25"/>
      <c r="C773" s="25"/>
      <c r="D773" s="26"/>
      <c r="E773" s="26"/>
      <c r="F773" s="26"/>
      <c r="G773" s="26"/>
      <c r="H773" s="25"/>
      <c r="I773" s="26"/>
      <c r="J773" s="25"/>
      <c r="K773" s="25"/>
      <c r="L773" s="26"/>
      <c r="M773" s="25"/>
      <c r="N773" s="25"/>
      <c r="O773" s="26"/>
      <c r="P773" s="26"/>
      <c r="Q773" s="26"/>
      <c r="R773" s="26"/>
      <c r="S773" s="25"/>
      <c r="T773" s="26"/>
      <c r="U773" s="26"/>
      <c r="V773" s="25"/>
      <c r="W773" s="25"/>
      <c r="X773" s="26"/>
      <c r="Y773" s="25"/>
      <c r="Z773" s="10"/>
    </row>
    <row r="774" spans="1:26" ht="12.75">
      <c r="A774" s="25"/>
      <c r="B774" s="25"/>
      <c r="C774" s="25"/>
      <c r="D774" s="26"/>
      <c r="E774" s="26"/>
      <c r="F774" s="26"/>
      <c r="G774" s="26"/>
      <c r="H774" s="25"/>
      <c r="I774" s="26"/>
      <c r="J774" s="25"/>
      <c r="K774" s="25"/>
      <c r="L774" s="26"/>
      <c r="M774" s="25"/>
      <c r="N774" s="25"/>
      <c r="O774" s="26"/>
      <c r="P774" s="26"/>
      <c r="Q774" s="26"/>
      <c r="R774" s="26"/>
      <c r="S774" s="25"/>
      <c r="T774" s="26"/>
      <c r="U774" s="26"/>
      <c r="V774" s="25"/>
      <c r="W774" s="25"/>
      <c r="X774" s="26"/>
      <c r="Y774" s="25"/>
      <c r="Z774" s="10"/>
    </row>
    <row r="775" spans="1:26" ht="12.75">
      <c r="A775" s="25"/>
      <c r="B775" s="25"/>
      <c r="C775" s="25"/>
      <c r="D775" s="26"/>
      <c r="E775" s="26"/>
      <c r="F775" s="26"/>
      <c r="G775" s="26"/>
      <c r="H775" s="25"/>
      <c r="I775" s="26"/>
      <c r="J775" s="25"/>
      <c r="K775" s="25"/>
      <c r="L775" s="26"/>
      <c r="M775" s="25"/>
      <c r="N775" s="25"/>
      <c r="O775" s="26"/>
      <c r="P775" s="26"/>
      <c r="Q775" s="26"/>
      <c r="R775" s="26"/>
      <c r="S775" s="25"/>
      <c r="T775" s="26"/>
      <c r="U775" s="26"/>
      <c r="V775" s="25"/>
      <c r="W775" s="25"/>
      <c r="X775" s="26"/>
      <c r="Y775" s="25"/>
      <c r="Z775" s="10"/>
    </row>
    <row r="776" spans="1:26" ht="12.75">
      <c r="A776" s="25"/>
      <c r="B776" s="25"/>
      <c r="C776" s="25"/>
      <c r="D776" s="26"/>
      <c r="E776" s="26"/>
      <c r="F776" s="26"/>
      <c r="G776" s="26"/>
      <c r="H776" s="25"/>
      <c r="I776" s="26"/>
      <c r="J776" s="25"/>
      <c r="K776" s="25"/>
      <c r="L776" s="26"/>
      <c r="M776" s="25"/>
      <c r="N776" s="25"/>
      <c r="O776" s="26"/>
      <c r="P776" s="26"/>
      <c r="Q776" s="26"/>
      <c r="R776" s="26"/>
      <c r="S776" s="25"/>
      <c r="T776" s="26"/>
      <c r="U776" s="26"/>
      <c r="V776" s="25"/>
      <c r="W776" s="25"/>
      <c r="X776" s="26"/>
      <c r="Y776" s="25"/>
      <c r="Z776" s="10"/>
    </row>
    <row r="777" spans="1:26" ht="12.75">
      <c r="A777" s="25"/>
      <c r="B777" s="25"/>
      <c r="C777" s="25"/>
      <c r="D777" s="26"/>
      <c r="E777" s="26"/>
      <c r="F777" s="26"/>
      <c r="G777" s="26"/>
      <c r="H777" s="25"/>
      <c r="I777" s="26"/>
      <c r="J777" s="25"/>
      <c r="K777" s="25"/>
      <c r="L777" s="26"/>
      <c r="M777" s="25"/>
      <c r="N777" s="25"/>
      <c r="O777" s="26"/>
      <c r="P777" s="26"/>
      <c r="Q777" s="26"/>
      <c r="R777" s="26"/>
      <c r="S777" s="25"/>
      <c r="T777" s="26"/>
      <c r="U777" s="26"/>
      <c r="V777" s="25"/>
      <c r="W777" s="25"/>
      <c r="X777" s="26"/>
      <c r="Y777" s="25"/>
      <c r="Z777" s="10"/>
    </row>
    <row r="778" spans="1:26" ht="12.75">
      <c r="A778" s="25"/>
      <c r="B778" s="25"/>
      <c r="C778" s="25"/>
      <c r="D778" s="26"/>
      <c r="E778" s="26"/>
      <c r="F778" s="26"/>
      <c r="G778" s="26"/>
      <c r="H778" s="25"/>
      <c r="I778" s="26"/>
      <c r="J778" s="25"/>
      <c r="K778" s="25"/>
      <c r="L778" s="26"/>
      <c r="M778" s="25"/>
      <c r="N778" s="25"/>
      <c r="O778" s="26"/>
      <c r="P778" s="26"/>
      <c r="Q778" s="26"/>
      <c r="R778" s="26"/>
      <c r="S778" s="25"/>
      <c r="T778" s="26"/>
      <c r="U778" s="26"/>
      <c r="V778" s="25"/>
      <c r="W778" s="25"/>
      <c r="X778" s="26"/>
      <c r="Y778" s="25"/>
      <c r="Z778" s="10"/>
    </row>
    <row r="779" spans="1:26" ht="12.75">
      <c r="A779" s="25"/>
      <c r="B779" s="25"/>
      <c r="C779" s="25"/>
      <c r="D779" s="26"/>
      <c r="E779" s="26"/>
      <c r="F779" s="26"/>
      <c r="G779" s="26"/>
      <c r="H779" s="25"/>
      <c r="I779" s="26"/>
      <c r="J779" s="25"/>
      <c r="K779" s="25"/>
      <c r="L779" s="26"/>
      <c r="M779" s="25"/>
      <c r="N779" s="25"/>
      <c r="O779" s="26"/>
      <c r="P779" s="26"/>
      <c r="Q779" s="26"/>
      <c r="R779" s="26"/>
      <c r="S779" s="25"/>
      <c r="T779" s="26"/>
      <c r="U779" s="26"/>
      <c r="V779" s="25"/>
      <c r="W779" s="25"/>
      <c r="X779" s="26"/>
      <c r="Y779" s="25"/>
      <c r="Z779" s="10"/>
    </row>
    <row r="780" spans="1:26" ht="12.75">
      <c r="A780" s="25"/>
      <c r="B780" s="25"/>
      <c r="C780" s="25"/>
      <c r="D780" s="26"/>
      <c r="E780" s="26"/>
      <c r="F780" s="26"/>
      <c r="G780" s="26"/>
      <c r="H780" s="25"/>
      <c r="I780" s="26"/>
      <c r="J780" s="25"/>
      <c r="K780" s="25"/>
      <c r="L780" s="26"/>
      <c r="M780" s="25"/>
      <c r="N780" s="25"/>
      <c r="O780" s="26"/>
      <c r="P780" s="26"/>
      <c r="Q780" s="26"/>
      <c r="R780" s="26"/>
      <c r="S780" s="25"/>
      <c r="T780" s="26"/>
      <c r="U780" s="26"/>
      <c r="V780" s="25"/>
      <c r="W780" s="25"/>
      <c r="X780" s="26"/>
      <c r="Y780" s="25"/>
      <c r="Z780" s="10"/>
    </row>
    <row r="781" spans="1:26" ht="12.75">
      <c r="A781" s="25"/>
      <c r="B781" s="25"/>
      <c r="C781" s="25"/>
      <c r="D781" s="26"/>
      <c r="E781" s="26"/>
      <c r="F781" s="26"/>
      <c r="G781" s="26"/>
      <c r="H781" s="25"/>
      <c r="I781" s="26"/>
      <c r="J781" s="25"/>
      <c r="K781" s="25"/>
      <c r="L781" s="26"/>
      <c r="M781" s="25"/>
      <c r="N781" s="25"/>
      <c r="O781" s="26"/>
      <c r="P781" s="26"/>
      <c r="Q781" s="26"/>
      <c r="R781" s="26"/>
      <c r="S781" s="25"/>
      <c r="T781" s="26"/>
      <c r="U781" s="26"/>
      <c r="V781" s="25"/>
      <c r="W781" s="25"/>
      <c r="X781" s="26"/>
      <c r="Y781" s="25"/>
      <c r="Z781" s="10"/>
    </row>
    <row r="782" spans="1:26" ht="12.75">
      <c r="A782" s="25"/>
      <c r="B782" s="25"/>
      <c r="C782" s="25"/>
      <c r="D782" s="26"/>
      <c r="E782" s="26"/>
      <c r="F782" s="26"/>
      <c r="G782" s="26"/>
      <c r="H782" s="25"/>
      <c r="I782" s="26"/>
      <c r="J782" s="25"/>
      <c r="K782" s="25"/>
      <c r="L782" s="26"/>
      <c r="M782" s="25"/>
      <c r="N782" s="25"/>
      <c r="O782" s="26"/>
      <c r="P782" s="26"/>
      <c r="Q782" s="26"/>
      <c r="R782" s="26"/>
      <c r="S782" s="25"/>
      <c r="T782" s="26"/>
      <c r="U782" s="26"/>
      <c r="V782" s="25"/>
      <c r="W782" s="25"/>
      <c r="X782" s="26"/>
      <c r="Y782" s="25"/>
      <c r="Z782" s="10"/>
    </row>
    <row r="783" spans="1:26" ht="12.75">
      <c r="A783" s="25"/>
      <c r="B783" s="25"/>
      <c r="C783" s="25"/>
      <c r="D783" s="26"/>
      <c r="E783" s="26"/>
      <c r="F783" s="26"/>
      <c r="G783" s="26"/>
      <c r="H783" s="25"/>
      <c r="I783" s="26"/>
      <c r="J783" s="25"/>
      <c r="K783" s="25"/>
      <c r="L783" s="26"/>
      <c r="M783" s="25"/>
      <c r="N783" s="25"/>
      <c r="O783" s="26"/>
      <c r="P783" s="26"/>
      <c r="Q783" s="26"/>
      <c r="R783" s="26"/>
      <c r="S783" s="25"/>
      <c r="T783" s="26"/>
      <c r="U783" s="26"/>
      <c r="V783" s="25"/>
      <c r="W783" s="25"/>
      <c r="X783" s="26"/>
      <c r="Y783" s="25"/>
      <c r="Z783" s="10"/>
    </row>
    <row r="784" spans="1:26" ht="12.75">
      <c r="A784" s="25"/>
      <c r="B784" s="25"/>
      <c r="C784" s="25"/>
      <c r="D784" s="26"/>
      <c r="E784" s="26"/>
      <c r="F784" s="26"/>
      <c r="G784" s="26"/>
      <c r="H784" s="25"/>
      <c r="I784" s="26"/>
      <c r="J784" s="25"/>
      <c r="K784" s="25"/>
      <c r="L784" s="26"/>
      <c r="M784" s="25"/>
      <c r="N784" s="25"/>
      <c r="O784" s="26"/>
      <c r="P784" s="26"/>
      <c r="Q784" s="26"/>
      <c r="R784" s="26"/>
      <c r="S784" s="25"/>
      <c r="T784" s="26"/>
      <c r="U784" s="26"/>
      <c r="V784" s="25"/>
      <c r="W784" s="25"/>
      <c r="X784" s="26"/>
      <c r="Y784" s="25"/>
      <c r="Z784" s="10"/>
    </row>
    <row r="785" spans="1:26" ht="12.75">
      <c r="A785" s="25"/>
      <c r="B785" s="25"/>
      <c r="C785" s="25"/>
      <c r="D785" s="26"/>
      <c r="E785" s="26"/>
      <c r="F785" s="26"/>
      <c r="G785" s="26"/>
      <c r="H785" s="25"/>
      <c r="I785" s="26"/>
      <c r="J785" s="25"/>
      <c r="K785" s="25"/>
      <c r="L785" s="26"/>
      <c r="M785" s="25"/>
      <c r="N785" s="25"/>
      <c r="O785" s="26"/>
      <c r="P785" s="26"/>
      <c r="Q785" s="26"/>
      <c r="R785" s="26"/>
      <c r="S785" s="25"/>
      <c r="T785" s="26"/>
      <c r="U785" s="26"/>
      <c r="V785" s="25"/>
      <c r="W785" s="25"/>
      <c r="X785" s="26"/>
      <c r="Y785" s="25"/>
      <c r="Z785" s="10"/>
    </row>
    <row r="786" spans="1:26" ht="12.75">
      <c r="A786" s="25"/>
      <c r="B786" s="25"/>
      <c r="C786" s="25"/>
      <c r="D786" s="26"/>
      <c r="E786" s="26"/>
      <c r="F786" s="26"/>
      <c r="G786" s="26"/>
      <c r="H786" s="25"/>
      <c r="I786" s="26"/>
      <c r="J786" s="25"/>
      <c r="K786" s="25"/>
      <c r="L786" s="26"/>
      <c r="M786" s="25"/>
      <c r="N786" s="25"/>
      <c r="O786" s="26"/>
      <c r="P786" s="26"/>
      <c r="Q786" s="26"/>
      <c r="R786" s="26"/>
      <c r="S786" s="25"/>
      <c r="T786" s="26"/>
      <c r="U786" s="26"/>
      <c r="V786" s="25"/>
      <c r="W786" s="25"/>
      <c r="X786" s="26"/>
      <c r="Y786" s="25"/>
      <c r="Z786" s="10"/>
    </row>
    <row r="787" spans="1:26" ht="12.75">
      <c r="A787" s="25"/>
      <c r="B787" s="25"/>
      <c r="C787" s="25"/>
      <c r="D787" s="26"/>
      <c r="E787" s="26"/>
      <c r="F787" s="26"/>
      <c r="G787" s="26"/>
      <c r="H787" s="25"/>
      <c r="I787" s="26"/>
      <c r="J787" s="25"/>
      <c r="K787" s="25"/>
      <c r="L787" s="26"/>
      <c r="M787" s="25"/>
      <c r="N787" s="25"/>
      <c r="O787" s="26"/>
      <c r="P787" s="26"/>
      <c r="Q787" s="26"/>
      <c r="R787" s="26"/>
      <c r="S787" s="25"/>
      <c r="T787" s="26"/>
      <c r="U787" s="26"/>
      <c r="V787" s="25"/>
      <c r="W787" s="25"/>
      <c r="X787" s="26"/>
      <c r="Y787" s="25"/>
      <c r="Z787" s="10"/>
    </row>
    <row r="788" spans="1:26" ht="12.75">
      <c r="A788" s="25"/>
      <c r="B788" s="25"/>
      <c r="C788" s="25"/>
      <c r="D788" s="26"/>
      <c r="E788" s="26"/>
      <c r="F788" s="26"/>
      <c r="G788" s="26"/>
      <c r="H788" s="25"/>
      <c r="I788" s="26"/>
      <c r="J788" s="25"/>
      <c r="K788" s="25"/>
      <c r="L788" s="26"/>
      <c r="M788" s="25"/>
      <c r="N788" s="25"/>
      <c r="O788" s="26"/>
      <c r="P788" s="26"/>
      <c r="Q788" s="26"/>
      <c r="R788" s="26"/>
      <c r="S788" s="25"/>
      <c r="T788" s="26"/>
      <c r="U788" s="26"/>
      <c r="V788" s="25"/>
      <c r="W788" s="25"/>
      <c r="X788" s="26"/>
      <c r="Y788" s="25"/>
      <c r="Z788" s="10"/>
    </row>
    <row r="789" spans="1:26" ht="12.75">
      <c r="A789" s="25"/>
      <c r="B789" s="25"/>
      <c r="C789" s="25"/>
      <c r="D789" s="26"/>
      <c r="E789" s="26"/>
      <c r="F789" s="26"/>
      <c r="G789" s="26"/>
      <c r="H789" s="25"/>
      <c r="I789" s="26"/>
      <c r="J789" s="25"/>
      <c r="K789" s="25"/>
      <c r="L789" s="26"/>
      <c r="M789" s="25"/>
      <c r="N789" s="25"/>
      <c r="O789" s="26"/>
      <c r="P789" s="26"/>
      <c r="Q789" s="26"/>
      <c r="R789" s="26"/>
      <c r="S789" s="25"/>
      <c r="T789" s="26"/>
      <c r="U789" s="26"/>
      <c r="V789" s="25"/>
      <c r="W789" s="25"/>
      <c r="X789" s="26"/>
      <c r="Y789" s="25"/>
      <c r="Z789" s="10"/>
    </row>
    <row r="790" spans="1:26" ht="12.75">
      <c r="A790" s="25"/>
      <c r="B790" s="25"/>
      <c r="C790" s="25"/>
      <c r="D790" s="26"/>
      <c r="E790" s="26"/>
      <c r="F790" s="26"/>
      <c r="G790" s="26"/>
      <c r="H790" s="25"/>
      <c r="I790" s="26"/>
      <c r="J790" s="25"/>
      <c r="K790" s="25"/>
      <c r="L790" s="26"/>
      <c r="M790" s="25"/>
      <c r="N790" s="25"/>
      <c r="O790" s="26"/>
      <c r="P790" s="26"/>
      <c r="Q790" s="26"/>
      <c r="R790" s="26"/>
      <c r="S790" s="25"/>
      <c r="T790" s="26"/>
      <c r="U790" s="26"/>
      <c r="V790" s="25"/>
      <c r="W790" s="25"/>
      <c r="X790" s="26"/>
      <c r="Y790" s="25"/>
      <c r="Z790" s="10"/>
    </row>
    <row r="791" spans="1:26" ht="12.75">
      <c r="A791" s="25"/>
      <c r="B791" s="25"/>
      <c r="C791" s="25"/>
      <c r="D791" s="26"/>
      <c r="E791" s="26"/>
      <c r="F791" s="26"/>
      <c r="G791" s="26"/>
      <c r="H791" s="25"/>
      <c r="I791" s="26"/>
      <c r="J791" s="25"/>
      <c r="K791" s="25"/>
      <c r="L791" s="26"/>
      <c r="M791" s="25"/>
      <c r="N791" s="25"/>
      <c r="O791" s="26"/>
      <c r="P791" s="26"/>
      <c r="Q791" s="26"/>
      <c r="R791" s="26"/>
      <c r="S791" s="25"/>
      <c r="T791" s="26"/>
      <c r="U791" s="26"/>
      <c r="V791" s="25"/>
      <c r="W791" s="25"/>
      <c r="X791" s="26"/>
      <c r="Y791" s="25"/>
      <c r="Z791" s="10"/>
    </row>
    <row r="792" spans="1:26" ht="12.75">
      <c r="A792" s="25"/>
      <c r="B792" s="25"/>
      <c r="C792" s="25"/>
      <c r="D792" s="26"/>
      <c r="E792" s="26"/>
      <c r="F792" s="26"/>
      <c r="G792" s="26"/>
      <c r="H792" s="25"/>
      <c r="I792" s="26"/>
      <c r="J792" s="25"/>
      <c r="K792" s="25"/>
      <c r="L792" s="26"/>
      <c r="M792" s="25"/>
      <c r="N792" s="25"/>
      <c r="O792" s="26"/>
      <c r="P792" s="26"/>
      <c r="Q792" s="26"/>
      <c r="R792" s="26"/>
      <c r="S792" s="25"/>
      <c r="T792" s="26"/>
      <c r="U792" s="26"/>
      <c r="V792" s="25"/>
      <c r="W792" s="25"/>
      <c r="X792" s="26"/>
      <c r="Y792" s="25"/>
      <c r="Z792" s="10"/>
    </row>
    <row r="793" spans="1:26" ht="12.75">
      <c r="A793" s="25"/>
      <c r="B793" s="25"/>
      <c r="C793" s="25"/>
      <c r="D793" s="26"/>
      <c r="E793" s="26"/>
      <c r="F793" s="26"/>
      <c r="G793" s="26"/>
      <c r="H793" s="25"/>
      <c r="I793" s="26"/>
      <c r="J793" s="25"/>
      <c r="K793" s="25"/>
      <c r="L793" s="26"/>
      <c r="M793" s="25"/>
      <c r="N793" s="25"/>
      <c r="O793" s="26"/>
      <c r="P793" s="26"/>
      <c r="Q793" s="26"/>
      <c r="R793" s="26"/>
      <c r="S793" s="25"/>
      <c r="T793" s="26"/>
      <c r="U793" s="26"/>
      <c r="V793" s="25"/>
      <c r="W793" s="25"/>
      <c r="X793" s="26"/>
      <c r="Y793" s="25"/>
      <c r="Z793" s="10"/>
    </row>
    <row r="794" spans="1:26" ht="12.75">
      <c r="A794" s="25"/>
      <c r="B794" s="25"/>
      <c r="C794" s="25"/>
      <c r="D794" s="26"/>
      <c r="E794" s="26"/>
      <c r="F794" s="26"/>
      <c r="G794" s="26"/>
      <c r="H794" s="25"/>
      <c r="I794" s="26"/>
      <c r="J794" s="25"/>
      <c r="K794" s="25"/>
      <c r="L794" s="26"/>
      <c r="M794" s="25"/>
      <c r="N794" s="25"/>
      <c r="O794" s="26"/>
      <c r="P794" s="26"/>
      <c r="Q794" s="26"/>
      <c r="R794" s="26"/>
      <c r="S794" s="25"/>
      <c r="T794" s="26"/>
      <c r="U794" s="26"/>
      <c r="V794" s="25"/>
      <c r="W794" s="25"/>
      <c r="X794" s="26"/>
      <c r="Y794" s="25"/>
      <c r="Z794" s="10"/>
    </row>
    <row r="795" spans="1:26" ht="12.75">
      <c r="A795" s="25"/>
      <c r="B795" s="25"/>
      <c r="C795" s="25"/>
      <c r="D795" s="26"/>
      <c r="E795" s="26"/>
      <c r="F795" s="26"/>
      <c r="G795" s="26"/>
      <c r="H795" s="25"/>
      <c r="I795" s="26"/>
      <c r="J795" s="25"/>
      <c r="K795" s="25"/>
      <c r="L795" s="26"/>
      <c r="M795" s="25"/>
      <c r="N795" s="25"/>
      <c r="O795" s="26"/>
      <c r="P795" s="26"/>
      <c r="Q795" s="26"/>
      <c r="R795" s="26"/>
      <c r="S795" s="25"/>
      <c r="T795" s="26"/>
      <c r="U795" s="26"/>
      <c r="V795" s="25"/>
      <c r="W795" s="25"/>
      <c r="X795" s="26"/>
      <c r="Y795" s="25"/>
      <c r="Z795" s="10"/>
    </row>
    <row r="796" spans="1:26" ht="12.75">
      <c r="A796" s="25"/>
      <c r="B796" s="25"/>
      <c r="C796" s="25"/>
      <c r="D796" s="26"/>
      <c r="E796" s="26"/>
      <c r="F796" s="26"/>
      <c r="G796" s="26"/>
      <c r="H796" s="25"/>
      <c r="I796" s="26"/>
      <c r="J796" s="25"/>
      <c r="K796" s="25"/>
      <c r="L796" s="26"/>
      <c r="M796" s="25"/>
      <c r="N796" s="25"/>
      <c r="O796" s="26"/>
      <c r="P796" s="26"/>
      <c r="Q796" s="26"/>
      <c r="R796" s="26"/>
      <c r="S796" s="25"/>
      <c r="T796" s="26"/>
      <c r="U796" s="26"/>
      <c r="V796" s="25"/>
      <c r="W796" s="25"/>
      <c r="X796" s="26"/>
      <c r="Y796" s="25"/>
      <c r="Z796" s="10"/>
    </row>
    <row r="797" spans="1:26" ht="12.75">
      <c r="A797" s="25"/>
      <c r="B797" s="25"/>
      <c r="C797" s="25"/>
      <c r="D797" s="26"/>
      <c r="E797" s="26"/>
      <c r="F797" s="26"/>
      <c r="G797" s="26"/>
      <c r="H797" s="25"/>
      <c r="I797" s="26"/>
      <c r="J797" s="25"/>
      <c r="K797" s="25"/>
      <c r="L797" s="26"/>
      <c r="M797" s="25"/>
      <c r="N797" s="25"/>
      <c r="O797" s="26"/>
      <c r="P797" s="26"/>
      <c r="Q797" s="26"/>
      <c r="R797" s="26"/>
      <c r="S797" s="25"/>
      <c r="T797" s="26"/>
      <c r="U797" s="26"/>
      <c r="V797" s="25"/>
      <c r="W797" s="25"/>
      <c r="X797" s="26"/>
      <c r="Y797" s="25"/>
      <c r="Z797" s="10"/>
    </row>
    <row r="798" spans="1:26" ht="12.75">
      <c r="A798" s="25"/>
      <c r="B798" s="25"/>
      <c r="C798" s="25"/>
      <c r="D798" s="26"/>
      <c r="E798" s="26"/>
      <c r="F798" s="26"/>
      <c r="G798" s="26"/>
      <c r="H798" s="25"/>
      <c r="I798" s="26"/>
      <c r="J798" s="25"/>
      <c r="K798" s="25"/>
      <c r="L798" s="26"/>
      <c r="M798" s="25"/>
      <c r="N798" s="25"/>
      <c r="O798" s="26"/>
      <c r="P798" s="26"/>
      <c r="Q798" s="26"/>
      <c r="R798" s="26"/>
      <c r="S798" s="25"/>
      <c r="T798" s="26"/>
      <c r="U798" s="26"/>
      <c r="V798" s="25"/>
      <c r="W798" s="25"/>
      <c r="X798" s="26"/>
      <c r="Y798" s="25"/>
      <c r="Z798" s="10"/>
    </row>
    <row r="799" spans="1:26" ht="12.75">
      <c r="A799" s="25"/>
      <c r="B799" s="25"/>
      <c r="C799" s="25"/>
      <c r="D799" s="26"/>
      <c r="E799" s="26"/>
      <c r="F799" s="26"/>
      <c r="G799" s="26"/>
      <c r="H799" s="25"/>
      <c r="I799" s="26"/>
      <c r="J799" s="25"/>
      <c r="K799" s="25"/>
      <c r="L799" s="26"/>
      <c r="M799" s="25"/>
      <c r="N799" s="25"/>
      <c r="O799" s="26"/>
      <c r="P799" s="26"/>
      <c r="Q799" s="26"/>
      <c r="R799" s="26"/>
      <c r="S799" s="25"/>
      <c r="T799" s="26"/>
      <c r="U799" s="26"/>
      <c r="V799" s="25"/>
      <c r="W799" s="25"/>
      <c r="X799" s="26"/>
      <c r="Y799" s="25"/>
      <c r="Z799" s="10"/>
    </row>
    <row r="800" spans="1:26" ht="12.75">
      <c r="A800" s="25"/>
      <c r="B800" s="25"/>
      <c r="C800" s="25"/>
      <c r="D800" s="26"/>
      <c r="E800" s="26"/>
      <c r="F800" s="26"/>
      <c r="G800" s="26"/>
      <c r="H800" s="25"/>
      <c r="I800" s="26"/>
      <c r="J800" s="25"/>
      <c r="K800" s="25"/>
      <c r="L800" s="26"/>
      <c r="M800" s="25"/>
      <c r="N800" s="25"/>
      <c r="O800" s="26"/>
      <c r="P800" s="26"/>
      <c r="Q800" s="26"/>
      <c r="R800" s="26"/>
      <c r="S800" s="25"/>
      <c r="T800" s="26"/>
      <c r="U800" s="26"/>
      <c r="V800" s="25"/>
      <c r="W800" s="25"/>
      <c r="X800" s="26"/>
      <c r="Y800" s="25"/>
      <c r="Z800" s="10"/>
    </row>
    <row r="801" spans="1:26" ht="12.75">
      <c r="A801" s="25"/>
      <c r="B801" s="25"/>
      <c r="C801" s="25"/>
      <c r="D801" s="26"/>
      <c r="E801" s="26"/>
      <c r="F801" s="26"/>
      <c r="G801" s="26"/>
      <c r="H801" s="25"/>
      <c r="I801" s="26"/>
      <c r="J801" s="25"/>
      <c r="K801" s="25"/>
      <c r="L801" s="26"/>
      <c r="M801" s="25"/>
      <c r="N801" s="25"/>
      <c r="O801" s="26"/>
      <c r="P801" s="26"/>
      <c r="Q801" s="26"/>
      <c r="R801" s="26"/>
      <c r="S801" s="25"/>
      <c r="T801" s="26"/>
      <c r="U801" s="26"/>
      <c r="V801" s="25"/>
      <c r="W801" s="25"/>
      <c r="X801" s="26"/>
      <c r="Y801" s="25"/>
      <c r="Z801" s="10"/>
    </row>
    <row r="802" spans="1:26" ht="12.75">
      <c r="A802" s="25"/>
      <c r="B802" s="25"/>
      <c r="C802" s="25"/>
      <c r="D802" s="26"/>
      <c r="E802" s="26"/>
      <c r="F802" s="26"/>
      <c r="G802" s="26"/>
      <c r="H802" s="25"/>
      <c r="I802" s="26"/>
      <c r="J802" s="25"/>
      <c r="K802" s="25"/>
      <c r="L802" s="26"/>
      <c r="M802" s="25"/>
      <c r="N802" s="25"/>
      <c r="O802" s="26"/>
      <c r="P802" s="26"/>
      <c r="Q802" s="26"/>
      <c r="R802" s="26"/>
      <c r="S802" s="25"/>
      <c r="T802" s="26"/>
      <c r="U802" s="26"/>
      <c r="V802" s="25"/>
      <c r="W802" s="25"/>
      <c r="X802" s="26"/>
      <c r="Y802" s="25"/>
      <c r="Z802" s="10"/>
    </row>
    <row r="803" spans="1:26" ht="12.75">
      <c r="A803" s="25"/>
      <c r="B803" s="25"/>
      <c r="C803" s="25"/>
      <c r="D803" s="26"/>
      <c r="E803" s="26"/>
      <c r="F803" s="26"/>
      <c r="G803" s="26"/>
      <c r="H803" s="25"/>
      <c r="I803" s="26"/>
      <c r="J803" s="25"/>
      <c r="K803" s="25"/>
      <c r="L803" s="26"/>
      <c r="M803" s="25"/>
      <c r="N803" s="25"/>
      <c r="O803" s="26"/>
      <c r="P803" s="26"/>
      <c r="Q803" s="26"/>
      <c r="R803" s="26"/>
      <c r="S803" s="25"/>
      <c r="T803" s="26"/>
      <c r="U803" s="26"/>
      <c r="V803" s="25"/>
      <c r="W803" s="25"/>
      <c r="X803" s="26"/>
      <c r="Y803" s="25"/>
      <c r="Z803" s="10"/>
    </row>
    <row r="804" spans="1:26" ht="12.75">
      <c r="A804" s="25"/>
      <c r="B804" s="25"/>
      <c r="C804" s="25"/>
      <c r="D804" s="26"/>
      <c r="E804" s="26"/>
      <c r="F804" s="26"/>
      <c r="G804" s="26"/>
      <c r="H804" s="25"/>
      <c r="I804" s="26"/>
      <c r="J804" s="25"/>
      <c r="K804" s="25"/>
      <c r="L804" s="26"/>
      <c r="M804" s="25"/>
      <c r="N804" s="25"/>
      <c r="O804" s="26"/>
      <c r="P804" s="26"/>
      <c r="Q804" s="26"/>
      <c r="R804" s="26"/>
      <c r="S804" s="25"/>
      <c r="T804" s="26"/>
      <c r="U804" s="26"/>
      <c r="V804" s="25"/>
      <c r="W804" s="25"/>
      <c r="X804" s="26"/>
      <c r="Y804" s="25"/>
      <c r="Z804" s="10"/>
    </row>
    <row r="805" spans="1:26" ht="12.75">
      <c r="A805" s="25"/>
      <c r="B805" s="25"/>
      <c r="C805" s="25"/>
      <c r="D805" s="26"/>
      <c r="E805" s="26"/>
      <c r="F805" s="26"/>
      <c r="G805" s="26"/>
      <c r="H805" s="25"/>
      <c r="I805" s="26"/>
      <c r="J805" s="25"/>
      <c r="K805" s="25"/>
      <c r="L805" s="26"/>
      <c r="M805" s="25"/>
      <c r="N805" s="25"/>
      <c r="O805" s="26"/>
      <c r="P805" s="26"/>
      <c r="Q805" s="26"/>
      <c r="R805" s="26"/>
      <c r="S805" s="25"/>
      <c r="T805" s="26"/>
      <c r="U805" s="26"/>
      <c r="V805" s="25"/>
      <c r="W805" s="25"/>
      <c r="X805" s="26"/>
      <c r="Y805" s="25"/>
      <c r="Z805" s="10"/>
    </row>
    <row r="806" spans="1:26" ht="12.75">
      <c r="A806" s="25"/>
      <c r="B806" s="25"/>
      <c r="C806" s="25"/>
      <c r="D806" s="26"/>
      <c r="E806" s="26"/>
      <c r="F806" s="26"/>
      <c r="G806" s="26"/>
      <c r="H806" s="25"/>
      <c r="I806" s="26"/>
      <c r="J806" s="25"/>
      <c r="K806" s="25"/>
      <c r="L806" s="26"/>
      <c r="M806" s="25"/>
      <c r="N806" s="25"/>
      <c r="O806" s="26"/>
      <c r="P806" s="26"/>
      <c r="Q806" s="26"/>
      <c r="R806" s="26"/>
      <c r="S806" s="25"/>
      <c r="T806" s="26"/>
      <c r="U806" s="26"/>
      <c r="V806" s="25"/>
      <c r="W806" s="25"/>
      <c r="X806" s="26"/>
      <c r="Y806" s="25"/>
      <c r="Z806" s="10"/>
    </row>
    <row r="807" spans="1:26" ht="12.75">
      <c r="A807" s="25"/>
      <c r="B807" s="25"/>
      <c r="C807" s="25"/>
      <c r="D807" s="26"/>
      <c r="E807" s="26"/>
      <c r="F807" s="26"/>
      <c r="G807" s="26"/>
      <c r="H807" s="25"/>
      <c r="I807" s="26"/>
      <c r="J807" s="25"/>
      <c r="K807" s="25"/>
      <c r="L807" s="26"/>
      <c r="M807" s="25"/>
      <c r="N807" s="25"/>
      <c r="O807" s="26"/>
      <c r="P807" s="26"/>
      <c r="Q807" s="26"/>
      <c r="R807" s="26"/>
      <c r="S807" s="25"/>
      <c r="T807" s="26"/>
      <c r="U807" s="26"/>
      <c r="V807" s="25"/>
      <c r="W807" s="25"/>
      <c r="X807" s="26"/>
      <c r="Y807" s="25"/>
      <c r="Z807" s="10"/>
    </row>
    <row r="808" spans="1:26" ht="12.75">
      <c r="A808" s="25"/>
      <c r="B808" s="25"/>
      <c r="C808" s="25"/>
      <c r="D808" s="26"/>
      <c r="E808" s="26"/>
      <c r="F808" s="26"/>
      <c r="G808" s="26"/>
      <c r="H808" s="25"/>
      <c r="I808" s="26"/>
      <c r="J808" s="25"/>
      <c r="K808" s="25"/>
      <c r="L808" s="26"/>
      <c r="M808" s="25"/>
      <c r="N808" s="25"/>
      <c r="O808" s="26"/>
      <c r="P808" s="26"/>
      <c r="Q808" s="26"/>
      <c r="R808" s="26"/>
      <c r="S808" s="25"/>
      <c r="T808" s="26"/>
      <c r="U808" s="26"/>
      <c r="V808" s="25"/>
      <c r="W808" s="25"/>
      <c r="X808" s="26"/>
      <c r="Y808" s="25"/>
      <c r="Z808" s="10"/>
    </row>
    <row r="809" spans="1:26" ht="12.75">
      <c r="A809" s="25"/>
      <c r="B809" s="25"/>
      <c r="C809" s="25"/>
      <c r="D809" s="26"/>
      <c r="E809" s="26"/>
      <c r="F809" s="26"/>
      <c r="G809" s="26"/>
      <c r="H809" s="25"/>
      <c r="I809" s="26"/>
      <c r="J809" s="25"/>
      <c r="K809" s="25"/>
      <c r="L809" s="26"/>
      <c r="M809" s="25"/>
      <c r="N809" s="25"/>
      <c r="O809" s="26"/>
      <c r="P809" s="26"/>
      <c r="Q809" s="26"/>
      <c r="R809" s="26"/>
      <c r="S809" s="25"/>
      <c r="T809" s="26"/>
      <c r="U809" s="26"/>
      <c r="V809" s="25"/>
      <c r="W809" s="25"/>
      <c r="X809" s="26"/>
      <c r="Y809" s="25"/>
      <c r="Z809" s="10"/>
    </row>
    <row r="810" spans="1:26" ht="12.75">
      <c r="A810" s="25"/>
      <c r="B810" s="25"/>
      <c r="C810" s="25"/>
      <c r="D810" s="26"/>
      <c r="E810" s="26"/>
      <c r="F810" s="26"/>
      <c r="G810" s="26"/>
      <c r="H810" s="25"/>
      <c r="I810" s="26"/>
      <c r="J810" s="25"/>
      <c r="K810" s="25"/>
      <c r="L810" s="26"/>
      <c r="M810" s="25"/>
      <c r="N810" s="25"/>
      <c r="O810" s="26"/>
      <c r="P810" s="26"/>
      <c r="Q810" s="26"/>
      <c r="R810" s="26"/>
      <c r="S810" s="25"/>
      <c r="T810" s="26"/>
      <c r="U810" s="26"/>
      <c r="V810" s="25"/>
      <c r="W810" s="25"/>
      <c r="X810" s="26"/>
      <c r="Y810" s="25"/>
      <c r="Z810" s="10"/>
    </row>
    <row r="811" spans="1:26" ht="12.75">
      <c r="A811" s="25"/>
      <c r="B811" s="25"/>
      <c r="C811" s="25"/>
      <c r="D811" s="26"/>
      <c r="E811" s="26"/>
      <c r="F811" s="26"/>
      <c r="G811" s="26"/>
      <c r="H811" s="25"/>
      <c r="I811" s="26"/>
      <c r="J811" s="25"/>
      <c r="K811" s="25"/>
      <c r="L811" s="26"/>
      <c r="M811" s="25"/>
      <c r="N811" s="25"/>
      <c r="O811" s="26"/>
      <c r="P811" s="26"/>
      <c r="Q811" s="26"/>
      <c r="R811" s="26"/>
      <c r="S811" s="25"/>
      <c r="T811" s="26"/>
      <c r="U811" s="26"/>
      <c r="V811" s="25"/>
      <c r="W811" s="25"/>
      <c r="X811" s="26"/>
      <c r="Y811" s="25"/>
      <c r="Z811" s="10"/>
    </row>
    <row r="812" spans="1:26" ht="12.75">
      <c r="A812" s="25"/>
      <c r="B812" s="25"/>
      <c r="C812" s="25"/>
      <c r="D812" s="26"/>
      <c r="E812" s="26"/>
      <c r="F812" s="26"/>
      <c r="G812" s="26"/>
      <c r="H812" s="25"/>
      <c r="I812" s="26"/>
      <c r="J812" s="25"/>
      <c r="K812" s="25"/>
      <c r="L812" s="26"/>
      <c r="M812" s="25"/>
      <c r="N812" s="25"/>
      <c r="O812" s="26"/>
      <c r="P812" s="26"/>
      <c r="Q812" s="26"/>
      <c r="R812" s="26"/>
      <c r="S812" s="25"/>
      <c r="T812" s="26"/>
      <c r="U812" s="26"/>
      <c r="V812" s="25"/>
      <c r="W812" s="25"/>
      <c r="X812" s="26"/>
      <c r="Y812" s="25"/>
      <c r="Z812" s="10"/>
    </row>
    <row r="813" spans="1:26" ht="12.75">
      <c r="A813" s="25"/>
      <c r="B813" s="25"/>
      <c r="C813" s="25"/>
      <c r="D813" s="26"/>
      <c r="E813" s="26"/>
      <c r="F813" s="26"/>
      <c r="G813" s="26"/>
      <c r="H813" s="25"/>
      <c r="I813" s="26"/>
      <c r="J813" s="25"/>
      <c r="K813" s="25"/>
      <c r="L813" s="26"/>
      <c r="M813" s="25"/>
      <c r="N813" s="25"/>
      <c r="O813" s="26"/>
      <c r="P813" s="26"/>
      <c r="Q813" s="26"/>
      <c r="R813" s="26"/>
      <c r="S813" s="25"/>
      <c r="T813" s="26"/>
      <c r="U813" s="26"/>
      <c r="V813" s="25"/>
      <c r="W813" s="25"/>
      <c r="X813" s="26"/>
      <c r="Y813" s="25"/>
      <c r="Z813" s="10"/>
    </row>
    <row r="814" spans="1:26" ht="12.75">
      <c r="A814" s="25"/>
      <c r="B814" s="25"/>
      <c r="C814" s="25"/>
      <c r="D814" s="26"/>
      <c r="E814" s="26"/>
      <c r="F814" s="26"/>
      <c r="G814" s="26"/>
      <c r="H814" s="25"/>
      <c r="I814" s="26"/>
      <c r="J814" s="25"/>
      <c r="K814" s="25"/>
      <c r="L814" s="26"/>
      <c r="M814" s="25"/>
      <c r="N814" s="25"/>
      <c r="O814" s="26"/>
      <c r="P814" s="26"/>
      <c r="Q814" s="26"/>
      <c r="R814" s="26"/>
      <c r="S814" s="25"/>
      <c r="T814" s="26"/>
      <c r="U814" s="26"/>
      <c r="V814" s="25"/>
      <c r="W814" s="25"/>
      <c r="X814" s="26"/>
      <c r="Y814" s="25"/>
      <c r="Z814" s="10"/>
    </row>
    <row r="815" spans="1:26" ht="12.75">
      <c r="A815" s="25"/>
      <c r="B815" s="25"/>
      <c r="C815" s="25"/>
      <c r="D815" s="26"/>
      <c r="E815" s="26"/>
      <c r="F815" s="26"/>
      <c r="G815" s="26"/>
      <c r="H815" s="25"/>
      <c r="I815" s="26"/>
      <c r="J815" s="25"/>
      <c r="K815" s="25"/>
      <c r="L815" s="26"/>
      <c r="M815" s="25"/>
      <c r="N815" s="25"/>
      <c r="O815" s="26"/>
      <c r="P815" s="26"/>
      <c r="Q815" s="26"/>
      <c r="R815" s="26"/>
      <c r="S815" s="25"/>
      <c r="T815" s="26"/>
      <c r="U815" s="26"/>
      <c r="V815" s="25"/>
      <c r="W815" s="25"/>
      <c r="X815" s="26"/>
      <c r="Y815" s="25"/>
      <c r="Z815" s="10"/>
    </row>
    <row r="816" spans="1:26" ht="12.75">
      <c r="A816" s="25"/>
      <c r="B816" s="25"/>
      <c r="C816" s="25"/>
      <c r="D816" s="26"/>
      <c r="E816" s="26"/>
      <c r="F816" s="26"/>
      <c r="G816" s="26"/>
      <c r="H816" s="25"/>
      <c r="I816" s="26"/>
      <c r="J816" s="25"/>
      <c r="K816" s="25"/>
      <c r="L816" s="26"/>
      <c r="M816" s="25"/>
      <c r="N816" s="25"/>
      <c r="O816" s="26"/>
      <c r="P816" s="26"/>
      <c r="Q816" s="26"/>
      <c r="R816" s="26"/>
      <c r="S816" s="25"/>
      <c r="T816" s="26"/>
      <c r="U816" s="26"/>
      <c r="V816" s="25"/>
      <c r="W816" s="25"/>
      <c r="X816" s="26"/>
      <c r="Y816" s="25"/>
      <c r="Z816" s="10"/>
    </row>
    <row r="817" spans="1:26" ht="12.75">
      <c r="A817" s="25"/>
      <c r="B817" s="25"/>
      <c r="C817" s="25"/>
      <c r="D817" s="26"/>
      <c r="E817" s="26"/>
      <c r="F817" s="26"/>
      <c r="G817" s="26"/>
      <c r="H817" s="25"/>
      <c r="I817" s="26"/>
      <c r="J817" s="25"/>
      <c r="K817" s="25"/>
      <c r="L817" s="26"/>
      <c r="M817" s="25"/>
      <c r="N817" s="25"/>
      <c r="O817" s="26"/>
      <c r="P817" s="26"/>
      <c r="Q817" s="26"/>
      <c r="R817" s="26"/>
      <c r="S817" s="25"/>
      <c r="T817" s="26"/>
      <c r="U817" s="26"/>
      <c r="V817" s="25"/>
      <c r="W817" s="25"/>
      <c r="X817" s="26"/>
      <c r="Y817" s="25"/>
      <c r="Z817" s="10"/>
    </row>
    <row r="818" spans="1:26" ht="12.75">
      <c r="A818" s="25"/>
      <c r="B818" s="25"/>
      <c r="C818" s="25"/>
      <c r="D818" s="26"/>
      <c r="E818" s="26"/>
      <c r="F818" s="26"/>
      <c r="G818" s="26"/>
      <c r="H818" s="25"/>
      <c r="I818" s="26"/>
      <c r="J818" s="25"/>
      <c r="K818" s="25"/>
      <c r="L818" s="26"/>
      <c r="M818" s="25"/>
      <c r="N818" s="25"/>
      <c r="O818" s="26"/>
      <c r="P818" s="26"/>
      <c r="Q818" s="26"/>
      <c r="R818" s="26"/>
      <c r="S818" s="25"/>
      <c r="T818" s="26"/>
      <c r="U818" s="26"/>
      <c r="V818" s="25"/>
      <c r="W818" s="25"/>
      <c r="X818" s="26"/>
      <c r="Y818" s="25"/>
      <c r="Z818" s="10"/>
    </row>
    <row r="819" spans="1:26" ht="12.75">
      <c r="A819" s="25"/>
      <c r="B819" s="25"/>
      <c r="C819" s="25"/>
      <c r="D819" s="26"/>
      <c r="E819" s="26"/>
      <c r="F819" s="26"/>
      <c r="G819" s="26"/>
      <c r="H819" s="25"/>
      <c r="I819" s="26"/>
      <c r="J819" s="25"/>
      <c r="K819" s="25"/>
      <c r="L819" s="26"/>
      <c r="M819" s="25"/>
      <c r="N819" s="25"/>
      <c r="O819" s="26"/>
      <c r="P819" s="26"/>
      <c r="Q819" s="26"/>
      <c r="R819" s="26"/>
      <c r="S819" s="25"/>
      <c r="T819" s="26"/>
      <c r="U819" s="26"/>
      <c r="V819" s="25"/>
      <c r="W819" s="25"/>
      <c r="X819" s="26"/>
      <c r="Y819" s="25"/>
      <c r="Z819" s="10"/>
    </row>
    <row r="820" spans="1:26" ht="12.75">
      <c r="A820" s="25"/>
      <c r="B820" s="25"/>
      <c r="C820" s="25"/>
      <c r="D820" s="26"/>
      <c r="E820" s="26"/>
      <c r="F820" s="26"/>
      <c r="G820" s="26"/>
      <c r="H820" s="25"/>
      <c r="I820" s="26"/>
      <c r="J820" s="25"/>
      <c r="K820" s="25"/>
      <c r="L820" s="26"/>
      <c r="M820" s="25"/>
      <c r="N820" s="25"/>
      <c r="O820" s="26"/>
      <c r="P820" s="26"/>
      <c r="Q820" s="26"/>
      <c r="R820" s="26"/>
      <c r="S820" s="25"/>
      <c r="T820" s="26"/>
      <c r="U820" s="26"/>
      <c r="V820" s="25"/>
      <c r="W820" s="25"/>
      <c r="X820" s="26"/>
      <c r="Y820" s="25"/>
      <c r="Z820" s="10"/>
    </row>
    <row r="821" spans="1:26" ht="12.75">
      <c r="A821" s="25"/>
      <c r="B821" s="25"/>
      <c r="C821" s="25"/>
      <c r="D821" s="26"/>
      <c r="E821" s="26"/>
      <c r="F821" s="26"/>
      <c r="G821" s="26"/>
      <c r="H821" s="25"/>
      <c r="I821" s="26"/>
      <c r="J821" s="25"/>
      <c r="K821" s="25"/>
      <c r="L821" s="26"/>
      <c r="M821" s="25"/>
      <c r="N821" s="25"/>
      <c r="O821" s="26"/>
      <c r="P821" s="26"/>
      <c r="Q821" s="26"/>
      <c r="R821" s="26"/>
      <c r="S821" s="25"/>
      <c r="T821" s="26"/>
      <c r="U821" s="26"/>
      <c r="V821" s="25"/>
      <c r="W821" s="25"/>
      <c r="X821" s="26"/>
      <c r="Y821" s="25"/>
      <c r="Z821" s="10"/>
    </row>
    <row r="822" spans="1:26" ht="12.75">
      <c r="A822" s="25"/>
      <c r="B822" s="25"/>
      <c r="C822" s="25"/>
      <c r="D822" s="26"/>
      <c r="E822" s="26"/>
      <c r="F822" s="26"/>
      <c r="G822" s="26"/>
      <c r="H822" s="25"/>
      <c r="I822" s="26"/>
      <c r="J822" s="25"/>
      <c r="K822" s="25"/>
      <c r="L822" s="26"/>
      <c r="M822" s="25"/>
      <c r="N822" s="25"/>
      <c r="O822" s="26"/>
      <c r="P822" s="26"/>
      <c r="Q822" s="26"/>
      <c r="R822" s="26"/>
      <c r="S822" s="25"/>
      <c r="T822" s="26"/>
      <c r="U822" s="26"/>
      <c r="V822" s="25"/>
      <c r="W822" s="25"/>
      <c r="X822" s="26"/>
      <c r="Y822" s="25"/>
      <c r="Z822" s="10"/>
    </row>
    <row r="823" spans="1:26" ht="12.75">
      <c r="A823" s="25"/>
      <c r="B823" s="25"/>
      <c r="C823" s="25"/>
      <c r="D823" s="26"/>
      <c r="E823" s="26"/>
      <c r="F823" s="26"/>
      <c r="G823" s="26"/>
      <c r="H823" s="25"/>
      <c r="I823" s="26"/>
      <c r="J823" s="25"/>
      <c r="K823" s="25"/>
      <c r="L823" s="26"/>
      <c r="M823" s="25"/>
      <c r="N823" s="25"/>
      <c r="O823" s="26"/>
      <c r="P823" s="26"/>
      <c r="Q823" s="26"/>
      <c r="R823" s="26"/>
      <c r="S823" s="25"/>
      <c r="T823" s="26"/>
      <c r="U823" s="26"/>
      <c r="V823" s="25"/>
      <c r="W823" s="25"/>
      <c r="X823" s="26"/>
      <c r="Y823" s="25"/>
      <c r="Z823" s="10"/>
    </row>
    <row r="824" spans="1:26" ht="12.75">
      <c r="A824" s="25"/>
      <c r="B824" s="25"/>
      <c r="C824" s="25"/>
      <c r="D824" s="26"/>
      <c r="E824" s="26"/>
      <c r="F824" s="26"/>
      <c r="G824" s="26"/>
      <c r="H824" s="25"/>
      <c r="I824" s="26"/>
      <c r="J824" s="25"/>
      <c r="K824" s="25"/>
      <c r="L824" s="26"/>
      <c r="M824" s="25"/>
      <c r="N824" s="25"/>
      <c r="O824" s="26"/>
      <c r="P824" s="26"/>
      <c r="Q824" s="26"/>
      <c r="R824" s="26"/>
      <c r="S824" s="25"/>
      <c r="T824" s="26"/>
      <c r="U824" s="26"/>
      <c r="V824" s="25"/>
      <c r="W824" s="25"/>
      <c r="X824" s="26"/>
      <c r="Y824" s="25"/>
      <c r="Z824" s="10"/>
    </row>
    <row r="825" spans="1:26" ht="12.75">
      <c r="A825" s="25"/>
      <c r="B825" s="25"/>
      <c r="C825" s="25"/>
      <c r="D825" s="26"/>
      <c r="E825" s="26"/>
      <c r="F825" s="26"/>
      <c r="G825" s="26"/>
      <c r="H825" s="25"/>
      <c r="I825" s="26"/>
      <c r="J825" s="25"/>
      <c r="K825" s="25"/>
      <c r="L825" s="26"/>
      <c r="M825" s="25"/>
      <c r="N825" s="25"/>
      <c r="O825" s="26"/>
      <c r="P825" s="26"/>
      <c r="Q825" s="26"/>
      <c r="R825" s="26"/>
      <c r="S825" s="25"/>
      <c r="T825" s="26"/>
      <c r="U825" s="26"/>
      <c r="V825" s="25"/>
      <c r="W825" s="25"/>
      <c r="X825" s="26"/>
      <c r="Y825" s="25"/>
      <c r="Z825" s="10"/>
    </row>
    <row r="826" spans="1:26" ht="12.75">
      <c r="A826" s="25"/>
      <c r="B826" s="25"/>
      <c r="C826" s="25"/>
      <c r="D826" s="26"/>
      <c r="E826" s="26"/>
      <c r="F826" s="26"/>
      <c r="G826" s="26"/>
      <c r="H826" s="25"/>
      <c r="I826" s="26"/>
      <c r="J826" s="25"/>
      <c r="K826" s="25"/>
      <c r="L826" s="26"/>
      <c r="M826" s="25"/>
      <c r="N826" s="25"/>
      <c r="O826" s="26"/>
      <c r="P826" s="26"/>
      <c r="Q826" s="26"/>
      <c r="R826" s="26"/>
      <c r="S826" s="25"/>
      <c r="T826" s="26"/>
      <c r="U826" s="26"/>
      <c r="V826" s="25"/>
      <c r="W826" s="25"/>
      <c r="X826" s="26"/>
      <c r="Y826" s="25"/>
      <c r="Z826" s="10"/>
    </row>
    <row r="827" spans="1:26" ht="12.75">
      <c r="A827" s="25"/>
      <c r="B827" s="25"/>
      <c r="C827" s="25"/>
      <c r="D827" s="26"/>
      <c r="E827" s="26"/>
      <c r="F827" s="26"/>
      <c r="G827" s="26"/>
      <c r="H827" s="25"/>
      <c r="I827" s="26"/>
      <c r="J827" s="25"/>
      <c r="K827" s="25"/>
      <c r="L827" s="26"/>
      <c r="M827" s="25"/>
      <c r="N827" s="25"/>
      <c r="O827" s="26"/>
      <c r="P827" s="26"/>
      <c r="Q827" s="26"/>
      <c r="R827" s="26"/>
      <c r="S827" s="25"/>
      <c r="T827" s="26"/>
      <c r="U827" s="26"/>
      <c r="V827" s="25"/>
      <c r="W827" s="25"/>
      <c r="X827" s="26"/>
      <c r="Y827" s="25"/>
      <c r="Z827" s="10"/>
    </row>
    <row r="828" spans="1:26" ht="12.75">
      <c r="A828" s="25"/>
      <c r="B828" s="25"/>
      <c r="C828" s="25"/>
      <c r="D828" s="26"/>
      <c r="E828" s="26"/>
      <c r="F828" s="26"/>
      <c r="G828" s="26"/>
      <c r="H828" s="25"/>
      <c r="I828" s="26"/>
      <c r="J828" s="25"/>
      <c r="K828" s="25"/>
      <c r="L828" s="26"/>
      <c r="M828" s="25"/>
      <c r="N828" s="25"/>
      <c r="O828" s="26"/>
      <c r="P828" s="26"/>
      <c r="Q828" s="26"/>
      <c r="R828" s="26"/>
      <c r="S828" s="25"/>
      <c r="T828" s="26"/>
      <c r="U828" s="26"/>
      <c r="V828" s="25"/>
      <c r="W828" s="25"/>
      <c r="X828" s="26"/>
      <c r="Y828" s="25"/>
      <c r="Z828" s="10"/>
    </row>
    <row r="829" spans="1:26" ht="12.75">
      <c r="A829" s="25"/>
      <c r="B829" s="25"/>
      <c r="C829" s="25"/>
      <c r="D829" s="26"/>
      <c r="E829" s="26"/>
      <c r="F829" s="26"/>
      <c r="G829" s="26"/>
      <c r="H829" s="25"/>
      <c r="I829" s="26"/>
      <c r="J829" s="25"/>
      <c r="K829" s="25"/>
      <c r="L829" s="26"/>
      <c r="M829" s="25"/>
      <c r="N829" s="25"/>
      <c r="O829" s="26"/>
      <c r="P829" s="26"/>
      <c r="Q829" s="26"/>
      <c r="R829" s="26"/>
      <c r="S829" s="25"/>
      <c r="T829" s="26"/>
      <c r="U829" s="26"/>
      <c r="V829" s="25"/>
      <c r="W829" s="25"/>
      <c r="X829" s="26"/>
      <c r="Y829" s="25"/>
      <c r="Z829" s="10"/>
    </row>
    <row r="830" spans="1:26" ht="12.75">
      <c r="A830" s="25"/>
      <c r="B830" s="25"/>
      <c r="C830" s="25"/>
      <c r="D830" s="26"/>
      <c r="E830" s="26"/>
      <c r="F830" s="26"/>
      <c r="G830" s="26"/>
      <c r="H830" s="25"/>
      <c r="I830" s="26"/>
      <c r="J830" s="25"/>
      <c r="K830" s="25"/>
      <c r="L830" s="26"/>
      <c r="M830" s="25"/>
      <c r="N830" s="25"/>
      <c r="O830" s="26"/>
      <c r="P830" s="26"/>
      <c r="Q830" s="26"/>
      <c r="R830" s="26"/>
      <c r="S830" s="25"/>
      <c r="T830" s="26"/>
      <c r="U830" s="26"/>
      <c r="V830" s="25"/>
      <c r="W830" s="25"/>
      <c r="X830" s="26"/>
      <c r="Y830" s="25"/>
      <c r="Z830" s="10"/>
    </row>
    <row r="831" spans="1:26" ht="12.75">
      <c r="A831" s="25"/>
      <c r="B831" s="25"/>
      <c r="C831" s="25"/>
      <c r="D831" s="26"/>
      <c r="E831" s="26"/>
      <c r="F831" s="26"/>
      <c r="G831" s="26"/>
      <c r="H831" s="25"/>
      <c r="I831" s="26"/>
      <c r="J831" s="25"/>
      <c r="K831" s="25"/>
      <c r="L831" s="26"/>
      <c r="M831" s="25"/>
      <c r="N831" s="25"/>
      <c r="O831" s="26"/>
      <c r="P831" s="26"/>
      <c r="Q831" s="26"/>
      <c r="R831" s="26"/>
      <c r="S831" s="25"/>
      <c r="T831" s="26"/>
      <c r="U831" s="26"/>
      <c r="V831" s="25"/>
      <c r="W831" s="25"/>
      <c r="X831" s="26"/>
      <c r="Y831" s="25"/>
      <c r="Z831" s="10"/>
    </row>
    <row r="832" spans="1:26" ht="12.75">
      <c r="A832" s="25"/>
      <c r="B832" s="25"/>
      <c r="C832" s="25"/>
      <c r="D832" s="26"/>
      <c r="E832" s="26"/>
      <c r="F832" s="26"/>
      <c r="G832" s="26"/>
      <c r="H832" s="25"/>
      <c r="I832" s="26"/>
      <c r="J832" s="25"/>
      <c r="K832" s="25"/>
      <c r="L832" s="26"/>
      <c r="M832" s="25"/>
      <c r="N832" s="25"/>
      <c r="O832" s="26"/>
      <c r="P832" s="26"/>
      <c r="Q832" s="26"/>
      <c r="R832" s="26"/>
      <c r="S832" s="25"/>
      <c r="T832" s="26"/>
      <c r="U832" s="26"/>
      <c r="V832" s="25"/>
      <c r="W832" s="25"/>
      <c r="X832" s="26"/>
      <c r="Y832" s="25"/>
      <c r="Z832" s="10"/>
    </row>
    <row r="833" spans="1:26" ht="12.75">
      <c r="A833" s="25"/>
      <c r="B833" s="25"/>
      <c r="C833" s="25"/>
      <c r="D833" s="26"/>
      <c r="E833" s="26"/>
      <c r="F833" s="26"/>
      <c r="G833" s="26"/>
      <c r="H833" s="25"/>
      <c r="I833" s="26"/>
      <c r="J833" s="25"/>
      <c r="K833" s="25"/>
      <c r="L833" s="26"/>
      <c r="M833" s="25"/>
      <c r="N833" s="25"/>
      <c r="O833" s="26"/>
      <c r="P833" s="26"/>
      <c r="Q833" s="26"/>
      <c r="R833" s="26"/>
      <c r="S833" s="25"/>
      <c r="T833" s="26"/>
      <c r="U833" s="26"/>
      <c r="V833" s="25"/>
      <c r="W833" s="25"/>
      <c r="X833" s="26"/>
      <c r="Y833" s="25"/>
      <c r="Z833" s="10"/>
    </row>
    <row r="834" spans="1:26" ht="12.75">
      <c r="A834" s="25"/>
      <c r="B834" s="25"/>
      <c r="C834" s="25"/>
      <c r="D834" s="26"/>
      <c r="E834" s="26"/>
      <c r="F834" s="26"/>
      <c r="G834" s="26"/>
      <c r="H834" s="25"/>
      <c r="I834" s="26"/>
      <c r="J834" s="25"/>
      <c r="K834" s="25"/>
      <c r="L834" s="26"/>
      <c r="M834" s="25"/>
      <c r="N834" s="25"/>
      <c r="O834" s="26"/>
      <c r="P834" s="26"/>
      <c r="Q834" s="26"/>
      <c r="R834" s="26"/>
      <c r="S834" s="25"/>
      <c r="T834" s="26"/>
      <c r="U834" s="26"/>
      <c r="V834" s="25"/>
      <c r="W834" s="25"/>
      <c r="X834" s="26"/>
      <c r="Y834" s="25"/>
      <c r="Z834" s="10"/>
    </row>
    <row r="835" spans="1:26" ht="12.75">
      <c r="A835" s="25"/>
      <c r="B835" s="25"/>
      <c r="C835" s="25"/>
      <c r="D835" s="26"/>
      <c r="E835" s="26"/>
      <c r="F835" s="26"/>
      <c r="G835" s="26"/>
      <c r="H835" s="25"/>
      <c r="I835" s="26"/>
      <c r="J835" s="25"/>
      <c r="K835" s="25"/>
      <c r="L835" s="26"/>
      <c r="M835" s="25"/>
      <c r="N835" s="25"/>
      <c r="O835" s="26"/>
      <c r="P835" s="26"/>
      <c r="Q835" s="26"/>
      <c r="R835" s="26"/>
      <c r="S835" s="25"/>
      <c r="T835" s="26"/>
      <c r="U835" s="26"/>
      <c r="V835" s="25"/>
      <c r="W835" s="25"/>
      <c r="X835" s="26"/>
      <c r="Y835" s="25"/>
      <c r="Z835" s="10"/>
    </row>
    <row r="836" spans="1:26" ht="12.75">
      <c r="A836" s="25"/>
      <c r="B836" s="25"/>
      <c r="C836" s="25"/>
      <c r="D836" s="26"/>
      <c r="E836" s="26"/>
      <c r="F836" s="26"/>
      <c r="G836" s="26"/>
      <c r="H836" s="25"/>
      <c r="I836" s="26"/>
      <c r="J836" s="25"/>
      <c r="K836" s="25"/>
      <c r="L836" s="26"/>
      <c r="M836" s="25"/>
      <c r="N836" s="25"/>
      <c r="O836" s="26"/>
      <c r="P836" s="26"/>
      <c r="Q836" s="26"/>
      <c r="R836" s="26"/>
      <c r="S836" s="25"/>
      <c r="T836" s="26"/>
      <c r="U836" s="26"/>
      <c r="V836" s="25"/>
      <c r="W836" s="25"/>
      <c r="X836" s="26"/>
      <c r="Y836" s="25"/>
      <c r="Z836" s="10"/>
    </row>
    <row r="837" spans="1:26" ht="12.75">
      <c r="A837" s="25"/>
      <c r="B837" s="25"/>
      <c r="C837" s="25"/>
      <c r="D837" s="26"/>
      <c r="E837" s="26"/>
      <c r="F837" s="26"/>
      <c r="G837" s="26"/>
      <c r="H837" s="25"/>
      <c r="I837" s="26"/>
      <c r="J837" s="25"/>
      <c r="K837" s="25"/>
      <c r="L837" s="26"/>
      <c r="M837" s="25"/>
      <c r="N837" s="25"/>
      <c r="O837" s="26"/>
      <c r="P837" s="26"/>
      <c r="Q837" s="26"/>
      <c r="R837" s="26"/>
      <c r="S837" s="25"/>
      <c r="T837" s="26"/>
      <c r="U837" s="26"/>
      <c r="V837" s="25"/>
      <c r="W837" s="25"/>
      <c r="X837" s="26"/>
      <c r="Y837" s="25"/>
      <c r="Z837" s="10"/>
    </row>
    <row r="838" spans="1:26" ht="12.75">
      <c r="A838" s="25"/>
      <c r="B838" s="25"/>
      <c r="C838" s="25"/>
      <c r="D838" s="26"/>
      <c r="E838" s="26"/>
      <c r="F838" s="26"/>
      <c r="G838" s="26"/>
      <c r="H838" s="25"/>
      <c r="I838" s="26"/>
      <c r="J838" s="25"/>
      <c r="K838" s="25"/>
      <c r="L838" s="26"/>
      <c r="M838" s="25"/>
      <c r="N838" s="25"/>
      <c r="O838" s="26"/>
      <c r="P838" s="26"/>
      <c r="Q838" s="26"/>
      <c r="R838" s="26"/>
      <c r="S838" s="25"/>
      <c r="T838" s="26"/>
      <c r="U838" s="26"/>
      <c r="V838" s="25"/>
      <c r="W838" s="25"/>
      <c r="X838" s="26"/>
      <c r="Y838" s="25"/>
      <c r="Z838" s="10"/>
    </row>
    <row r="839" spans="1:26" ht="12.75">
      <c r="A839" s="25"/>
      <c r="B839" s="25"/>
      <c r="C839" s="25"/>
      <c r="D839" s="26"/>
      <c r="E839" s="26"/>
      <c r="F839" s="26"/>
      <c r="G839" s="26"/>
      <c r="H839" s="25"/>
      <c r="I839" s="26"/>
      <c r="J839" s="25"/>
      <c r="K839" s="25"/>
      <c r="L839" s="26"/>
      <c r="M839" s="25"/>
      <c r="N839" s="25"/>
      <c r="O839" s="26"/>
      <c r="P839" s="26"/>
      <c r="Q839" s="26"/>
      <c r="R839" s="26"/>
      <c r="S839" s="25"/>
      <c r="T839" s="26"/>
      <c r="U839" s="26"/>
      <c r="V839" s="25"/>
      <c r="W839" s="25"/>
      <c r="X839" s="26"/>
      <c r="Y839" s="25"/>
      <c r="Z839" s="10"/>
    </row>
    <row r="840" spans="1:26" ht="12.75">
      <c r="A840" s="25"/>
      <c r="B840" s="25"/>
      <c r="C840" s="25"/>
      <c r="D840" s="26"/>
      <c r="E840" s="26"/>
      <c r="F840" s="26"/>
      <c r="G840" s="26"/>
      <c r="H840" s="25"/>
      <c r="I840" s="26"/>
      <c r="J840" s="25"/>
      <c r="K840" s="25"/>
      <c r="L840" s="26"/>
      <c r="M840" s="25"/>
      <c r="N840" s="25"/>
      <c r="O840" s="26"/>
      <c r="P840" s="26"/>
      <c r="Q840" s="26"/>
      <c r="R840" s="26"/>
      <c r="S840" s="25"/>
      <c r="T840" s="26"/>
      <c r="U840" s="26"/>
      <c r="V840" s="25"/>
      <c r="W840" s="25"/>
      <c r="X840" s="26"/>
      <c r="Y840" s="25"/>
      <c r="Z840" s="10"/>
    </row>
    <row r="841" spans="1:26" ht="12.75">
      <c r="A841" s="25"/>
      <c r="B841" s="25"/>
      <c r="C841" s="25"/>
      <c r="D841" s="26"/>
      <c r="E841" s="26"/>
      <c r="F841" s="26"/>
      <c r="G841" s="26"/>
      <c r="H841" s="25"/>
      <c r="I841" s="26"/>
      <c r="J841" s="25"/>
      <c r="K841" s="25"/>
      <c r="L841" s="26"/>
      <c r="M841" s="25"/>
      <c r="N841" s="25"/>
      <c r="O841" s="26"/>
      <c r="P841" s="26"/>
      <c r="Q841" s="26"/>
      <c r="R841" s="26"/>
      <c r="S841" s="25"/>
      <c r="T841" s="26"/>
      <c r="U841" s="26"/>
      <c r="V841" s="25"/>
      <c r="W841" s="25"/>
      <c r="X841" s="26"/>
      <c r="Y841" s="25"/>
      <c r="Z841" s="10"/>
    </row>
    <row r="842" spans="1:26" ht="12.75">
      <c r="A842" s="25"/>
      <c r="B842" s="25"/>
      <c r="C842" s="25"/>
      <c r="D842" s="26"/>
      <c r="E842" s="26"/>
      <c r="F842" s="26"/>
      <c r="G842" s="26"/>
      <c r="H842" s="25"/>
      <c r="I842" s="26"/>
      <c r="J842" s="25"/>
      <c r="K842" s="25"/>
      <c r="L842" s="26"/>
      <c r="M842" s="25"/>
      <c r="N842" s="25"/>
      <c r="O842" s="26"/>
      <c r="P842" s="26"/>
      <c r="Q842" s="26"/>
      <c r="R842" s="26"/>
      <c r="S842" s="25"/>
      <c r="T842" s="26"/>
      <c r="U842" s="26"/>
      <c r="V842" s="25"/>
      <c r="W842" s="25"/>
      <c r="X842" s="26"/>
      <c r="Y842" s="25"/>
      <c r="Z842" s="10"/>
    </row>
    <row r="843" spans="1:26" ht="12.75">
      <c r="A843" s="25"/>
      <c r="B843" s="25"/>
      <c r="C843" s="25"/>
      <c r="D843" s="26"/>
      <c r="E843" s="26"/>
      <c r="F843" s="26"/>
      <c r="G843" s="26"/>
      <c r="H843" s="25"/>
      <c r="I843" s="26"/>
      <c r="J843" s="25"/>
      <c r="K843" s="25"/>
      <c r="L843" s="26"/>
      <c r="M843" s="25"/>
      <c r="N843" s="25"/>
      <c r="O843" s="26"/>
      <c r="P843" s="26"/>
      <c r="Q843" s="26"/>
      <c r="R843" s="26"/>
      <c r="S843" s="25"/>
      <c r="T843" s="26"/>
      <c r="U843" s="26"/>
      <c r="V843" s="25"/>
      <c r="W843" s="25"/>
      <c r="X843" s="26"/>
      <c r="Y843" s="25"/>
      <c r="Z843" s="10"/>
    </row>
    <row r="844" spans="1:26" ht="12.75">
      <c r="A844" s="25"/>
      <c r="B844" s="25"/>
      <c r="C844" s="25"/>
      <c r="D844" s="26"/>
      <c r="E844" s="26"/>
      <c r="F844" s="26"/>
      <c r="G844" s="26"/>
      <c r="H844" s="25"/>
      <c r="I844" s="26"/>
      <c r="J844" s="25"/>
      <c r="K844" s="25"/>
      <c r="L844" s="26"/>
      <c r="M844" s="25"/>
      <c r="N844" s="25"/>
      <c r="O844" s="26"/>
      <c r="P844" s="26"/>
      <c r="Q844" s="26"/>
      <c r="R844" s="26"/>
      <c r="S844" s="25"/>
      <c r="T844" s="26"/>
      <c r="U844" s="26"/>
      <c r="V844" s="25"/>
      <c r="W844" s="25"/>
      <c r="X844" s="26"/>
      <c r="Y844" s="25"/>
      <c r="Z844" s="10"/>
    </row>
    <row r="845" spans="1:26" ht="12.75">
      <c r="A845" s="25"/>
      <c r="B845" s="25"/>
      <c r="C845" s="25"/>
      <c r="D845" s="26"/>
      <c r="E845" s="26"/>
      <c r="F845" s="26"/>
      <c r="G845" s="26"/>
      <c r="H845" s="25"/>
      <c r="I845" s="26"/>
      <c r="J845" s="25"/>
      <c r="K845" s="25"/>
      <c r="L845" s="26"/>
      <c r="M845" s="25"/>
      <c r="N845" s="25"/>
      <c r="O845" s="26"/>
      <c r="P845" s="26"/>
      <c r="Q845" s="26"/>
      <c r="R845" s="26"/>
      <c r="S845" s="25"/>
      <c r="T845" s="26"/>
      <c r="U845" s="26"/>
      <c r="V845" s="25"/>
      <c r="W845" s="25"/>
      <c r="X845" s="26"/>
      <c r="Y845" s="25"/>
      <c r="Z845" s="10"/>
    </row>
    <row r="846" spans="1:26" ht="12.75">
      <c r="A846" s="25"/>
      <c r="B846" s="25"/>
      <c r="C846" s="25"/>
      <c r="D846" s="26"/>
      <c r="E846" s="26"/>
      <c r="F846" s="26"/>
      <c r="G846" s="26"/>
      <c r="H846" s="25"/>
      <c r="I846" s="26"/>
      <c r="J846" s="25"/>
      <c r="K846" s="25"/>
      <c r="L846" s="26"/>
      <c r="M846" s="25"/>
      <c r="N846" s="25"/>
      <c r="O846" s="26"/>
      <c r="P846" s="26"/>
      <c r="Q846" s="26"/>
      <c r="R846" s="26"/>
      <c r="S846" s="25"/>
      <c r="T846" s="26"/>
      <c r="U846" s="26"/>
      <c r="V846" s="25"/>
      <c r="W846" s="25"/>
      <c r="X846" s="26"/>
      <c r="Y846" s="25"/>
      <c r="Z846" s="10"/>
    </row>
    <row r="847" spans="1:26" ht="12.75">
      <c r="A847" s="25"/>
      <c r="B847" s="25"/>
      <c r="C847" s="25"/>
      <c r="D847" s="26"/>
      <c r="E847" s="26"/>
      <c r="F847" s="26"/>
      <c r="G847" s="26"/>
      <c r="H847" s="25"/>
      <c r="I847" s="26"/>
      <c r="J847" s="25"/>
      <c r="K847" s="25"/>
      <c r="L847" s="26"/>
      <c r="M847" s="25"/>
      <c r="N847" s="25"/>
      <c r="O847" s="26"/>
      <c r="P847" s="26"/>
      <c r="Q847" s="26"/>
      <c r="R847" s="26"/>
      <c r="S847" s="25"/>
      <c r="T847" s="26"/>
      <c r="U847" s="26"/>
      <c r="V847" s="25"/>
      <c r="W847" s="25"/>
      <c r="X847" s="26"/>
      <c r="Y847" s="25"/>
      <c r="Z847" s="10"/>
    </row>
    <row r="848" spans="1:26" ht="12.75">
      <c r="A848" s="25"/>
      <c r="B848" s="25"/>
      <c r="C848" s="25"/>
      <c r="D848" s="26"/>
      <c r="E848" s="26"/>
      <c r="F848" s="26"/>
      <c r="G848" s="26"/>
      <c r="H848" s="25"/>
      <c r="I848" s="26"/>
      <c r="J848" s="25"/>
      <c r="K848" s="25"/>
      <c r="L848" s="26"/>
      <c r="M848" s="25"/>
      <c r="N848" s="25"/>
      <c r="O848" s="26"/>
      <c r="P848" s="26"/>
      <c r="Q848" s="26"/>
      <c r="R848" s="26"/>
      <c r="S848" s="25"/>
      <c r="T848" s="26"/>
      <c r="U848" s="26"/>
      <c r="V848" s="25"/>
      <c r="W848" s="25"/>
      <c r="X848" s="26"/>
      <c r="Y848" s="25"/>
      <c r="Z848" s="10"/>
    </row>
    <row r="849" spans="1:26" ht="12.75">
      <c r="A849" s="25"/>
      <c r="B849" s="25"/>
      <c r="C849" s="25"/>
      <c r="D849" s="26"/>
      <c r="E849" s="26"/>
      <c r="F849" s="26"/>
      <c r="G849" s="26"/>
      <c r="H849" s="25"/>
      <c r="I849" s="26"/>
      <c r="J849" s="25"/>
      <c r="K849" s="25"/>
      <c r="L849" s="26"/>
      <c r="M849" s="25"/>
      <c r="N849" s="25"/>
      <c r="O849" s="26"/>
      <c r="P849" s="26"/>
      <c r="Q849" s="26"/>
      <c r="R849" s="26"/>
      <c r="S849" s="25"/>
      <c r="T849" s="26"/>
      <c r="U849" s="26"/>
      <c r="V849" s="25"/>
      <c r="W849" s="25"/>
      <c r="X849" s="26"/>
      <c r="Y849" s="25"/>
      <c r="Z849" s="10"/>
    </row>
    <row r="850" spans="1:26" ht="12.75">
      <c r="A850" s="25"/>
      <c r="B850" s="25"/>
      <c r="C850" s="25"/>
      <c r="D850" s="26"/>
      <c r="E850" s="26"/>
      <c r="F850" s="26"/>
      <c r="G850" s="26"/>
      <c r="H850" s="25"/>
      <c r="I850" s="26"/>
      <c r="J850" s="25"/>
      <c r="K850" s="25"/>
      <c r="L850" s="26"/>
      <c r="M850" s="25"/>
      <c r="N850" s="25"/>
      <c r="O850" s="26"/>
      <c r="P850" s="26"/>
      <c r="Q850" s="26"/>
      <c r="R850" s="26"/>
      <c r="S850" s="25"/>
      <c r="T850" s="26"/>
      <c r="U850" s="26"/>
      <c r="V850" s="25"/>
      <c r="W850" s="25"/>
      <c r="X850" s="26"/>
      <c r="Y850" s="25"/>
      <c r="Z850" s="10"/>
    </row>
    <row r="851" spans="1:26" ht="12.75">
      <c r="A851" s="25"/>
      <c r="B851" s="25"/>
      <c r="C851" s="25"/>
      <c r="D851" s="26"/>
      <c r="E851" s="26"/>
      <c r="F851" s="26"/>
      <c r="G851" s="26"/>
      <c r="H851" s="25"/>
      <c r="I851" s="26"/>
      <c r="J851" s="25"/>
      <c r="K851" s="25"/>
      <c r="L851" s="26"/>
      <c r="M851" s="25"/>
      <c r="N851" s="25"/>
      <c r="O851" s="26"/>
      <c r="P851" s="26"/>
      <c r="Q851" s="26"/>
      <c r="R851" s="26"/>
      <c r="S851" s="25"/>
      <c r="T851" s="26"/>
      <c r="U851" s="26"/>
      <c r="V851" s="25"/>
      <c r="W851" s="25"/>
      <c r="X851" s="26"/>
      <c r="Y851" s="25"/>
      <c r="Z851" s="10"/>
    </row>
    <row r="852" spans="1:26" ht="12.75">
      <c r="A852" s="25"/>
      <c r="B852" s="25"/>
      <c r="C852" s="25"/>
      <c r="D852" s="26"/>
      <c r="E852" s="26"/>
      <c r="F852" s="26"/>
      <c r="G852" s="26"/>
      <c r="H852" s="25"/>
      <c r="I852" s="26"/>
      <c r="J852" s="25"/>
      <c r="K852" s="25"/>
      <c r="L852" s="26"/>
      <c r="M852" s="25"/>
      <c r="N852" s="25"/>
      <c r="O852" s="26"/>
      <c r="P852" s="26"/>
      <c r="Q852" s="26"/>
      <c r="R852" s="26"/>
      <c r="S852" s="25"/>
      <c r="T852" s="26"/>
      <c r="U852" s="26"/>
      <c r="V852" s="25"/>
      <c r="W852" s="25"/>
      <c r="X852" s="26"/>
      <c r="Y852" s="25"/>
      <c r="Z852" s="10"/>
    </row>
    <row r="853" spans="1:26" ht="12.75">
      <c r="A853" s="25"/>
      <c r="B853" s="25"/>
      <c r="C853" s="25"/>
      <c r="D853" s="26"/>
      <c r="E853" s="26"/>
      <c r="F853" s="26"/>
      <c r="G853" s="26"/>
      <c r="H853" s="25"/>
      <c r="I853" s="26"/>
      <c r="J853" s="25"/>
      <c r="K853" s="25"/>
      <c r="L853" s="26"/>
      <c r="M853" s="25"/>
      <c r="N853" s="25"/>
      <c r="O853" s="26"/>
      <c r="P853" s="26"/>
      <c r="Q853" s="26"/>
      <c r="R853" s="26"/>
      <c r="S853" s="25"/>
      <c r="T853" s="26"/>
      <c r="U853" s="26"/>
      <c r="V853" s="25"/>
      <c r="W853" s="25"/>
      <c r="X853" s="26"/>
      <c r="Y853" s="25"/>
      <c r="Z853" s="10"/>
    </row>
    <row r="854" spans="1:26" ht="12.75">
      <c r="A854" s="25"/>
      <c r="B854" s="25"/>
      <c r="C854" s="25"/>
      <c r="D854" s="26"/>
      <c r="E854" s="26"/>
      <c r="F854" s="26"/>
      <c r="G854" s="26"/>
      <c r="H854" s="25"/>
      <c r="I854" s="26"/>
      <c r="J854" s="25"/>
      <c r="K854" s="25"/>
      <c r="L854" s="26"/>
      <c r="M854" s="25"/>
      <c r="N854" s="25"/>
      <c r="O854" s="26"/>
      <c r="P854" s="26"/>
      <c r="Q854" s="26"/>
      <c r="R854" s="26"/>
      <c r="S854" s="25"/>
      <c r="T854" s="26"/>
      <c r="U854" s="26"/>
      <c r="V854" s="25"/>
      <c r="W854" s="25"/>
      <c r="X854" s="26"/>
      <c r="Y854" s="25"/>
      <c r="Z854" s="10"/>
    </row>
    <row r="855" spans="1:26" ht="12.75">
      <c r="A855" s="25"/>
      <c r="B855" s="25"/>
      <c r="C855" s="25"/>
      <c r="D855" s="26"/>
      <c r="E855" s="26"/>
      <c r="F855" s="26"/>
      <c r="G855" s="26"/>
      <c r="H855" s="25"/>
      <c r="I855" s="26"/>
      <c r="J855" s="25"/>
      <c r="K855" s="25"/>
      <c r="L855" s="26"/>
      <c r="M855" s="25"/>
      <c r="N855" s="25"/>
      <c r="O855" s="26"/>
      <c r="P855" s="26"/>
      <c r="Q855" s="26"/>
      <c r="R855" s="26"/>
      <c r="S855" s="25"/>
      <c r="T855" s="26"/>
      <c r="U855" s="26"/>
      <c r="V855" s="25"/>
      <c r="W855" s="25"/>
      <c r="X855" s="26"/>
      <c r="Y855" s="25"/>
      <c r="Z855" s="10"/>
    </row>
    <row r="856" spans="1:26" ht="12.75">
      <c r="A856" s="25"/>
      <c r="B856" s="25"/>
      <c r="C856" s="25"/>
      <c r="D856" s="26"/>
      <c r="E856" s="26"/>
      <c r="F856" s="26"/>
      <c r="G856" s="26"/>
      <c r="H856" s="25"/>
      <c r="I856" s="26"/>
      <c r="J856" s="25"/>
      <c r="K856" s="25"/>
      <c r="L856" s="26"/>
      <c r="M856" s="25"/>
      <c r="N856" s="25"/>
      <c r="O856" s="26"/>
      <c r="P856" s="26"/>
      <c r="Q856" s="26"/>
      <c r="R856" s="26"/>
      <c r="S856" s="25"/>
      <c r="T856" s="26"/>
      <c r="U856" s="26"/>
      <c r="V856" s="25"/>
      <c r="W856" s="25"/>
      <c r="X856" s="26"/>
      <c r="Y856" s="25"/>
      <c r="Z856" s="10"/>
    </row>
    <row r="857" spans="1:26" ht="12.75">
      <c r="A857" s="25"/>
      <c r="B857" s="25"/>
      <c r="C857" s="25"/>
      <c r="D857" s="26"/>
      <c r="E857" s="26"/>
      <c r="F857" s="26"/>
      <c r="G857" s="26"/>
      <c r="H857" s="25"/>
      <c r="I857" s="26"/>
      <c r="J857" s="25"/>
      <c r="K857" s="25"/>
      <c r="L857" s="26"/>
      <c r="M857" s="25"/>
      <c r="N857" s="25"/>
      <c r="O857" s="26"/>
      <c r="P857" s="26"/>
      <c r="Q857" s="26"/>
      <c r="R857" s="26"/>
      <c r="S857" s="25"/>
      <c r="T857" s="26"/>
      <c r="U857" s="26"/>
      <c r="V857" s="25"/>
      <c r="W857" s="25"/>
      <c r="X857" s="26"/>
      <c r="Y857" s="25"/>
      <c r="Z857" s="10"/>
    </row>
    <row r="858" spans="1:26" ht="12.75">
      <c r="A858" s="25"/>
      <c r="B858" s="25"/>
      <c r="C858" s="25"/>
      <c r="D858" s="26"/>
      <c r="E858" s="26"/>
      <c r="F858" s="26"/>
      <c r="G858" s="26"/>
      <c r="H858" s="25"/>
      <c r="I858" s="26"/>
      <c r="J858" s="25"/>
      <c r="K858" s="25"/>
      <c r="L858" s="26"/>
      <c r="M858" s="25"/>
      <c r="N858" s="25"/>
      <c r="O858" s="26"/>
      <c r="P858" s="26"/>
      <c r="Q858" s="26"/>
      <c r="R858" s="26"/>
      <c r="S858" s="25"/>
      <c r="T858" s="26"/>
      <c r="U858" s="26"/>
      <c r="V858" s="25"/>
      <c r="W858" s="25"/>
      <c r="X858" s="26"/>
      <c r="Y858" s="25"/>
      <c r="Z858" s="10"/>
    </row>
    <row r="859" spans="1:26" ht="12.75">
      <c r="A859" s="25"/>
      <c r="B859" s="25"/>
      <c r="C859" s="25"/>
      <c r="D859" s="26"/>
      <c r="E859" s="26"/>
      <c r="F859" s="26"/>
      <c r="G859" s="26"/>
      <c r="H859" s="25"/>
      <c r="I859" s="26"/>
      <c r="J859" s="25"/>
      <c r="K859" s="25"/>
      <c r="L859" s="26"/>
      <c r="M859" s="25"/>
      <c r="N859" s="25"/>
      <c r="O859" s="26"/>
      <c r="P859" s="26"/>
      <c r="Q859" s="26"/>
      <c r="R859" s="26"/>
      <c r="S859" s="25"/>
      <c r="T859" s="26"/>
      <c r="U859" s="26"/>
      <c r="V859" s="25"/>
      <c r="W859" s="25"/>
      <c r="X859" s="26"/>
      <c r="Y859" s="25"/>
      <c r="Z859" s="10"/>
    </row>
    <row r="860" spans="1:26" ht="12.75">
      <c r="A860" s="25"/>
      <c r="B860" s="25"/>
      <c r="C860" s="25"/>
      <c r="D860" s="26"/>
      <c r="E860" s="26"/>
      <c r="F860" s="26"/>
      <c r="G860" s="26"/>
      <c r="H860" s="25"/>
      <c r="I860" s="26"/>
      <c r="J860" s="25"/>
      <c r="K860" s="25"/>
      <c r="L860" s="26"/>
      <c r="M860" s="25"/>
      <c r="N860" s="25"/>
      <c r="O860" s="26"/>
      <c r="P860" s="26"/>
      <c r="Q860" s="26"/>
      <c r="R860" s="26"/>
      <c r="S860" s="25"/>
      <c r="T860" s="26"/>
      <c r="U860" s="26"/>
      <c r="V860" s="25"/>
      <c r="W860" s="25"/>
      <c r="X860" s="26"/>
      <c r="Y860" s="25"/>
      <c r="Z860" s="10"/>
    </row>
    <row r="861" spans="1:26" ht="12.75">
      <c r="A861" s="25"/>
      <c r="B861" s="25"/>
      <c r="C861" s="25"/>
      <c r="D861" s="26"/>
      <c r="E861" s="26"/>
      <c r="F861" s="26"/>
      <c r="G861" s="26"/>
      <c r="H861" s="25"/>
      <c r="I861" s="26"/>
      <c r="J861" s="25"/>
      <c r="K861" s="25"/>
      <c r="L861" s="26"/>
      <c r="M861" s="25"/>
      <c r="N861" s="25"/>
      <c r="O861" s="26"/>
      <c r="P861" s="26"/>
      <c r="Q861" s="26"/>
      <c r="R861" s="26"/>
      <c r="S861" s="25"/>
      <c r="T861" s="26"/>
      <c r="U861" s="26"/>
      <c r="V861" s="25"/>
      <c r="W861" s="25"/>
      <c r="X861" s="26"/>
      <c r="Y861" s="25"/>
      <c r="Z861" s="10"/>
    </row>
    <row r="862" spans="1:26" ht="12.75">
      <c r="A862" s="25"/>
      <c r="B862" s="25"/>
      <c r="C862" s="25"/>
      <c r="D862" s="26"/>
      <c r="E862" s="26"/>
      <c r="F862" s="26"/>
      <c r="G862" s="26"/>
      <c r="H862" s="25"/>
      <c r="I862" s="26"/>
      <c r="J862" s="25"/>
      <c r="K862" s="25"/>
      <c r="L862" s="26"/>
      <c r="M862" s="25"/>
      <c r="N862" s="25"/>
      <c r="O862" s="26"/>
      <c r="P862" s="26"/>
      <c r="Q862" s="26"/>
      <c r="R862" s="26"/>
      <c r="S862" s="25"/>
      <c r="T862" s="26"/>
      <c r="U862" s="26"/>
      <c r="V862" s="25"/>
      <c r="W862" s="25"/>
      <c r="X862" s="26"/>
      <c r="Y862" s="25"/>
      <c r="Z862" s="10"/>
    </row>
    <row r="863" spans="1:26" ht="12.75">
      <c r="A863" s="25"/>
      <c r="B863" s="25"/>
      <c r="C863" s="25"/>
      <c r="D863" s="26"/>
      <c r="E863" s="26"/>
      <c r="F863" s="26"/>
      <c r="G863" s="26"/>
      <c r="H863" s="25"/>
      <c r="I863" s="26"/>
      <c r="J863" s="25"/>
      <c r="K863" s="25"/>
      <c r="L863" s="26"/>
      <c r="M863" s="25"/>
      <c r="N863" s="25"/>
      <c r="O863" s="26"/>
      <c r="P863" s="26"/>
      <c r="Q863" s="26"/>
      <c r="R863" s="26"/>
      <c r="S863" s="25"/>
      <c r="T863" s="26"/>
      <c r="U863" s="26"/>
      <c r="V863" s="25"/>
      <c r="W863" s="25"/>
      <c r="X863" s="26"/>
      <c r="Y863" s="25"/>
      <c r="Z863" s="10"/>
    </row>
    <row r="864" spans="1:26" ht="12.75">
      <c r="A864" s="25"/>
      <c r="B864" s="25"/>
      <c r="C864" s="25"/>
      <c r="D864" s="26"/>
      <c r="E864" s="26"/>
      <c r="F864" s="26"/>
      <c r="G864" s="26"/>
      <c r="H864" s="25"/>
      <c r="I864" s="26"/>
      <c r="J864" s="25"/>
      <c r="K864" s="25"/>
      <c r="L864" s="26"/>
      <c r="M864" s="25"/>
      <c r="N864" s="25"/>
      <c r="O864" s="26"/>
      <c r="P864" s="26"/>
      <c r="Q864" s="26"/>
      <c r="R864" s="26"/>
      <c r="S864" s="25"/>
      <c r="T864" s="26"/>
      <c r="U864" s="26"/>
      <c r="V864" s="25"/>
      <c r="W864" s="25"/>
      <c r="X864" s="26"/>
      <c r="Y864" s="25"/>
      <c r="Z864" s="10"/>
    </row>
    <row r="865" spans="1:26" ht="12.75">
      <c r="A865" s="25"/>
      <c r="B865" s="25"/>
      <c r="C865" s="25"/>
      <c r="D865" s="26"/>
      <c r="E865" s="26"/>
      <c r="F865" s="26"/>
      <c r="G865" s="26"/>
      <c r="H865" s="25"/>
      <c r="I865" s="26"/>
      <c r="J865" s="25"/>
      <c r="K865" s="25"/>
      <c r="L865" s="26"/>
      <c r="M865" s="25"/>
      <c r="N865" s="25"/>
      <c r="O865" s="26"/>
      <c r="P865" s="26"/>
      <c r="Q865" s="26"/>
      <c r="R865" s="26"/>
      <c r="S865" s="25"/>
      <c r="T865" s="26"/>
      <c r="U865" s="26"/>
      <c r="V865" s="25"/>
      <c r="W865" s="25"/>
      <c r="X865" s="26"/>
      <c r="Y865" s="25"/>
      <c r="Z865" s="10"/>
    </row>
    <row r="866" spans="1:26" ht="12.75">
      <c r="A866" s="25"/>
      <c r="B866" s="25"/>
      <c r="C866" s="25"/>
      <c r="D866" s="26"/>
      <c r="E866" s="26"/>
      <c r="F866" s="26"/>
      <c r="G866" s="26"/>
      <c r="H866" s="25"/>
      <c r="I866" s="26"/>
      <c r="J866" s="25"/>
      <c r="K866" s="25"/>
      <c r="L866" s="26"/>
      <c r="M866" s="25"/>
      <c r="N866" s="25"/>
      <c r="O866" s="26"/>
      <c r="P866" s="26"/>
      <c r="Q866" s="26"/>
      <c r="R866" s="26"/>
      <c r="S866" s="25"/>
      <c r="T866" s="26"/>
      <c r="U866" s="26"/>
      <c r="V866" s="25"/>
      <c r="W866" s="25"/>
      <c r="X866" s="26"/>
      <c r="Y866" s="25"/>
      <c r="Z866" s="10"/>
    </row>
    <row r="867" spans="1:26" ht="12.75">
      <c r="A867" s="25"/>
      <c r="B867" s="25"/>
      <c r="C867" s="25"/>
      <c r="D867" s="26"/>
      <c r="E867" s="26"/>
      <c r="F867" s="26"/>
      <c r="G867" s="26"/>
      <c r="H867" s="25"/>
      <c r="I867" s="26"/>
      <c r="J867" s="25"/>
      <c r="K867" s="25"/>
      <c r="L867" s="26"/>
      <c r="M867" s="25"/>
      <c r="N867" s="25"/>
      <c r="O867" s="26"/>
      <c r="P867" s="26"/>
      <c r="Q867" s="26"/>
      <c r="R867" s="26"/>
      <c r="S867" s="25"/>
      <c r="T867" s="26"/>
      <c r="U867" s="26"/>
      <c r="V867" s="25"/>
      <c r="W867" s="25"/>
      <c r="X867" s="26"/>
      <c r="Y867" s="25"/>
      <c r="Z867" s="10"/>
    </row>
    <row r="868" spans="1:26" ht="12.75">
      <c r="A868" s="25"/>
      <c r="B868" s="25"/>
      <c r="C868" s="25"/>
      <c r="D868" s="26"/>
      <c r="E868" s="26"/>
      <c r="F868" s="26"/>
      <c r="G868" s="26"/>
      <c r="H868" s="25"/>
      <c r="I868" s="26"/>
      <c r="J868" s="25"/>
      <c r="K868" s="25"/>
      <c r="L868" s="26"/>
      <c r="M868" s="25"/>
      <c r="N868" s="25"/>
      <c r="O868" s="26"/>
      <c r="P868" s="26"/>
      <c r="Q868" s="26"/>
      <c r="R868" s="26"/>
      <c r="S868" s="25"/>
      <c r="T868" s="26"/>
      <c r="U868" s="26"/>
      <c r="V868" s="25"/>
      <c r="W868" s="25"/>
      <c r="X868" s="26"/>
      <c r="Y868" s="25"/>
      <c r="Z868" s="10"/>
    </row>
    <row r="869" spans="1:26" ht="12.75">
      <c r="A869" s="25"/>
      <c r="B869" s="25"/>
      <c r="C869" s="25"/>
      <c r="D869" s="26"/>
      <c r="E869" s="26"/>
      <c r="F869" s="26"/>
      <c r="G869" s="26"/>
      <c r="H869" s="25"/>
      <c r="I869" s="26"/>
      <c r="J869" s="25"/>
      <c r="K869" s="25"/>
      <c r="L869" s="26"/>
      <c r="M869" s="25"/>
      <c r="N869" s="25"/>
      <c r="O869" s="26"/>
      <c r="P869" s="26"/>
      <c r="Q869" s="26"/>
      <c r="R869" s="26"/>
      <c r="S869" s="25"/>
      <c r="T869" s="26"/>
      <c r="U869" s="26"/>
      <c r="V869" s="25"/>
      <c r="W869" s="25"/>
      <c r="X869" s="26"/>
      <c r="Y869" s="25"/>
      <c r="Z869" s="10"/>
    </row>
    <row r="870" spans="1:26" ht="12.75">
      <c r="A870" s="25"/>
      <c r="B870" s="25"/>
      <c r="C870" s="25"/>
      <c r="D870" s="26"/>
      <c r="E870" s="26"/>
      <c r="F870" s="26"/>
      <c r="G870" s="26"/>
      <c r="H870" s="25"/>
      <c r="I870" s="26"/>
      <c r="J870" s="25"/>
      <c r="K870" s="25"/>
      <c r="L870" s="26"/>
      <c r="M870" s="25"/>
      <c r="N870" s="25"/>
      <c r="O870" s="26"/>
      <c r="P870" s="26"/>
      <c r="Q870" s="26"/>
      <c r="R870" s="26"/>
      <c r="S870" s="25"/>
      <c r="T870" s="26"/>
      <c r="U870" s="26"/>
      <c r="V870" s="25"/>
      <c r="W870" s="25"/>
      <c r="X870" s="26"/>
      <c r="Y870" s="25"/>
      <c r="Z870" s="10"/>
    </row>
    <row r="871" spans="1:26" ht="12.75">
      <c r="A871" s="25"/>
      <c r="B871" s="25"/>
      <c r="C871" s="25"/>
      <c r="D871" s="26"/>
      <c r="E871" s="26"/>
      <c r="F871" s="26"/>
      <c r="G871" s="26"/>
      <c r="H871" s="25"/>
      <c r="I871" s="26"/>
      <c r="J871" s="25"/>
      <c r="K871" s="25"/>
      <c r="L871" s="26"/>
      <c r="M871" s="25"/>
      <c r="N871" s="25"/>
      <c r="O871" s="26"/>
      <c r="P871" s="26"/>
      <c r="Q871" s="26"/>
      <c r="R871" s="26"/>
      <c r="S871" s="25"/>
      <c r="T871" s="26"/>
      <c r="U871" s="26"/>
      <c r="V871" s="25"/>
      <c r="W871" s="25"/>
      <c r="X871" s="26"/>
      <c r="Y871" s="25"/>
      <c r="Z871" s="10"/>
    </row>
    <row r="872" spans="1:26" ht="12.75">
      <c r="A872" s="25"/>
      <c r="B872" s="25"/>
      <c r="C872" s="25"/>
      <c r="D872" s="26"/>
      <c r="E872" s="26"/>
      <c r="F872" s="26"/>
      <c r="G872" s="26"/>
      <c r="H872" s="25"/>
      <c r="I872" s="26"/>
      <c r="J872" s="25"/>
      <c r="K872" s="25"/>
      <c r="L872" s="26"/>
      <c r="M872" s="25"/>
      <c r="N872" s="25"/>
      <c r="O872" s="26"/>
      <c r="P872" s="26"/>
      <c r="Q872" s="26"/>
      <c r="R872" s="26"/>
      <c r="S872" s="25"/>
      <c r="T872" s="26"/>
      <c r="U872" s="26"/>
      <c r="V872" s="25"/>
      <c r="W872" s="25"/>
      <c r="X872" s="26"/>
      <c r="Y872" s="25"/>
      <c r="Z872" s="10"/>
    </row>
    <row r="873" spans="1:26" ht="12.75">
      <c r="A873" s="25"/>
      <c r="B873" s="25"/>
      <c r="C873" s="25"/>
      <c r="D873" s="26"/>
      <c r="E873" s="26"/>
      <c r="F873" s="26"/>
      <c r="G873" s="26"/>
      <c r="H873" s="25"/>
      <c r="I873" s="26"/>
      <c r="J873" s="25"/>
      <c r="K873" s="25"/>
      <c r="L873" s="26"/>
      <c r="M873" s="25"/>
      <c r="N873" s="25"/>
      <c r="O873" s="26"/>
      <c r="P873" s="26"/>
      <c r="Q873" s="26"/>
      <c r="R873" s="26"/>
      <c r="S873" s="25"/>
      <c r="T873" s="26"/>
      <c r="U873" s="26"/>
      <c r="V873" s="25"/>
      <c r="W873" s="25"/>
      <c r="X873" s="26"/>
      <c r="Y873" s="25"/>
      <c r="Z873" s="10"/>
    </row>
    <row r="874" spans="1:26" ht="12.75">
      <c r="A874" s="25"/>
      <c r="B874" s="25"/>
      <c r="C874" s="25"/>
      <c r="D874" s="26"/>
      <c r="E874" s="26"/>
      <c r="F874" s="26"/>
      <c r="G874" s="26"/>
      <c r="H874" s="25"/>
      <c r="I874" s="26"/>
      <c r="J874" s="25"/>
      <c r="K874" s="25"/>
      <c r="L874" s="26"/>
      <c r="M874" s="25"/>
      <c r="N874" s="25"/>
      <c r="O874" s="26"/>
      <c r="P874" s="26"/>
      <c r="Q874" s="26"/>
      <c r="R874" s="26"/>
      <c r="S874" s="25"/>
      <c r="T874" s="26"/>
      <c r="U874" s="26"/>
      <c r="V874" s="25"/>
      <c r="W874" s="25"/>
      <c r="X874" s="26"/>
      <c r="Y874" s="25"/>
      <c r="Z874" s="10"/>
    </row>
    <row r="875" spans="1:26" ht="12.75">
      <c r="A875" s="25"/>
      <c r="B875" s="25"/>
      <c r="C875" s="25"/>
      <c r="D875" s="26"/>
      <c r="E875" s="26"/>
      <c r="F875" s="26"/>
      <c r="G875" s="26"/>
      <c r="H875" s="25"/>
      <c r="I875" s="26"/>
      <c r="J875" s="25"/>
      <c r="K875" s="25"/>
      <c r="L875" s="26"/>
      <c r="M875" s="25"/>
      <c r="N875" s="25"/>
      <c r="O875" s="26"/>
      <c r="P875" s="26"/>
      <c r="Q875" s="26"/>
      <c r="R875" s="26"/>
      <c r="S875" s="25"/>
      <c r="T875" s="26"/>
      <c r="U875" s="26"/>
      <c r="V875" s="25"/>
      <c r="W875" s="25"/>
      <c r="X875" s="26"/>
      <c r="Y875" s="25"/>
      <c r="Z875" s="10"/>
    </row>
    <row r="876" spans="1:26" ht="12.75">
      <c r="A876" s="25"/>
      <c r="B876" s="25"/>
      <c r="C876" s="25"/>
      <c r="D876" s="26"/>
      <c r="E876" s="26"/>
      <c r="F876" s="26"/>
      <c r="G876" s="26"/>
      <c r="H876" s="25"/>
      <c r="I876" s="26"/>
      <c r="J876" s="25"/>
      <c r="K876" s="25"/>
      <c r="L876" s="26"/>
      <c r="M876" s="25"/>
      <c r="N876" s="25"/>
      <c r="O876" s="26"/>
      <c r="P876" s="26"/>
      <c r="Q876" s="26"/>
      <c r="R876" s="26"/>
      <c r="S876" s="25"/>
      <c r="T876" s="26"/>
      <c r="U876" s="26"/>
      <c r="V876" s="25"/>
      <c r="W876" s="25"/>
      <c r="X876" s="26"/>
      <c r="Y876" s="25"/>
      <c r="Z876" s="10"/>
    </row>
    <row r="877" spans="1:26" ht="12.75">
      <c r="A877" s="25"/>
      <c r="B877" s="25"/>
      <c r="C877" s="25"/>
      <c r="D877" s="26"/>
      <c r="E877" s="26"/>
      <c r="F877" s="26"/>
      <c r="G877" s="26"/>
      <c r="H877" s="25"/>
      <c r="I877" s="26"/>
      <c r="J877" s="25"/>
      <c r="K877" s="25"/>
      <c r="L877" s="26"/>
      <c r="M877" s="25"/>
      <c r="N877" s="25"/>
      <c r="O877" s="26"/>
      <c r="P877" s="26"/>
      <c r="Q877" s="26"/>
      <c r="R877" s="26"/>
      <c r="S877" s="25"/>
      <c r="T877" s="26"/>
      <c r="U877" s="26"/>
      <c r="V877" s="25"/>
      <c r="W877" s="25"/>
      <c r="X877" s="26"/>
      <c r="Y877" s="25"/>
      <c r="Z877" s="10"/>
    </row>
    <row r="878" spans="1:26" ht="12.75">
      <c r="A878" s="25"/>
      <c r="B878" s="25"/>
      <c r="C878" s="25"/>
      <c r="D878" s="26"/>
      <c r="E878" s="26"/>
      <c r="F878" s="26"/>
      <c r="G878" s="26"/>
      <c r="H878" s="25"/>
      <c r="I878" s="26"/>
      <c r="J878" s="25"/>
      <c r="K878" s="25"/>
      <c r="L878" s="26"/>
      <c r="M878" s="25"/>
      <c r="N878" s="25"/>
      <c r="O878" s="26"/>
      <c r="P878" s="26"/>
      <c r="Q878" s="26"/>
      <c r="R878" s="26"/>
      <c r="S878" s="25"/>
      <c r="T878" s="26"/>
      <c r="U878" s="26"/>
      <c r="V878" s="25"/>
      <c r="W878" s="25"/>
      <c r="X878" s="26"/>
      <c r="Y878" s="25"/>
      <c r="Z878" s="10"/>
    </row>
    <row r="879" spans="1:26" ht="12.75">
      <c r="A879" s="25"/>
      <c r="B879" s="25"/>
      <c r="C879" s="25"/>
      <c r="D879" s="26"/>
      <c r="E879" s="26"/>
      <c r="F879" s="26"/>
      <c r="G879" s="26"/>
      <c r="H879" s="25"/>
      <c r="I879" s="26"/>
      <c r="J879" s="25"/>
      <c r="K879" s="25"/>
      <c r="L879" s="26"/>
      <c r="M879" s="25"/>
      <c r="N879" s="25"/>
      <c r="O879" s="26"/>
      <c r="P879" s="26"/>
      <c r="Q879" s="26"/>
      <c r="R879" s="26"/>
      <c r="S879" s="25"/>
      <c r="T879" s="26"/>
      <c r="U879" s="26"/>
      <c r="V879" s="25"/>
      <c r="W879" s="25"/>
      <c r="X879" s="26"/>
      <c r="Y879" s="25"/>
      <c r="Z879" s="10"/>
    </row>
    <row r="880" spans="1:26" ht="12.75">
      <c r="A880" s="25"/>
      <c r="B880" s="25"/>
      <c r="C880" s="25"/>
      <c r="D880" s="26"/>
      <c r="E880" s="26"/>
      <c r="F880" s="26"/>
      <c r="G880" s="26"/>
      <c r="H880" s="25"/>
      <c r="I880" s="26"/>
      <c r="J880" s="25"/>
      <c r="K880" s="25"/>
      <c r="L880" s="26"/>
      <c r="M880" s="25"/>
      <c r="N880" s="25"/>
      <c r="O880" s="26"/>
      <c r="P880" s="26"/>
      <c r="Q880" s="26"/>
      <c r="R880" s="26"/>
      <c r="S880" s="25"/>
      <c r="T880" s="26"/>
      <c r="U880" s="26"/>
      <c r="V880" s="25"/>
      <c r="W880" s="25"/>
      <c r="X880" s="26"/>
      <c r="Y880" s="25"/>
      <c r="Z880" s="10"/>
    </row>
    <row r="881" spans="1:26" ht="12.75">
      <c r="A881" s="25"/>
      <c r="B881" s="25"/>
      <c r="C881" s="25"/>
      <c r="D881" s="26"/>
      <c r="E881" s="26"/>
      <c r="F881" s="26"/>
      <c r="G881" s="26"/>
      <c r="H881" s="25"/>
      <c r="I881" s="26"/>
      <c r="J881" s="25"/>
      <c r="K881" s="25"/>
      <c r="L881" s="26"/>
      <c r="M881" s="25"/>
      <c r="N881" s="25"/>
      <c r="O881" s="26"/>
      <c r="P881" s="26"/>
      <c r="Q881" s="26"/>
      <c r="R881" s="26"/>
      <c r="S881" s="25"/>
      <c r="T881" s="26"/>
      <c r="U881" s="26"/>
      <c r="V881" s="25"/>
      <c r="W881" s="25"/>
      <c r="X881" s="26"/>
      <c r="Y881" s="25"/>
      <c r="Z881" s="10"/>
    </row>
    <row r="882" spans="1:26" ht="12.75">
      <c r="A882" s="25"/>
      <c r="B882" s="25"/>
      <c r="C882" s="25"/>
      <c r="D882" s="26"/>
      <c r="E882" s="26"/>
      <c r="F882" s="26"/>
      <c r="G882" s="26"/>
      <c r="H882" s="25"/>
      <c r="I882" s="26"/>
      <c r="J882" s="25"/>
      <c r="K882" s="25"/>
      <c r="L882" s="26"/>
      <c r="M882" s="25"/>
      <c r="N882" s="25"/>
      <c r="O882" s="26"/>
      <c r="P882" s="26"/>
      <c r="Q882" s="26"/>
      <c r="R882" s="26"/>
      <c r="S882" s="25"/>
      <c r="T882" s="26"/>
      <c r="U882" s="26"/>
      <c r="V882" s="25"/>
      <c r="W882" s="25"/>
      <c r="X882" s="26"/>
      <c r="Y882" s="25"/>
      <c r="Z882" s="10"/>
    </row>
    <row r="883" spans="1:26" ht="12.75">
      <c r="A883" s="25"/>
      <c r="B883" s="25"/>
      <c r="C883" s="25"/>
      <c r="D883" s="26"/>
      <c r="E883" s="26"/>
      <c r="F883" s="26"/>
      <c r="G883" s="26"/>
      <c r="H883" s="25"/>
      <c r="I883" s="26"/>
      <c r="J883" s="25"/>
      <c r="K883" s="25"/>
      <c r="L883" s="26"/>
      <c r="M883" s="25"/>
      <c r="N883" s="25"/>
      <c r="O883" s="26"/>
      <c r="P883" s="26"/>
      <c r="Q883" s="26"/>
      <c r="R883" s="26"/>
      <c r="S883" s="25"/>
      <c r="T883" s="26"/>
      <c r="U883" s="26"/>
      <c r="V883" s="25"/>
      <c r="W883" s="25"/>
      <c r="X883" s="26"/>
      <c r="Y883" s="25"/>
      <c r="Z883" s="10"/>
    </row>
    <row r="884" spans="1:26" ht="12.75">
      <c r="A884" s="25"/>
      <c r="B884" s="25"/>
      <c r="C884" s="25"/>
      <c r="D884" s="26"/>
      <c r="E884" s="26"/>
      <c r="F884" s="26"/>
      <c r="G884" s="26"/>
      <c r="H884" s="25"/>
      <c r="I884" s="26"/>
      <c r="J884" s="25"/>
      <c r="K884" s="25"/>
      <c r="L884" s="26"/>
      <c r="M884" s="25"/>
      <c r="N884" s="25"/>
      <c r="O884" s="26"/>
      <c r="P884" s="26"/>
      <c r="Q884" s="26"/>
      <c r="R884" s="26"/>
      <c r="S884" s="25"/>
      <c r="T884" s="26"/>
      <c r="U884" s="26"/>
      <c r="V884" s="25"/>
      <c r="W884" s="25"/>
      <c r="X884" s="26"/>
      <c r="Y884" s="25"/>
      <c r="Z884" s="10"/>
    </row>
    <row r="885" spans="1:26" ht="12.75">
      <c r="A885" s="25"/>
      <c r="B885" s="25"/>
      <c r="C885" s="25"/>
      <c r="D885" s="26"/>
      <c r="E885" s="26"/>
      <c r="F885" s="26"/>
      <c r="G885" s="26"/>
      <c r="H885" s="25"/>
      <c r="I885" s="26"/>
      <c r="J885" s="25"/>
      <c r="K885" s="25"/>
      <c r="L885" s="26"/>
      <c r="M885" s="25"/>
      <c r="N885" s="25"/>
      <c r="O885" s="26"/>
      <c r="P885" s="26"/>
      <c r="Q885" s="26"/>
      <c r="R885" s="26"/>
      <c r="S885" s="25"/>
      <c r="T885" s="26"/>
      <c r="U885" s="26"/>
      <c r="V885" s="25"/>
      <c r="W885" s="25"/>
      <c r="X885" s="26"/>
      <c r="Y885" s="25"/>
      <c r="Z885" s="10"/>
    </row>
    <row r="886" spans="1:26" ht="12.75">
      <c r="A886" s="25"/>
      <c r="B886" s="25"/>
      <c r="C886" s="25"/>
      <c r="D886" s="26"/>
      <c r="E886" s="26"/>
      <c r="F886" s="26"/>
      <c r="G886" s="26"/>
      <c r="H886" s="25"/>
      <c r="I886" s="26"/>
      <c r="J886" s="25"/>
      <c r="K886" s="25"/>
      <c r="L886" s="26"/>
      <c r="M886" s="25"/>
      <c r="N886" s="25"/>
      <c r="O886" s="26"/>
      <c r="P886" s="26"/>
      <c r="Q886" s="26"/>
      <c r="R886" s="26"/>
      <c r="S886" s="25"/>
      <c r="T886" s="26"/>
      <c r="U886" s="26"/>
      <c r="V886" s="25"/>
      <c r="W886" s="25"/>
      <c r="X886" s="26"/>
      <c r="Y886" s="25"/>
      <c r="Z886" s="10"/>
    </row>
    <row r="887" spans="1:26" ht="12.75">
      <c r="A887" s="25"/>
      <c r="B887" s="25"/>
      <c r="C887" s="25"/>
      <c r="D887" s="26"/>
      <c r="E887" s="26"/>
      <c r="F887" s="26"/>
      <c r="G887" s="26"/>
      <c r="H887" s="25"/>
      <c r="I887" s="26"/>
      <c r="J887" s="25"/>
      <c r="K887" s="25"/>
      <c r="L887" s="26"/>
      <c r="M887" s="25"/>
      <c r="N887" s="25"/>
      <c r="O887" s="26"/>
      <c r="P887" s="26"/>
      <c r="Q887" s="26"/>
      <c r="R887" s="26"/>
      <c r="S887" s="25"/>
      <c r="T887" s="26"/>
      <c r="U887" s="26"/>
      <c r="V887" s="25"/>
      <c r="W887" s="25"/>
      <c r="X887" s="26"/>
      <c r="Y887" s="25"/>
      <c r="Z887" s="10"/>
    </row>
    <row r="888" spans="1:26" ht="12.75">
      <c r="A888" s="25"/>
      <c r="B888" s="25"/>
      <c r="C888" s="25"/>
      <c r="D888" s="26"/>
      <c r="E888" s="26"/>
      <c r="F888" s="26"/>
      <c r="G888" s="26"/>
      <c r="H888" s="25"/>
      <c r="I888" s="26"/>
      <c r="J888" s="25"/>
      <c r="K888" s="25"/>
      <c r="L888" s="26"/>
      <c r="M888" s="25"/>
      <c r="N888" s="25"/>
      <c r="O888" s="26"/>
      <c r="P888" s="26"/>
      <c r="Q888" s="26"/>
      <c r="R888" s="26"/>
      <c r="S888" s="25"/>
      <c r="T888" s="26"/>
      <c r="U888" s="26"/>
      <c r="V888" s="25"/>
      <c r="W888" s="25"/>
      <c r="X888" s="26"/>
      <c r="Y888" s="25"/>
      <c r="Z888" s="10"/>
    </row>
    <row r="889" spans="1:26" ht="12.75">
      <c r="A889" s="25"/>
      <c r="B889" s="25"/>
      <c r="C889" s="25"/>
      <c r="D889" s="26"/>
      <c r="E889" s="26"/>
      <c r="F889" s="26"/>
      <c r="G889" s="26"/>
      <c r="H889" s="25"/>
      <c r="I889" s="26"/>
      <c r="J889" s="25"/>
      <c r="K889" s="25"/>
      <c r="L889" s="26"/>
      <c r="M889" s="25"/>
      <c r="N889" s="25"/>
      <c r="O889" s="26"/>
      <c r="P889" s="26"/>
      <c r="Q889" s="26"/>
      <c r="R889" s="26"/>
      <c r="S889" s="25"/>
      <c r="T889" s="26"/>
      <c r="U889" s="26"/>
      <c r="V889" s="25"/>
      <c r="W889" s="25"/>
      <c r="X889" s="26"/>
      <c r="Y889" s="25"/>
      <c r="Z889" s="10"/>
    </row>
    <row r="890" spans="1:26" ht="12.75">
      <c r="A890" s="25"/>
      <c r="B890" s="25"/>
      <c r="C890" s="25"/>
      <c r="D890" s="26"/>
      <c r="E890" s="26"/>
      <c r="F890" s="26"/>
      <c r="G890" s="26"/>
      <c r="H890" s="25"/>
      <c r="I890" s="26"/>
      <c r="J890" s="25"/>
      <c r="K890" s="25"/>
      <c r="L890" s="26"/>
      <c r="M890" s="25"/>
      <c r="N890" s="25"/>
      <c r="O890" s="26"/>
      <c r="P890" s="26"/>
      <c r="Q890" s="26"/>
      <c r="R890" s="26"/>
      <c r="S890" s="25"/>
      <c r="T890" s="26"/>
      <c r="U890" s="26"/>
      <c r="V890" s="25"/>
      <c r="W890" s="25"/>
      <c r="X890" s="26"/>
      <c r="Y890" s="25"/>
      <c r="Z890" s="10"/>
    </row>
    <row r="891" spans="1:26" ht="12.75">
      <c r="A891" s="25"/>
      <c r="B891" s="25"/>
      <c r="C891" s="25"/>
      <c r="D891" s="26"/>
      <c r="E891" s="26"/>
      <c r="F891" s="26"/>
      <c r="G891" s="26"/>
      <c r="H891" s="25"/>
      <c r="I891" s="26"/>
      <c r="J891" s="25"/>
      <c r="K891" s="25"/>
      <c r="L891" s="26"/>
      <c r="M891" s="25"/>
      <c r="N891" s="25"/>
      <c r="O891" s="26"/>
      <c r="P891" s="26"/>
      <c r="Q891" s="26"/>
      <c r="R891" s="26"/>
      <c r="S891" s="25"/>
      <c r="T891" s="26"/>
      <c r="U891" s="26"/>
      <c r="V891" s="25"/>
      <c r="W891" s="25"/>
      <c r="X891" s="26"/>
      <c r="Y891" s="25"/>
      <c r="Z891" s="10"/>
    </row>
    <row r="892" spans="1:26" ht="12.75">
      <c r="A892" s="25"/>
      <c r="B892" s="25"/>
      <c r="C892" s="25"/>
      <c r="D892" s="26"/>
      <c r="E892" s="26"/>
      <c r="F892" s="26"/>
      <c r="G892" s="26"/>
      <c r="H892" s="25"/>
      <c r="I892" s="26"/>
      <c r="J892" s="25"/>
      <c r="K892" s="25"/>
      <c r="L892" s="26"/>
      <c r="M892" s="25"/>
      <c r="N892" s="25"/>
      <c r="O892" s="26"/>
      <c r="P892" s="26"/>
      <c r="Q892" s="26"/>
      <c r="R892" s="26"/>
      <c r="S892" s="25"/>
      <c r="T892" s="26"/>
      <c r="U892" s="26"/>
      <c r="V892" s="25"/>
      <c r="W892" s="25"/>
      <c r="X892" s="26"/>
      <c r="Y892" s="25"/>
      <c r="Z892" s="10"/>
    </row>
    <row r="893" spans="1:26" ht="12.75">
      <c r="A893" s="25"/>
      <c r="B893" s="25"/>
      <c r="C893" s="25"/>
      <c r="D893" s="26"/>
      <c r="E893" s="26"/>
      <c r="F893" s="26"/>
      <c r="G893" s="26"/>
      <c r="H893" s="25"/>
      <c r="I893" s="26"/>
      <c r="J893" s="25"/>
      <c r="K893" s="25"/>
      <c r="L893" s="26"/>
      <c r="M893" s="25"/>
      <c r="N893" s="25"/>
      <c r="O893" s="26"/>
      <c r="P893" s="26"/>
      <c r="Q893" s="26"/>
      <c r="R893" s="26"/>
      <c r="S893" s="25"/>
      <c r="T893" s="26"/>
      <c r="U893" s="26"/>
      <c r="V893" s="25"/>
      <c r="W893" s="25"/>
      <c r="X893" s="26"/>
      <c r="Y893" s="25"/>
      <c r="Z893" s="10"/>
    </row>
    <row r="894" spans="1:26" ht="12.75">
      <c r="A894" s="25"/>
      <c r="B894" s="25"/>
      <c r="C894" s="25"/>
      <c r="D894" s="26"/>
      <c r="E894" s="26"/>
      <c r="F894" s="26"/>
      <c r="G894" s="26"/>
      <c r="H894" s="25"/>
      <c r="I894" s="26"/>
      <c r="J894" s="25"/>
      <c r="K894" s="25"/>
      <c r="L894" s="26"/>
      <c r="M894" s="25"/>
      <c r="N894" s="25"/>
      <c r="O894" s="26"/>
      <c r="P894" s="26"/>
      <c r="Q894" s="26"/>
      <c r="R894" s="26"/>
      <c r="S894" s="25"/>
      <c r="T894" s="26"/>
      <c r="U894" s="26"/>
      <c r="V894" s="25"/>
      <c r="W894" s="25"/>
      <c r="X894" s="26"/>
      <c r="Y894" s="25"/>
      <c r="Z894" s="10"/>
    </row>
    <row r="895" spans="1:26" ht="12.75">
      <c r="A895" s="25"/>
      <c r="B895" s="25"/>
      <c r="C895" s="25"/>
      <c r="D895" s="26"/>
      <c r="E895" s="26"/>
      <c r="F895" s="26"/>
      <c r="G895" s="26"/>
      <c r="H895" s="25"/>
      <c r="I895" s="26"/>
      <c r="J895" s="25"/>
      <c r="K895" s="25"/>
      <c r="L895" s="26"/>
      <c r="M895" s="25"/>
      <c r="N895" s="25"/>
      <c r="O895" s="26"/>
      <c r="P895" s="26"/>
      <c r="Q895" s="26"/>
      <c r="R895" s="26"/>
      <c r="S895" s="25"/>
      <c r="T895" s="26"/>
      <c r="U895" s="26"/>
      <c r="V895" s="25"/>
      <c r="W895" s="25"/>
      <c r="X895" s="26"/>
      <c r="Y895" s="25"/>
      <c r="Z895" s="10"/>
    </row>
    <row r="896" spans="1:26" ht="12.75">
      <c r="A896" s="25"/>
      <c r="B896" s="25"/>
      <c r="C896" s="25"/>
      <c r="D896" s="26"/>
      <c r="E896" s="26"/>
      <c r="F896" s="26"/>
      <c r="G896" s="26"/>
      <c r="H896" s="25"/>
      <c r="I896" s="26"/>
      <c r="J896" s="25"/>
      <c r="K896" s="25"/>
      <c r="L896" s="26"/>
      <c r="M896" s="25"/>
      <c r="N896" s="25"/>
      <c r="O896" s="26"/>
      <c r="P896" s="26"/>
      <c r="Q896" s="26"/>
      <c r="R896" s="26"/>
      <c r="S896" s="25"/>
      <c r="T896" s="26"/>
      <c r="U896" s="26"/>
      <c r="V896" s="25"/>
      <c r="W896" s="25"/>
      <c r="X896" s="26"/>
      <c r="Y896" s="25"/>
      <c r="Z896" s="10"/>
    </row>
    <row r="897" spans="1:26" ht="12.75">
      <c r="A897" s="25"/>
      <c r="B897" s="25"/>
      <c r="C897" s="25"/>
      <c r="D897" s="26"/>
      <c r="E897" s="26"/>
      <c r="F897" s="26"/>
      <c r="G897" s="26"/>
      <c r="H897" s="25"/>
      <c r="I897" s="26"/>
      <c r="J897" s="25"/>
      <c r="K897" s="25"/>
      <c r="L897" s="26"/>
      <c r="M897" s="25"/>
      <c r="N897" s="25"/>
      <c r="O897" s="26"/>
      <c r="P897" s="26"/>
      <c r="Q897" s="26"/>
      <c r="R897" s="26"/>
      <c r="S897" s="25"/>
      <c r="T897" s="26"/>
      <c r="U897" s="26"/>
      <c r="V897" s="25"/>
      <c r="W897" s="25"/>
      <c r="X897" s="26"/>
      <c r="Y897" s="25"/>
      <c r="Z897" s="10"/>
    </row>
    <row r="898" spans="1:26" ht="12.75">
      <c r="A898" s="25"/>
      <c r="B898" s="25"/>
      <c r="C898" s="25"/>
      <c r="D898" s="26"/>
      <c r="E898" s="26"/>
      <c r="F898" s="26"/>
      <c r="G898" s="26"/>
      <c r="H898" s="25"/>
      <c r="I898" s="26"/>
      <c r="J898" s="25"/>
      <c r="K898" s="25"/>
      <c r="L898" s="26"/>
      <c r="M898" s="25"/>
      <c r="N898" s="25"/>
      <c r="O898" s="26"/>
      <c r="P898" s="26"/>
      <c r="Q898" s="26"/>
      <c r="R898" s="26"/>
      <c r="S898" s="25"/>
      <c r="T898" s="26"/>
      <c r="U898" s="26"/>
      <c r="V898" s="25"/>
      <c r="W898" s="25"/>
      <c r="X898" s="26"/>
      <c r="Y898" s="25"/>
      <c r="Z898" s="10"/>
    </row>
    <row r="899" spans="1:26" ht="12.75">
      <c r="A899" s="25"/>
      <c r="B899" s="25"/>
      <c r="C899" s="25"/>
      <c r="D899" s="26"/>
      <c r="E899" s="26"/>
      <c r="F899" s="26"/>
      <c r="G899" s="26"/>
      <c r="H899" s="25"/>
      <c r="I899" s="26"/>
      <c r="J899" s="25"/>
      <c r="K899" s="25"/>
      <c r="L899" s="26"/>
      <c r="M899" s="25"/>
      <c r="N899" s="25"/>
      <c r="O899" s="26"/>
      <c r="P899" s="26"/>
      <c r="Q899" s="26"/>
      <c r="R899" s="26"/>
      <c r="S899" s="25"/>
      <c r="T899" s="26"/>
      <c r="U899" s="26"/>
      <c r="V899" s="25"/>
      <c r="W899" s="25"/>
      <c r="X899" s="26"/>
      <c r="Y899" s="25"/>
      <c r="Z899" s="10"/>
    </row>
    <row r="900" spans="1:26" ht="12.75">
      <c r="A900" s="25"/>
      <c r="B900" s="25"/>
      <c r="C900" s="25"/>
      <c r="D900" s="26"/>
      <c r="E900" s="26"/>
      <c r="F900" s="26"/>
      <c r="G900" s="26"/>
      <c r="H900" s="25"/>
      <c r="I900" s="26"/>
      <c r="J900" s="25"/>
      <c r="K900" s="25"/>
      <c r="L900" s="26"/>
      <c r="M900" s="25"/>
      <c r="N900" s="25"/>
      <c r="O900" s="26"/>
      <c r="P900" s="26"/>
      <c r="Q900" s="26"/>
      <c r="R900" s="26"/>
      <c r="S900" s="25"/>
      <c r="T900" s="26"/>
      <c r="U900" s="26"/>
      <c r="V900" s="25"/>
      <c r="W900" s="25"/>
      <c r="X900" s="26"/>
      <c r="Y900" s="25"/>
      <c r="Z900" s="10"/>
    </row>
    <row r="901" spans="1:26" ht="12.75">
      <c r="A901" s="25"/>
      <c r="B901" s="25"/>
      <c r="C901" s="25"/>
      <c r="D901" s="26"/>
      <c r="E901" s="26"/>
      <c r="F901" s="26"/>
      <c r="G901" s="26"/>
      <c r="H901" s="25"/>
      <c r="I901" s="26"/>
      <c r="J901" s="25"/>
      <c r="K901" s="25"/>
      <c r="L901" s="26"/>
      <c r="M901" s="25"/>
      <c r="N901" s="25"/>
      <c r="O901" s="26"/>
      <c r="P901" s="26"/>
      <c r="Q901" s="26"/>
      <c r="R901" s="26"/>
      <c r="S901" s="25"/>
      <c r="T901" s="26"/>
      <c r="U901" s="26"/>
      <c r="V901" s="25"/>
      <c r="W901" s="25"/>
      <c r="X901" s="26"/>
      <c r="Y901" s="25"/>
      <c r="Z901" s="10"/>
    </row>
    <row r="902" spans="1:26" ht="12.75">
      <c r="A902" s="25"/>
      <c r="B902" s="25"/>
      <c r="C902" s="25"/>
      <c r="D902" s="26"/>
      <c r="E902" s="26"/>
      <c r="F902" s="26"/>
      <c r="G902" s="26"/>
      <c r="H902" s="25"/>
      <c r="I902" s="26"/>
      <c r="J902" s="25"/>
      <c r="K902" s="25"/>
      <c r="L902" s="26"/>
      <c r="M902" s="25"/>
      <c r="N902" s="25"/>
      <c r="O902" s="26"/>
      <c r="P902" s="26"/>
      <c r="Q902" s="26"/>
      <c r="R902" s="26"/>
      <c r="S902" s="25"/>
      <c r="T902" s="26"/>
      <c r="U902" s="26"/>
      <c r="V902" s="25"/>
      <c r="W902" s="25"/>
      <c r="X902" s="26"/>
      <c r="Y902" s="25"/>
      <c r="Z902" s="10"/>
    </row>
    <row r="903" spans="1:26" ht="12.75">
      <c r="A903" s="25"/>
      <c r="B903" s="25"/>
      <c r="C903" s="25"/>
      <c r="D903" s="26"/>
      <c r="E903" s="26"/>
      <c r="F903" s="26"/>
      <c r="G903" s="26"/>
      <c r="H903" s="25"/>
      <c r="I903" s="26"/>
      <c r="J903" s="25"/>
      <c r="K903" s="25"/>
      <c r="L903" s="26"/>
      <c r="M903" s="25"/>
      <c r="N903" s="25"/>
      <c r="O903" s="26"/>
      <c r="P903" s="26"/>
      <c r="Q903" s="26"/>
      <c r="R903" s="26"/>
      <c r="S903" s="25"/>
      <c r="T903" s="26"/>
      <c r="U903" s="26"/>
      <c r="V903" s="25"/>
      <c r="W903" s="25"/>
      <c r="X903" s="26"/>
      <c r="Y903" s="25"/>
      <c r="Z903" s="10"/>
    </row>
    <row r="904" spans="1:26" ht="12.75">
      <c r="A904" s="25"/>
      <c r="B904" s="25"/>
      <c r="C904" s="25"/>
      <c r="D904" s="26"/>
      <c r="E904" s="26"/>
      <c r="F904" s="26"/>
      <c r="G904" s="26"/>
      <c r="H904" s="25"/>
      <c r="I904" s="26"/>
      <c r="J904" s="25"/>
      <c r="K904" s="25"/>
      <c r="L904" s="26"/>
      <c r="M904" s="25"/>
      <c r="N904" s="25"/>
      <c r="O904" s="26"/>
      <c r="P904" s="26"/>
      <c r="Q904" s="26"/>
      <c r="R904" s="26"/>
      <c r="S904" s="25"/>
      <c r="T904" s="26"/>
      <c r="U904" s="26"/>
      <c r="V904" s="25"/>
      <c r="W904" s="25"/>
      <c r="X904" s="26"/>
      <c r="Y904" s="25"/>
      <c r="Z904" s="10"/>
    </row>
    <row r="905" spans="1:26" ht="12.75">
      <c r="A905" s="25"/>
      <c r="B905" s="25"/>
      <c r="C905" s="25"/>
      <c r="D905" s="26"/>
      <c r="E905" s="26"/>
      <c r="F905" s="26"/>
      <c r="G905" s="26"/>
      <c r="H905" s="25"/>
      <c r="I905" s="26"/>
      <c r="J905" s="25"/>
      <c r="K905" s="25"/>
      <c r="L905" s="26"/>
      <c r="M905" s="25"/>
      <c r="N905" s="25"/>
      <c r="O905" s="26"/>
      <c r="P905" s="26"/>
      <c r="Q905" s="26"/>
      <c r="R905" s="26"/>
      <c r="S905" s="25"/>
      <c r="T905" s="26"/>
      <c r="U905" s="26"/>
      <c r="V905" s="25"/>
      <c r="W905" s="25"/>
      <c r="X905" s="26"/>
      <c r="Y905" s="25"/>
      <c r="Z905" s="10"/>
    </row>
    <row r="906" spans="1:26" ht="12.75">
      <c r="A906" s="25"/>
      <c r="B906" s="25"/>
      <c r="C906" s="25"/>
      <c r="D906" s="26"/>
      <c r="E906" s="26"/>
      <c r="F906" s="26"/>
      <c r="G906" s="26"/>
      <c r="H906" s="25"/>
      <c r="I906" s="26"/>
      <c r="J906" s="25"/>
      <c r="K906" s="25"/>
      <c r="L906" s="26"/>
      <c r="M906" s="25"/>
      <c r="N906" s="25"/>
      <c r="O906" s="26"/>
      <c r="P906" s="26"/>
      <c r="Q906" s="26"/>
      <c r="R906" s="26"/>
      <c r="S906" s="25"/>
      <c r="T906" s="26"/>
      <c r="U906" s="26"/>
      <c r="V906" s="25"/>
      <c r="W906" s="25"/>
      <c r="X906" s="26"/>
      <c r="Y906" s="25"/>
      <c r="Z906" s="10"/>
    </row>
    <row r="907" spans="1:26" ht="12.75">
      <c r="A907" s="25"/>
      <c r="B907" s="25"/>
      <c r="C907" s="25"/>
      <c r="D907" s="26"/>
      <c r="E907" s="26"/>
      <c r="F907" s="26"/>
      <c r="G907" s="26"/>
      <c r="H907" s="25"/>
      <c r="I907" s="26"/>
      <c r="J907" s="25"/>
      <c r="K907" s="25"/>
      <c r="L907" s="26"/>
      <c r="M907" s="25"/>
      <c r="N907" s="25"/>
      <c r="O907" s="26"/>
      <c r="P907" s="26"/>
      <c r="Q907" s="26"/>
      <c r="R907" s="26"/>
      <c r="S907" s="25"/>
      <c r="T907" s="26"/>
      <c r="U907" s="26"/>
      <c r="V907" s="25"/>
      <c r="W907" s="25"/>
      <c r="X907" s="26"/>
      <c r="Y907" s="25"/>
      <c r="Z907" s="10"/>
    </row>
    <row r="908" spans="1:26" ht="12.75">
      <c r="A908" s="25"/>
      <c r="B908" s="25"/>
      <c r="C908" s="25"/>
      <c r="D908" s="26"/>
      <c r="E908" s="26"/>
      <c r="F908" s="26"/>
      <c r="G908" s="26"/>
      <c r="H908" s="25"/>
      <c r="I908" s="26"/>
      <c r="J908" s="25"/>
      <c r="K908" s="25"/>
      <c r="L908" s="26"/>
      <c r="M908" s="25"/>
      <c r="N908" s="25"/>
      <c r="O908" s="26"/>
      <c r="P908" s="26"/>
      <c r="Q908" s="26"/>
      <c r="R908" s="26"/>
      <c r="S908" s="25"/>
      <c r="T908" s="26"/>
      <c r="U908" s="26"/>
      <c r="V908" s="25"/>
      <c r="W908" s="25"/>
      <c r="X908" s="26"/>
      <c r="Y908" s="25"/>
      <c r="Z908" s="10"/>
    </row>
    <row r="909" spans="1:26" ht="12.75">
      <c r="A909" s="25"/>
      <c r="B909" s="25"/>
      <c r="C909" s="25"/>
      <c r="D909" s="26"/>
      <c r="E909" s="26"/>
      <c r="F909" s="26"/>
      <c r="G909" s="26"/>
      <c r="H909" s="25"/>
      <c r="I909" s="26"/>
      <c r="J909" s="25"/>
      <c r="K909" s="25"/>
      <c r="L909" s="26"/>
      <c r="M909" s="25"/>
      <c r="N909" s="25"/>
      <c r="O909" s="26"/>
      <c r="P909" s="26"/>
      <c r="Q909" s="26"/>
      <c r="R909" s="26"/>
      <c r="S909" s="25"/>
      <c r="T909" s="26"/>
      <c r="U909" s="26"/>
      <c r="V909" s="25"/>
      <c r="W909" s="25"/>
      <c r="X909" s="26"/>
      <c r="Y909" s="25"/>
      <c r="Z909" s="10"/>
    </row>
    <row r="910" spans="1:26" ht="12.75">
      <c r="A910" s="25"/>
      <c r="B910" s="25"/>
      <c r="C910" s="25"/>
      <c r="D910" s="26"/>
      <c r="E910" s="26"/>
      <c r="F910" s="26"/>
      <c r="G910" s="26"/>
      <c r="H910" s="25"/>
      <c r="I910" s="26"/>
      <c r="J910" s="25"/>
      <c r="K910" s="25"/>
      <c r="L910" s="26"/>
      <c r="M910" s="25"/>
      <c r="N910" s="25"/>
      <c r="O910" s="26"/>
      <c r="P910" s="26"/>
      <c r="Q910" s="26"/>
      <c r="R910" s="26"/>
      <c r="S910" s="25"/>
      <c r="T910" s="26"/>
      <c r="U910" s="26"/>
      <c r="V910" s="25"/>
      <c r="W910" s="25"/>
      <c r="X910" s="26"/>
      <c r="Y910" s="25"/>
      <c r="Z910" s="10"/>
    </row>
    <row r="911" spans="1:26" ht="12.75">
      <c r="A911" s="25"/>
      <c r="B911" s="25"/>
      <c r="C911" s="25"/>
      <c r="D911" s="26"/>
      <c r="E911" s="26"/>
      <c r="F911" s="26"/>
      <c r="G911" s="26"/>
      <c r="H911" s="25"/>
      <c r="I911" s="26"/>
      <c r="J911" s="25"/>
      <c r="K911" s="25"/>
      <c r="L911" s="26"/>
      <c r="M911" s="25"/>
      <c r="N911" s="25"/>
      <c r="O911" s="26"/>
      <c r="P911" s="26"/>
      <c r="Q911" s="26"/>
      <c r="R911" s="26"/>
      <c r="S911" s="25"/>
      <c r="T911" s="26"/>
      <c r="U911" s="26"/>
      <c r="V911" s="25"/>
      <c r="W911" s="25"/>
      <c r="X911" s="26"/>
      <c r="Y911" s="25"/>
      <c r="Z911" s="10"/>
    </row>
    <row r="912" spans="1:26" ht="12.75">
      <c r="A912" s="25"/>
      <c r="B912" s="25"/>
      <c r="C912" s="25"/>
      <c r="D912" s="26"/>
      <c r="E912" s="26"/>
      <c r="F912" s="26"/>
      <c r="G912" s="26"/>
      <c r="H912" s="25"/>
      <c r="I912" s="26"/>
      <c r="J912" s="25"/>
      <c r="K912" s="25"/>
      <c r="L912" s="26"/>
      <c r="M912" s="25"/>
      <c r="N912" s="25"/>
      <c r="O912" s="26"/>
      <c r="P912" s="26"/>
      <c r="Q912" s="26"/>
      <c r="R912" s="26"/>
      <c r="S912" s="25"/>
      <c r="T912" s="26"/>
      <c r="U912" s="26"/>
      <c r="V912" s="25"/>
      <c r="W912" s="25"/>
      <c r="X912" s="26"/>
      <c r="Y912" s="25"/>
      <c r="Z912" s="10"/>
    </row>
    <row r="913" spans="1:26" ht="12.75">
      <c r="A913" s="25"/>
      <c r="B913" s="25"/>
      <c r="C913" s="25"/>
      <c r="D913" s="26"/>
      <c r="E913" s="26"/>
      <c r="F913" s="26"/>
      <c r="G913" s="26"/>
      <c r="H913" s="25"/>
      <c r="I913" s="26"/>
      <c r="J913" s="25"/>
      <c r="K913" s="25"/>
      <c r="L913" s="26"/>
      <c r="M913" s="25"/>
      <c r="N913" s="25"/>
      <c r="O913" s="26"/>
      <c r="P913" s="26"/>
      <c r="Q913" s="26"/>
      <c r="R913" s="26"/>
      <c r="S913" s="25"/>
      <c r="T913" s="26"/>
      <c r="U913" s="26"/>
      <c r="V913" s="25"/>
      <c r="W913" s="25"/>
      <c r="X913" s="26"/>
      <c r="Y913" s="25"/>
      <c r="Z913" s="10"/>
    </row>
    <row r="914" spans="1:26" ht="12.75">
      <c r="A914" s="25"/>
      <c r="B914" s="25"/>
      <c r="C914" s="25"/>
      <c r="D914" s="26"/>
      <c r="E914" s="26"/>
      <c r="F914" s="26"/>
      <c r="G914" s="26"/>
      <c r="H914" s="25"/>
      <c r="I914" s="26"/>
      <c r="J914" s="25"/>
      <c r="K914" s="25"/>
      <c r="L914" s="26"/>
      <c r="M914" s="25"/>
      <c r="N914" s="25"/>
      <c r="O914" s="26"/>
      <c r="P914" s="26"/>
      <c r="Q914" s="26"/>
      <c r="R914" s="26"/>
      <c r="S914" s="25"/>
      <c r="T914" s="26"/>
      <c r="U914" s="26"/>
      <c r="V914" s="25"/>
      <c r="W914" s="25"/>
      <c r="X914" s="26"/>
      <c r="Y914" s="25"/>
      <c r="Z914" s="10"/>
    </row>
    <row r="915" spans="1:26" ht="12.75">
      <c r="A915" s="25"/>
      <c r="B915" s="25"/>
      <c r="C915" s="25"/>
      <c r="D915" s="26"/>
      <c r="E915" s="26"/>
      <c r="F915" s="26"/>
      <c r="G915" s="26"/>
      <c r="H915" s="25"/>
      <c r="I915" s="26"/>
      <c r="J915" s="25"/>
      <c r="K915" s="25"/>
      <c r="L915" s="26"/>
      <c r="M915" s="25"/>
      <c r="N915" s="25"/>
      <c r="O915" s="26"/>
      <c r="P915" s="26"/>
      <c r="Q915" s="26"/>
      <c r="R915" s="26"/>
      <c r="S915" s="25"/>
      <c r="T915" s="26"/>
      <c r="U915" s="26"/>
      <c r="V915" s="25"/>
      <c r="W915" s="25"/>
      <c r="X915" s="26"/>
      <c r="Y915" s="25"/>
      <c r="Z915" s="10"/>
    </row>
    <row r="916" spans="1:26" ht="12.75">
      <c r="A916" s="25"/>
      <c r="B916" s="25"/>
      <c r="C916" s="25"/>
      <c r="D916" s="26"/>
      <c r="E916" s="26"/>
      <c r="F916" s="26"/>
      <c r="G916" s="26"/>
      <c r="H916" s="25"/>
      <c r="I916" s="26"/>
      <c r="J916" s="25"/>
      <c r="K916" s="25"/>
      <c r="L916" s="26"/>
      <c r="M916" s="25"/>
      <c r="N916" s="25"/>
      <c r="O916" s="26"/>
      <c r="P916" s="26"/>
      <c r="Q916" s="26"/>
      <c r="R916" s="26"/>
      <c r="S916" s="25"/>
      <c r="T916" s="26"/>
      <c r="U916" s="26"/>
      <c r="V916" s="25"/>
      <c r="W916" s="25"/>
      <c r="X916" s="26"/>
      <c r="Y916" s="25"/>
      <c r="Z916" s="10"/>
    </row>
    <row r="917" spans="1:26" ht="12.75">
      <c r="A917" s="25"/>
      <c r="B917" s="25"/>
      <c r="C917" s="25"/>
      <c r="D917" s="26"/>
      <c r="E917" s="26"/>
      <c r="F917" s="26"/>
      <c r="G917" s="26"/>
      <c r="H917" s="25"/>
      <c r="I917" s="26"/>
      <c r="J917" s="25"/>
      <c r="K917" s="25"/>
      <c r="L917" s="26"/>
      <c r="M917" s="25"/>
      <c r="N917" s="25"/>
      <c r="O917" s="26"/>
      <c r="P917" s="26"/>
      <c r="Q917" s="26"/>
      <c r="R917" s="26"/>
      <c r="S917" s="25"/>
      <c r="T917" s="26"/>
      <c r="U917" s="26"/>
      <c r="V917" s="25"/>
      <c r="W917" s="25"/>
      <c r="X917" s="26"/>
      <c r="Y917" s="25"/>
      <c r="Z917" s="10"/>
    </row>
    <row r="918" spans="1:26" ht="12.75">
      <c r="A918" s="25"/>
      <c r="B918" s="25"/>
      <c r="C918" s="25"/>
      <c r="D918" s="26"/>
      <c r="E918" s="26"/>
      <c r="F918" s="26"/>
      <c r="G918" s="26"/>
      <c r="H918" s="25"/>
      <c r="I918" s="26"/>
      <c r="J918" s="25"/>
      <c r="K918" s="25"/>
      <c r="L918" s="26"/>
      <c r="M918" s="25"/>
      <c r="N918" s="25"/>
      <c r="O918" s="26"/>
      <c r="P918" s="26"/>
      <c r="Q918" s="26"/>
      <c r="R918" s="26"/>
      <c r="S918" s="25"/>
      <c r="T918" s="26"/>
      <c r="U918" s="26"/>
      <c r="V918" s="25"/>
      <c r="W918" s="25"/>
      <c r="X918" s="26"/>
      <c r="Y918" s="25"/>
      <c r="Z918" s="10"/>
    </row>
    <row r="919" spans="1:26" ht="12.75">
      <c r="A919" s="25"/>
      <c r="B919" s="25"/>
      <c r="C919" s="25"/>
      <c r="D919" s="26"/>
      <c r="E919" s="26"/>
      <c r="F919" s="26"/>
      <c r="G919" s="26"/>
      <c r="H919" s="25"/>
      <c r="I919" s="26"/>
      <c r="J919" s="25"/>
      <c r="K919" s="25"/>
      <c r="L919" s="26"/>
      <c r="M919" s="25"/>
      <c r="N919" s="25"/>
      <c r="O919" s="26"/>
      <c r="P919" s="26"/>
      <c r="Q919" s="26"/>
      <c r="R919" s="26"/>
      <c r="S919" s="25"/>
      <c r="T919" s="26"/>
      <c r="U919" s="26"/>
      <c r="V919" s="25"/>
      <c r="W919" s="25"/>
      <c r="X919" s="26"/>
      <c r="Y919" s="25"/>
      <c r="Z919" s="10"/>
    </row>
    <row r="920" spans="1:26" ht="12.75">
      <c r="A920" s="25"/>
      <c r="B920" s="25"/>
      <c r="C920" s="25"/>
      <c r="D920" s="26"/>
      <c r="E920" s="26"/>
      <c r="F920" s="26"/>
      <c r="G920" s="26"/>
      <c r="H920" s="25"/>
      <c r="I920" s="26"/>
      <c r="J920" s="25"/>
      <c r="K920" s="25"/>
      <c r="L920" s="26"/>
      <c r="M920" s="25"/>
      <c r="N920" s="25"/>
      <c r="O920" s="26"/>
      <c r="P920" s="26"/>
      <c r="Q920" s="26"/>
      <c r="R920" s="26"/>
      <c r="S920" s="25"/>
      <c r="T920" s="26"/>
      <c r="U920" s="26"/>
      <c r="V920" s="25"/>
      <c r="W920" s="25"/>
      <c r="X920" s="26"/>
      <c r="Y920" s="25"/>
      <c r="Z920" s="10"/>
    </row>
    <row r="921" spans="1:26" ht="12.75">
      <c r="A921" s="25"/>
      <c r="B921" s="25"/>
      <c r="C921" s="25"/>
      <c r="D921" s="26"/>
      <c r="E921" s="26"/>
      <c r="F921" s="26"/>
      <c r="G921" s="26"/>
      <c r="H921" s="25"/>
      <c r="I921" s="26"/>
      <c r="J921" s="25"/>
      <c r="K921" s="25"/>
      <c r="L921" s="26"/>
      <c r="M921" s="25"/>
      <c r="N921" s="25"/>
      <c r="O921" s="26"/>
      <c r="P921" s="26"/>
      <c r="Q921" s="26"/>
      <c r="R921" s="26"/>
      <c r="S921" s="25"/>
      <c r="T921" s="26"/>
      <c r="U921" s="26"/>
      <c r="V921" s="25"/>
      <c r="W921" s="25"/>
      <c r="X921" s="26"/>
      <c r="Y921" s="25"/>
      <c r="Z921" s="10"/>
    </row>
    <row r="922" spans="1:26" ht="12.75">
      <c r="A922" s="25"/>
      <c r="B922" s="25"/>
      <c r="C922" s="25"/>
      <c r="D922" s="26"/>
      <c r="E922" s="26"/>
      <c r="F922" s="26"/>
      <c r="G922" s="26"/>
      <c r="H922" s="25"/>
      <c r="I922" s="26"/>
      <c r="J922" s="25"/>
      <c r="K922" s="25"/>
      <c r="L922" s="26"/>
      <c r="M922" s="25"/>
      <c r="N922" s="25"/>
      <c r="O922" s="26"/>
      <c r="P922" s="26"/>
      <c r="Q922" s="26"/>
      <c r="R922" s="26"/>
      <c r="S922" s="25"/>
      <c r="T922" s="26"/>
      <c r="U922" s="26"/>
      <c r="V922" s="25"/>
      <c r="W922" s="25"/>
      <c r="X922" s="26"/>
      <c r="Y922" s="25"/>
      <c r="Z922" s="10"/>
    </row>
    <row r="923" spans="1:26" ht="12.75">
      <c r="A923" s="25"/>
      <c r="B923" s="25"/>
      <c r="C923" s="25"/>
      <c r="D923" s="26"/>
      <c r="E923" s="26"/>
      <c r="F923" s="26"/>
      <c r="G923" s="26"/>
      <c r="H923" s="25"/>
      <c r="I923" s="26"/>
      <c r="J923" s="25"/>
      <c r="K923" s="25"/>
      <c r="L923" s="26"/>
      <c r="M923" s="25"/>
      <c r="N923" s="25"/>
      <c r="O923" s="26"/>
      <c r="P923" s="26"/>
      <c r="Q923" s="26"/>
      <c r="R923" s="26"/>
      <c r="S923" s="25"/>
      <c r="T923" s="26"/>
      <c r="U923" s="26"/>
      <c r="V923" s="25"/>
      <c r="W923" s="25"/>
      <c r="X923" s="26"/>
      <c r="Y923" s="25"/>
      <c r="Z923" s="10"/>
    </row>
    <row r="924" spans="1:26" ht="12.75">
      <c r="A924" s="25"/>
      <c r="B924" s="25"/>
      <c r="C924" s="25"/>
      <c r="D924" s="26"/>
      <c r="E924" s="26"/>
      <c r="F924" s="26"/>
      <c r="G924" s="26"/>
      <c r="H924" s="25"/>
      <c r="I924" s="26"/>
      <c r="J924" s="25"/>
      <c r="K924" s="25"/>
      <c r="L924" s="26"/>
      <c r="M924" s="25"/>
      <c r="N924" s="25"/>
      <c r="O924" s="26"/>
      <c r="P924" s="26"/>
      <c r="Q924" s="26"/>
      <c r="R924" s="26"/>
      <c r="S924" s="25"/>
      <c r="T924" s="26"/>
      <c r="U924" s="26"/>
      <c r="V924" s="25"/>
      <c r="W924" s="25"/>
      <c r="X924" s="26"/>
      <c r="Y924" s="25"/>
      <c r="Z924" s="10"/>
    </row>
    <row r="925" spans="1:26" ht="12.75">
      <c r="A925" s="25"/>
      <c r="B925" s="25"/>
      <c r="C925" s="25"/>
      <c r="D925" s="26"/>
      <c r="E925" s="26"/>
      <c r="F925" s="26"/>
      <c r="G925" s="26"/>
      <c r="H925" s="25"/>
      <c r="I925" s="26"/>
      <c r="J925" s="25"/>
      <c r="K925" s="25"/>
      <c r="L925" s="26"/>
      <c r="M925" s="25"/>
      <c r="N925" s="25"/>
      <c r="O925" s="26"/>
      <c r="P925" s="26"/>
      <c r="Q925" s="26"/>
      <c r="R925" s="26"/>
      <c r="S925" s="25"/>
      <c r="T925" s="26"/>
      <c r="U925" s="26"/>
      <c r="V925" s="25"/>
      <c r="W925" s="25"/>
      <c r="X925" s="26"/>
      <c r="Y925" s="25"/>
      <c r="Z925" s="10"/>
    </row>
    <row r="926" spans="1:26" ht="12.75">
      <c r="A926" s="25"/>
      <c r="B926" s="25"/>
      <c r="C926" s="25"/>
      <c r="D926" s="26"/>
      <c r="E926" s="26"/>
      <c r="F926" s="26"/>
      <c r="G926" s="26"/>
      <c r="H926" s="25"/>
      <c r="I926" s="26"/>
      <c r="J926" s="25"/>
      <c r="K926" s="25"/>
      <c r="L926" s="26"/>
      <c r="M926" s="25"/>
      <c r="N926" s="25"/>
      <c r="O926" s="26"/>
      <c r="P926" s="26"/>
      <c r="Q926" s="26"/>
      <c r="R926" s="26"/>
      <c r="S926" s="25"/>
      <c r="T926" s="26"/>
      <c r="U926" s="26"/>
      <c r="V926" s="25"/>
      <c r="W926" s="25"/>
      <c r="X926" s="26"/>
      <c r="Y926" s="25"/>
      <c r="Z926" s="10"/>
    </row>
    <row r="927" spans="1:26" ht="12.75">
      <c r="A927" s="25"/>
      <c r="B927" s="25"/>
      <c r="C927" s="25"/>
      <c r="D927" s="26"/>
      <c r="E927" s="26"/>
      <c r="F927" s="26"/>
      <c r="G927" s="26"/>
      <c r="H927" s="25"/>
      <c r="I927" s="26"/>
      <c r="J927" s="25"/>
      <c r="K927" s="25"/>
      <c r="L927" s="26"/>
      <c r="M927" s="25"/>
      <c r="N927" s="25"/>
      <c r="O927" s="26"/>
      <c r="P927" s="26"/>
      <c r="Q927" s="26"/>
      <c r="R927" s="26"/>
      <c r="S927" s="25"/>
      <c r="T927" s="26"/>
      <c r="U927" s="26"/>
      <c r="V927" s="25"/>
      <c r="W927" s="25"/>
      <c r="X927" s="26"/>
      <c r="Y927" s="25"/>
      <c r="Z927" s="10"/>
    </row>
    <row r="928" spans="1:26" ht="12.75">
      <c r="A928" s="25"/>
      <c r="B928" s="25"/>
      <c r="C928" s="25"/>
      <c r="D928" s="26"/>
      <c r="E928" s="26"/>
      <c r="F928" s="26"/>
      <c r="G928" s="26"/>
      <c r="H928" s="25"/>
      <c r="I928" s="26"/>
      <c r="J928" s="25"/>
      <c r="K928" s="25"/>
      <c r="L928" s="26"/>
      <c r="M928" s="25"/>
      <c r="N928" s="25"/>
      <c r="O928" s="26"/>
      <c r="P928" s="26"/>
      <c r="Q928" s="26"/>
      <c r="R928" s="26"/>
      <c r="S928" s="25"/>
      <c r="T928" s="26"/>
      <c r="U928" s="26"/>
      <c r="V928" s="25"/>
      <c r="W928" s="25"/>
      <c r="X928" s="26"/>
      <c r="Y928" s="25"/>
      <c r="Z928" s="10"/>
    </row>
    <row r="929" spans="1:26" ht="12.75">
      <c r="A929" s="25"/>
      <c r="B929" s="25"/>
      <c r="C929" s="25"/>
      <c r="D929" s="26"/>
      <c r="E929" s="26"/>
      <c r="F929" s="26"/>
      <c r="G929" s="26"/>
      <c r="H929" s="25"/>
      <c r="I929" s="26"/>
      <c r="J929" s="25"/>
      <c r="K929" s="25"/>
      <c r="L929" s="26"/>
      <c r="M929" s="25"/>
      <c r="N929" s="25"/>
      <c r="O929" s="26"/>
      <c r="P929" s="26"/>
      <c r="Q929" s="26"/>
      <c r="R929" s="26"/>
      <c r="S929" s="25"/>
      <c r="T929" s="26"/>
      <c r="U929" s="26"/>
      <c r="V929" s="25"/>
      <c r="W929" s="25"/>
      <c r="X929" s="26"/>
      <c r="Y929" s="25"/>
      <c r="Z929" s="10"/>
    </row>
    <row r="930" spans="1:26" ht="12.75">
      <c r="A930" s="25"/>
      <c r="B930" s="25"/>
      <c r="C930" s="25"/>
      <c r="D930" s="26"/>
      <c r="E930" s="26"/>
      <c r="F930" s="26"/>
      <c r="G930" s="26"/>
      <c r="H930" s="25"/>
      <c r="I930" s="26"/>
      <c r="J930" s="25"/>
      <c r="K930" s="25"/>
      <c r="L930" s="26"/>
      <c r="M930" s="25"/>
      <c r="N930" s="25"/>
      <c r="O930" s="26"/>
      <c r="P930" s="26"/>
      <c r="Q930" s="26"/>
      <c r="R930" s="26"/>
      <c r="S930" s="25"/>
      <c r="T930" s="26"/>
      <c r="U930" s="26"/>
      <c r="V930" s="25"/>
      <c r="W930" s="25"/>
      <c r="X930" s="26"/>
      <c r="Y930" s="25"/>
      <c r="Z930" s="10"/>
    </row>
    <row r="931" spans="1:26" ht="12.75">
      <c r="A931" s="25"/>
      <c r="B931" s="25"/>
      <c r="C931" s="25"/>
      <c r="D931" s="26"/>
      <c r="E931" s="26"/>
      <c r="F931" s="26"/>
      <c r="G931" s="26"/>
      <c r="H931" s="25"/>
      <c r="I931" s="26"/>
      <c r="J931" s="25"/>
      <c r="K931" s="25"/>
      <c r="L931" s="26"/>
      <c r="M931" s="25"/>
      <c r="N931" s="25"/>
      <c r="O931" s="26"/>
      <c r="P931" s="26"/>
      <c r="Q931" s="26"/>
      <c r="R931" s="26"/>
      <c r="S931" s="25"/>
      <c r="T931" s="26"/>
      <c r="U931" s="26"/>
      <c r="V931" s="25"/>
      <c r="W931" s="25"/>
      <c r="X931" s="26"/>
      <c r="Y931" s="25"/>
      <c r="Z931" s="10"/>
    </row>
    <row r="932" spans="1:26" ht="12.75">
      <c r="A932" s="25"/>
      <c r="B932" s="25"/>
      <c r="C932" s="25"/>
      <c r="D932" s="26"/>
      <c r="E932" s="26"/>
      <c r="F932" s="26"/>
      <c r="G932" s="26"/>
      <c r="H932" s="25"/>
      <c r="I932" s="26"/>
      <c r="J932" s="25"/>
      <c r="K932" s="25"/>
      <c r="L932" s="26"/>
      <c r="M932" s="25"/>
      <c r="N932" s="25"/>
      <c r="O932" s="26"/>
      <c r="P932" s="26"/>
      <c r="Q932" s="26"/>
      <c r="R932" s="26"/>
      <c r="S932" s="25"/>
      <c r="T932" s="26"/>
      <c r="U932" s="26"/>
      <c r="V932" s="25"/>
      <c r="W932" s="25"/>
      <c r="X932" s="26"/>
      <c r="Y932" s="25"/>
      <c r="Z932" s="10"/>
    </row>
    <row r="933" spans="1:26" ht="12.75">
      <c r="A933" s="25"/>
      <c r="B933" s="25"/>
      <c r="C933" s="25"/>
      <c r="D933" s="26"/>
      <c r="E933" s="26"/>
      <c r="F933" s="26"/>
      <c r="G933" s="26"/>
      <c r="H933" s="25"/>
      <c r="I933" s="26"/>
      <c r="J933" s="25"/>
      <c r="K933" s="25"/>
      <c r="L933" s="26"/>
      <c r="M933" s="25"/>
      <c r="N933" s="25"/>
      <c r="O933" s="26"/>
      <c r="P933" s="26"/>
      <c r="Q933" s="26"/>
      <c r="R933" s="26"/>
      <c r="S933" s="25"/>
      <c r="T933" s="26"/>
      <c r="U933" s="26"/>
      <c r="V933" s="25"/>
      <c r="W933" s="25"/>
      <c r="X933" s="26"/>
      <c r="Y933" s="25"/>
      <c r="Z933" s="10"/>
    </row>
    <row r="934" spans="1:26" ht="12.75">
      <c r="A934" s="25"/>
      <c r="B934" s="25"/>
      <c r="C934" s="25"/>
      <c r="D934" s="26"/>
      <c r="E934" s="26"/>
      <c r="F934" s="26"/>
      <c r="G934" s="26"/>
      <c r="H934" s="25"/>
      <c r="I934" s="26"/>
      <c r="J934" s="25"/>
      <c r="K934" s="25"/>
      <c r="L934" s="26"/>
      <c r="M934" s="25"/>
      <c r="N934" s="25"/>
      <c r="O934" s="26"/>
      <c r="P934" s="26"/>
      <c r="Q934" s="26"/>
      <c r="R934" s="26"/>
      <c r="S934" s="25"/>
      <c r="T934" s="26"/>
      <c r="U934" s="26"/>
      <c r="V934" s="25"/>
      <c r="W934" s="25"/>
      <c r="X934" s="26"/>
      <c r="Y934" s="25"/>
      <c r="Z934" s="10"/>
    </row>
    <row r="935" spans="1:26" ht="12.75">
      <c r="A935" s="25"/>
      <c r="B935" s="25"/>
      <c r="C935" s="25"/>
      <c r="D935" s="26"/>
      <c r="E935" s="26"/>
      <c r="F935" s="26"/>
      <c r="G935" s="26"/>
      <c r="H935" s="25"/>
      <c r="I935" s="26"/>
      <c r="J935" s="25"/>
      <c r="K935" s="25"/>
      <c r="L935" s="26"/>
      <c r="M935" s="25"/>
      <c r="N935" s="25"/>
      <c r="O935" s="26"/>
      <c r="P935" s="26"/>
      <c r="Q935" s="26"/>
      <c r="R935" s="26"/>
      <c r="S935" s="25"/>
      <c r="T935" s="26"/>
      <c r="U935" s="26"/>
      <c r="V935" s="25"/>
      <c r="W935" s="25"/>
      <c r="X935" s="26"/>
      <c r="Y935" s="25"/>
      <c r="Z935" s="10"/>
    </row>
    <row r="936" spans="1:26" ht="12.75">
      <c r="A936" s="25"/>
      <c r="B936" s="25"/>
      <c r="C936" s="25"/>
      <c r="D936" s="26"/>
      <c r="E936" s="26"/>
      <c r="F936" s="26"/>
      <c r="G936" s="26"/>
      <c r="H936" s="25"/>
      <c r="I936" s="26"/>
      <c r="J936" s="25"/>
      <c r="K936" s="25"/>
      <c r="L936" s="26"/>
      <c r="M936" s="25"/>
      <c r="N936" s="25"/>
      <c r="O936" s="26"/>
      <c r="P936" s="26"/>
      <c r="Q936" s="26"/>
      <c r="R936" s="26"/>
      <c r="S936" s="25"/>
      <c r="T936" s="26"/>
      <c r="U936" s="26"/>
      <c r="V936" s="25"/>
      <c r="W936" s="25"/>
      <c r="X936" s="26"/>
      <c r="Y936" s="25"/>
      <c r="Z936" s="10"/>
    </row>
    <row r="937" spans="1:26" ht="12.75">
      <c r="A937" s="25"/>
      <c r="B937" s="25"/>
      <c r="C937" s="25"/>
      <c r="D937" s="26"/>
      <c r="E937" s="26"/>
      <c r="F937" s="26"/>
      <c r="G937" s="26"/>
      <c r="H937" s="25"/>
      <c r="I937" s="26"/>
      <c r="J937" s="25"/>
      <c r="K937" s="25"/>
      <c r="L937" s="26"/>
      <c r="M937" s="25"/>
      <c r="N937" s="25"/>
      <c r="O937" s="26"/>
      <c r="P937" s="26"/>
      <c r="Q937" s="26"/>
      <c r="R937" s="26"/>
      <c r="S937" s="25"/>
      <c r="T937" s="26"/>
      <c r="U937" s="26"/>
      <c r="V937" s="25"/>
      <c r="W937" s="25"/>
      <c r="X937" s="26"/>
      <c r="Y937" s="25"/>
      <c r="Z937" s="10"/>
    </row>
    <row r="938" spans="1:26" ht="12.75">
      <c r="A938" s="25"/>
      <c r="B938" s="25"/>
      <c r="C938" s="25"/>
      <c r="D938" s="26"/>
      <c r="E938" s="26"/>
      <c r="F938" s="26"/>
      <c r="G938" s="26"/>
      <c r="H938" s="25"/>
      <c r="I938" s="26"/>
      <c r="J938" s="25"/>
      <c r="K938" s="25"/>
      <c r="L938" s="26"/>
      <c r="M938" s="25"/>
      <c r="N938" s="25"/>
      <c r="O938" s="26"/>
      <c r="P938" s="26"/>
      <c r="Q938" s="26"/>
      <c r="R938" s="26"/>
      <c r="S938" s="25"/>
      <c r="T938" s="26"/>
      <c r="U938" s="26"/>
      <c r="V938" s="25"/>
      <c r="W938" s="25"/>
      <c r="X938" s="26"/>
      <c r="Y938" s="25"/>
      <c r="Z938" s="10"/>
    </row>
    <row r="939" spans="1:26" ht="12.75">
      <c r="A939" s="25"/>
      <c r="B939" s="25"/>
      <c r="C939" s="25"/>
      <c r="D939" s="26"/>
      <c r="E939" s="26"/>
      <c r="F939" s="26"/>
      <c r="G939" s="26"/>
      <c r="H939" s="25"/>
      <c r="I939" s="26"/>
      <c r="J939" s="25"/>
      <c r="K939" s="25"/>
      <c r="L939" s="26"/>
      <c r="M939" s="25"/>
      <c r="N939" s="25"/>
      <c r="O939" s="26"/>
      <c r="P939" s="26"/>
      <c r="Q939" s="26"/>
      <c r="R939" s="26"/>
      <c r="S939" s="25"/>
      <c r="T939" s="26"/>
      <c r="U939" s="26"/>
      <c r="V939" s="25"/>
      <c r="W939" s="25"/>
      <c r="X939" s="26"/>
      <c r="Y939" s="25"/>
      <c r="Z939" s="10"/>
    </row>
    <row r="940" spans="1:26" ht="12.75">
      <c r="A940" s="25"/>
      <c r="B940" s="25"/>
      <c r="C940" s="25"/>
      <c r="D940" s="26"/>
      <c r="E940" s="26"/>
      <c r="F940" s="26"/>
      <c r="G940" s="26"/>
      <c r="H940" s="25"/>
      <c r="I940" s="26"/>
      <c r="J940" s="25"/>
      <c r="K940" s="25"/>
      <c r="L940" s="26"/>
      <c r="M940" s="25"/>
      <c r="N940" s="25"/>
      <c r="O940" s="26"/>
      <c r="P940" s="26"/>
      <c r="Q940" s="26"/>
      <c r="R940" s="26"/>
      <c r="S940" s="25"/>
      <c r="T940" s="26"/>
      <c r="U940" s="26"/>
      <c r="V940" s="25"/>
      <c r="W940" s="25"/>
      <c r="X940" s="26"/>
      <c r="Y940" s="25"/>
      <c r="Z940" s="10"/>
    </row>
    <row r="941" spans="1:26" ht="12.75">
      <c r="A941" s="25"/>
      <c r="B941" s="25"/>
      <c r="C941" s="25"/>
      <c r="D941" s="26"/>
      <c r="E941" s="26"/>
      <c r="F941" s="26"/>
      <c r="G941" s="26"/>
      <c r="H941" s="25"/>
      <c r="I941" s="26"/>
      <c r="J941" s="25"/>
      <c r="K941" s="25"/>
      <c r="L941" s="26"/>
      <c r="M941" s="25"/>
      <c r="N941" s="25"/>
      <c r="O941" s="26"/>
      <c r="P941" s="26"/>
      <c r="Q941" s="26"/>
      <c r="R941" s="26"/>
      <c r="S941" s="25"/>
      <c r="T941" s="26"/>
      <c r="U941" s="26"/>
      <c r="V941" s="25"/>
      <c r="W941" s="25"/>
      <c r="X941" s="26"/>
      <c r="Y941" s="25"/>
      <c r="Z941" s="10"/>
    </row>
    <row r="942" spans="1:26" ht="12.75">
      <c r="A942" s="25"/>
      <c r="B942" s="25"/>
      <c r="C942" s="25"/>
      <c r="D942" s="26"/>
      <c r="E942" s="26"/>
      <c r="F942" s="26"/>
      <c r="G942" s="26"/>
      <c r="H942" s="25"/>
      <c r="I942" s="26"/>
      <c r="J942" s="25"/>
      <c r="K942" s="25"/>
      <c r="L942" s="26"/>
      <c r="M942" s="25"/>
      <c r="N942" s="25"/>
      <c r="O942" s="26"/>
      <c r="P942" s="26"/>
      <c r="Q942" s="26"/>
      <c r="R942" s="26"/>
      <c r="S942" s="25"/>
      <c r="T942" s="26"/>
      <c r="U942" s="26"/>
      <c r="V942" s="25"/>
      <c r="W942" s="25"/>
      <c r="X942" s="26"/>
      <c r="Y942" s="25"/>
      <c r="Z942" s="10"/>
    </row>
    <row r="943" spans="1:26" ht="12.75">
      <c r="A943" s="25"/>
      <c r="B943" s="25"/>
      <c r="C943" s="25"/>
      <c r="D943" s="26"/>
      <c r="E943" s="26"/>
      <c r="F943" s="26"/>
      <c r="G943" s="26"/>
      <c r="H943" s="25"/>
      <c r="I943" s="26"/>
      <c r="J943" s="25"/>
      <c r="K943" s="25"/>
      <c r="L943" s="26"/>
      <c r="M943" s="25"/>
      <c r="N943" s="25"/>
      <c r="O943" s="26"/>
      <c r="P943" s="26"/>
      <c r="Q943" s="26"/>
      <c r="R943" s="26"/>
      <c r="S943" s="25"/>
      <c r="T943" s="26"/>
      <c r="U943" s="26"/>
      <c r="V943" s="25"/>
      <c r="W943" s="25"/>
      <c r="X943" s="26"/>
      <c r="Y943" s="25"/>
      <c r="Z943" s="10"/>
    </row>
    <row r="944" spans="1:26" ht="12.75">
      <c r="A944" s="25"/>
      <c r="B944" s="25"/>
      <c r="C944" s="25"/>
      <c r="D944" s="26"/>
      <c r="E944" s="26"/>
      <c r="F944" s="26"/>
      <c r="G944" s="26"/>
      <c r="H944" s="25"/>
      <c r="I944" s="26"/>
      <c r="J944" s="25"/>
      <c r="K944" s="25"/>
      <c r="L944" s="26"/>
      <c r="M944" s="25"/>
      <c r="N944" s="25"/>
      <c r="O944" s="26"/>
      <c r="P944" s="26"/>
      <c r="Q944" s="26"/>
      <c r="R944" s="26"/>
      <c r="S944" s="25"/>
      <c r="T944" s="26"/>
      <c r="U944" s="26"/>
      <c r="V944" s="25"/>
      <c r="W944" s="25"/>
      <c r="X944" s="26"/>
      <c r="Y944" s="25"/>
      <c r="Z944" s="10"/>
    </row>
    <row r="945" spans="1:26" ht="12.75">
      <c r="A945" s="25"/>
      <c r="B945" s="25"/>
      <c r="C945" s="25"/>
      <c r="D945" s="26"/>
      <c r="E945" s="26"/>
      <c r="F945" s="26"/>
      <c r="G945" s="26"/>
      <c r="H945" s="25"/>
      <c r="I945" s="26"/>
      <c r="J945" s="25"/>
      <c r="K945" s="25"/>
      <c r="L945" s="26"/>
      <c r="M945" s="25"/>
      <c r="N945" s="25"/>
      <c r="O945" s="26"/>
      <c r="P945" s="26"/>
      <c r="Q945" s="26"/>
      <c r="R945" s="26"/>
      <c r="S945" s="25"/>
      <c r="T945" s="26"/>
      <c r="U945" s="26"/>
      <c r="V945" s="25"/>
      <c r="W945" s="25"/>
      <c r="X945" s="26"/>
      <c r="Y945" s="25"/>
      <c r="Z945" s="10"/>
    </row>
    <row r="946" spans="1:26" ht="12.75">
      <c r="A946" s="25"/>
      <c r="B946" s="25"/>
      <c r="C946" s="25"/>
      <c r="D946" s="26"/>
      <c r="E946" s="26"/>
      <c r="F946" s="26"/>
      <c r="G946" s="26"/>
      <c r="H946" s="25"/>
      <c r="I946" s="26"/>
      <c r="J946" s="25"/>
      <c r="K946" s="25"/>
      <c r="L946" s="26"/>
      <c r="M946" s="25"/>
      <c r="N946" s="25"/>
      <c r="O946" s="26"/>
      <c r="P946" s="26"/>
      <c r="Q946" s="26"/>
      <c r="R946" s="26"/>
      <c r="S946" s="25"/>
      <c r="T946" s="26"/>
      <c r="U946" s="26"/>
      <c r="V946" s="25"/>
      <c r="W946" s="25"/>
      <c r="X946" s="26"/>
      <c r="Y946" s="25"/>
      <c r="Z946" s="10"/>
    </row>
    <row r="947" spans="1:26" ht="12.75">
      <c r="A947" s="25"/>
      <c r="B947" s="25"/>
      <c r="C947" s="25"/>
      <c r="D947" s="26"/>
      <c r="E947" s="26"/>
      <c r="F947" s="26"/>
      <c r="G947" s="26"/>
      <c r="H947" s="25"/>
      <c r="I947" s="26"/>
      <c r="J947" s="25"/>
      <c r="K947" s="25"/>
      <c r="L947" s="26"/>
      <c r="M947" s="25"/>
      <c r="N947" s="25"/>
      <c r="O947" s="26"/>
      <c r="P947" s="26"/>
      <c r="Q947" s="26"/>
      <c r="R947" s="26"/>
      <c r="S947" s="25"/>
      <c r="T947" s="26"/>
      <c r="U947" s="26"/>
      <c r="V947" s="25"/>
      <c r="W947" s="25"/>
      <c r="X947" s="26"/>
      <c r="Y947" s="25"/>
      <c r="Z947" s="10"/>
    </row>
    <row r="948" spans="1:26" ht="12.75">
      <c r="A948" s="25"/>
      <c r="B948" s="25"/>
      <c r="C948" s="25"/>
      <c r="D948" s="26"/>
      <c r="E948" s="26"/>
      <c r="F948" s="26"/>
      <c r="G948" s="26"/>
      <c r="H948" s="25"/>
      <c r="I948" s="26"/>
      <c r="J948" s="25"/>
      <c r="K948" s="25"/>
      <c r="L948" s="26"/>
      <c r="M948" s="25"/>
      <c r="N948" s="25"/>
      <c r="O948" s="26"/>
      <c r="P948" s="26"/>
      <c r="Q948" s="26"/>
      <c r="R948" s="26"/>
      <c r="S948" s="25"/>
      <c r="T948" s="26"/>
      <c r="U948" s="26"/>
      <c r="V948" s="25"/>
      <c r="W948" s="25"/>
      <c r="X948" s="26"/>
      <c r="Y948" s="25"/>
      <c r="Z948" s="10"/>
    </row>
    <row r="949" spans="1:26" ht="12.75">
      <c r="A949" s="25"/>
      <c r="B949" s="25"/>
      <c r="C949" s="25"/>
      <c r="D949" s="26"/>
      <c r="E949" s="26"/>
      <c r="F949" s="26"/>
      <c r="G949" s="26"/>
      <c r="H949" s="25"/>
      <c r="I949" s="26"/>
      <c r="J949" s="25"/>
      <c r="K949" s="25"/>
      <c r="L949" s="26"/>
      <c r="M949" s="25"/>
      <c r="N949" s="25"/>
      <c r="O949" s="26"/>
      <c r="P949" s="26"/>
      <c r="Q949" s="26"/>
      <c r="R949" s="26"/>
      <c r="S949" s="25"/>
      <c r="T949" s="26"/>
      <c r="U949" s="26"/>
      <c r="V949" s="25"/>
      <c r="W949" s="25"/>
      <c r="X949" s="26"/>
      <c r="Y949" s="25"/>
      <c r="Z949" s="10"/>
    </row>
    <row r="950" spans="1:26" ht="12.75">
      <c r="A950" s="25"/>
      <c r="B950" s="25"/>
      <c r="C950" s="25"/>
      <c r="D950" s="26"/>
      <c r="E950" s="26"/>
      <c r="F950" s="26"/>
      <c r="G950" s="26"/>
      <c r="H950" s="25"/>
      <c r="I950" s="26"/>
      <c r="J950" s="25"/>
      <c r="K950" s="25"/>
      <c r="L950" s="26"/>
      <c r="M950" s="25"/>
      <c r="N950" s="25"/>
      <c r="O950" s="26"/>
      <c r="P950" s="26"/>
      <c r="Q950" s="26"/>
      <c r="R950" s="26"/>
      <c r="S950" s="25"/>
      <c r="T950" s="26"/>
      <c r="U950" s="26"/>
      <c r="V950" s="25"/>
      <c r="W950" s="25"/>
      <c r="X950" s="26"/>
      <c r="Y950" s="25"/>
      <c r="Z950" s="10"/>
    </row>
    <row r="951" spans="1:26" ht="12.75">
      <c r="A951" s="25"/>
      <c r="B951" s="25"/>
      <c r="C951" s="25"/>
      <c r="D951" s="26"/>
      <c r="E951" s="26"/>
      <c r="F951" s="26"/>
      <c r="G951" s="26"/>
      <c r="H951" s="25"/>
      <c r="I951" s="26"/>
      <c r="J951" s="25"/>
      <c r="K951" s="25"/>
      <c r="L951" s="26"/>
      <c r="M951" s="25"/>
      <c r="N951" s="25"/>
      <c r="O951" s="26"/>
      <c r="P951" s="26"/>
      <c r="Q951" s="26"/>
      <c r="R951" s="26"/>
      <c r="S951" s="25"/>
      <c r="T951" s="26"/>
      <c r="U951" s="26"/>
      <c r="V951" s="25"/>
      <c r="W951" s="25"/>
      <c r="X951" s="26"/>
      <c r="Y951" s="25"/>
      <c r="Z951" s="10"/>
    </row>
    <row r="952" spans="1:26" ht="12.75">
      <c r="A952" s="25"/>
      <c r="B952" s="25"/>
      <c r="C952" s="25"/>
      <c r="D952" s="26"/>
      <c r="E952" s="26"/>
      <c r="F952" s="26"/>
      <c r="G952" s="26"/>
      <c r="H952" s="25"/>
      <c r="I952" s="26"/>
      <c r="J952" s="25"/>
      <c r="K952" s="25"/>
      <c r="L952" s="26"/>
      <c r="M952" s="25"/>
      <c r="N952" s="25"/>
      <c r="O952" s="26"/>
      <c r="P952" s="26"/>
      <c r="Q952" s="26"/>
      <c r="R952" s="26"/>
      <c r="S952" s="25"/>
      <c r="T952" s="26"/>
      <c r="U952" s="26"/>
      <c r="V952" s="25"/>
      <c r="W952" s="25"/>
      <c r="X952" s="26"/>
      <c r="Y952" s="25"/>
      <c r="Z952" s="10"/>
    </row>
    <row r="953" spans="1:26" ht="12.75">
      <c r="A953" s="25"/>
      <c r="B953" s="25"/>
      <c r="C953" s="25"/>
      <c r="D953" s="26"/>
      <c r="E953" s="26"/>
      <c r="F953" s="26"/>
      <c r="G953" s="26"/>
      <c r="H953" s="25"/>
      <c r="I953" s="26"/>
      <c r="J953" s="25"/>
      <c r="K953" s="25"/>
      <c r="L953" s="26"/>
      <c r="M953" s="25"/>
      <c r="N953" s="25"/>
      <c r="O953" s="26"/>
      <c r="P953" s="26"/>
      <c r="Q953" s="26"/>
      <c r="R953" s="26"/>
      <c r="S953" s="25"/>
      <c r="T953" s="26"/>
      <c r="U953" s="26"/>
      <c r="V953" s="25"/>
      <c r="W953" s="25"/>
      <c r="X953" s="26"/>
      <c r="Y953" s="25"/>
      <c r="Z953" s="10"/>
    </row>
    <row r="954" spans="1:26" ht="12.75">
      <c r="A954" s="25"/>
      <c r="B954" s="25"/>
      <c r="C954" s="25"/>
      <c r="D954" s="26"/>
      <c r="E954" s="26"/>
      <c r="F954" s="26"/>
      <c r="G954" s="26"/>
      <c r="H954" s="25"/>
      <c r="I954" s="26"/>
      <c r="J954" s="25"/>
      <c r="K954" s="25"/>
      <c r="L954" s="26"/>
      <c r="M954" s="25"/>
      <c r="N954" s="25"/>
      <c r="O954" s="26"/>
      <c r="P954" s="26"/>
      <c r="Q954" s="26"/>
      <c r="R954" s="26"/>
      <c r="S954" s="25"/>
      <c r="T954" s="26"/>
      <c r="U954" s="26"/>
      <c r="V954" s="25"/>
      <c r="W954" s="25"/>
      <c r="X954" s="26"/>
      <c r="Y954" s="25"/>
      <c r="Z954" s="10"/>
    </row>
    <row r="955" spans="1:26" ht="12.75">
      <c r="A955" s="25"/>
      <c r="B955" s="25"/>
      <c r="C955" s="25"/>
      <c r="D955" s="26"/>
      <c r="E955" s="26"/>
      <c r="F955" s="26"/>
      <c r="G955" s="26"/>
      <c r="H955" s="25"/>
      <c r="I955" s="26"/>
      <c r="J955" s="25"/>
      <c r="K955" s="25"/>
      <c r="L955" s="26"/>
      <c r="M955" s="25"/>
      <c r="N955" s="25"/>
      <c r="O955" s="26"/>
      <c r="P955" s="26"/>
      <c r="Q955" s="26"/>
      <c r="R955" s="26"/>
      <c r="S955" s="25"/>
      <c r="T955" s="26"/>
      <c r="U955" s="26"/>
      <c r="V955" s="25"/>
      <c r="W955" s="25"/>
      <c r="X955" s="26"/>
      <c r="Y955" s="25"/>
      <c r="Z955" s="10"/>
    </row>
    <row r="956" spans="1:26" ht="12.75">
      <c r="A956" s="25"/>
      <c r="B956" s="25"/>
      <c r="C956" s="25"/>
      <c r="D956" s="26"/>
      <c r="E956" s="26"/>
      <c r="F956" s="26"/>
      <c r="G956" s="26"/>
      <c r="H956" s="25"/>
      <c r="I956" s="26"/>
      <c r="J956" s="25"/>
      <c r="K956" s="25"/>
      <c r="L956" s="26"/>
      <c r="M956" s="25"/>
      <c r="N956" s="25"/>
      <c r="O956" s="26"/>
      <c r="P956" s="26"/>
      <c r="Q956" s="26"/>
      <c r="R956" s="26"/>
      <c r="S956" s="25"/>
      <c r="T956" s="26"/>
      <c r="U956" s="26"/>
      <c r="V956" s="25"/>
      <c r="W956" s="25"/>
      <c r="X956" s="26"/>
      <c r="Y956" s="25"/>
      <c r="Z956" s="10"/>
    </row>
    <row r="957" spans="1:26" ht="12.75">
      <c r="A957" s="25"/>
      <c r="B957" s="25"/>
      <c r="C957" s="25"/>
      <c r="D957" s="26"/>
      <c r="E957" s="26"/>
      <c r="F957" s="26"/>
      <c r="G957" s="26"/>
      <c r="H957" s="25"/>
      <c r="I957" s="26"/>
      <c r="J957" s="25"/>
      <c r="K957" s="25"/>
      <c r="L957" s="26"/>
      <c r="M957" s="25"/>
      <c r="N957" s="25"/>
      <c r="O957" s="26"/>
      <c r="P957" s="26"/>
      <c r="Q957" s="26"/>
      <c r="R957" s="26"/>
      <c r="S957" s="25"/>
      <c r="T957" s="26"/>
      <c r="U957" s="26"/>
      <c r="V957" s="25"/>
      <c r="W957" s="25"/>
      <c r="X957" s="26"/>
      <c r="Y957" s="25"/>
      <c r="Z957" s="10"/>
    </row>
    <row r="958" spans="1:26" ht="12.75">
      <c r="A958" s="25"/>
      <c r="B958" s="25"/>
      <c r="C958" s="25"/>
      <c r="D958" s="26"/>
      <c r="E958" s="26"/>
      <c r="F958" s="26"/>
      <c r="G958" s="26"/>
      <c r="H958" s="25"/>
      <c r="I958" s="26"/>
      <c r="J958" s="25"/>
      <c r="K958" s="25"/>
      <c r="L958" s="26"/>
      <c r="M958" s="25"/>
      <c r="N958" s="25"/>
      <c r="O958" s="26"/>
      <c r="P958" s="26"/>
      <c r="Q958" s="26"/>
      <c r="R958" s="26"/>
      <c r="S958" s="25"/>
      <c r="T958" s="26"/>
      <c r="U958" s="26"/>
      <c r="V958" s="25"/>
      <c r="W958" s="25"/>
      <c r="X958" s="26"/>
      <c r="Y958" s="25"/>
      <c r="Z958" s="10"/>
    </row>
    <row r="959" spans="1:26" ht="12.75">
      <c r="A959" s="25"/>
      <c r="B959" s="25"/>
      <c r="C959" s="25"/>
      <c r="D959" s="26"/>
      <c r="E959" s="26"/>
      <c r="F959" s="26"/>
      <c r="G959" s="26"/>
      <c r="H959" s="25"/>
      <c r="I959" s="26"/>
      <c r="J959" s="25"/>
      <c r="K959" s="25"/>
      <c r="L959" s="26"/>
      <c r="M959" s="25"/>
      <c r="N959" s="25"/>
      <c r="O959" s="26"/>
      <c r="P959" s="26"/>
      <c r="Q959" s="26"/>
      <c r="R959" s="26"/>
      <c r="S959" s="25"/>
      <c r="T959" s="26"/>
      <c r="U959" s="26"/>
      <c r="V959" s="25"/>
      <c r="W959" s="25"/>
      <c r="X959" s="26"/>
      <c r="Y959" s="25"/>
      <c r="Z959" s="10"/>
    </row>
    <row r="960" spans="1:26" ht="12.75">
      <c r="A960" s="25"/>
      <c r="B960" s="25"/>
      <c r="C960" s="25"/>
      <c r="D960" s="26"/>
      <c r="E960" s="26"/>
      <c r="F960" s="26"/>
      <c r="G960" s="26"/>
      <c r="H960" s="25"/>
      <c r="I960" s="26"/>
      <c r="J960" s="25"/>
      <c r="K960" s="25"/>
      <c r="L960" s="26"/>
      <c r="M960" s="25"/>
      <c r="N960" s="25"/>
      <c r="O960" s="26"/>
      <c r="P960" s="26"/>
      <c r="Q960" s="26"/>
      <c r="R960" s="26"/>
      <c r="S960" s="25"/>
      <c r="T960" s="26"/>
      <c r="U960" s="26"/>
      <c r="V960" s="25"/>
      <c r="W960" s="25"/>
      <c r="X960" s="26"/>
      <c r="Y960" s="25"/>
      <c r="Z960" s="10"/>
    </row>
    <row r="961" spans="1:26" ht="12.75">
      <c r="A961" s="25"/>
      <c r="B961" s="25"/>
      <c r="C961" s="25"/>
      <c r="D961" s="26"/>
      <c r="E961" s="26"/>
      <c r="F961" s="26"/>
      <c r="G961" s="26"/>
      <c r="H961" s="25"/>
      <c r="I961" s="26"/>
      <c r="J961" s="25"/>
      <c r="K961" s="25"/>
      <c r="L961" s="26"/>
      <c r="M961" s="25"/>
      <c r="N961" s="25"/>
      <c r="O961" s="26"/>
      <c r="P961" s="26"/>
      <c r="Q961" s="26"/>
      <c r="R961" s="26"/>
      <c r="S961" s="25"/>
      <c r="T961" s="26"/>
      <c r="U961" s="26"/>
      <c r="V961" s="25"/>
      <c r="W961" s="25"/>
      <c r="X961" s="26"/>
      <c r="Y961" s="25"/>
      <c r="Z961" s="10"/>
    </row>
    <row r="962" spans="1:26" ht="12.75">
      <c r="A962" s="25"/>
      <c r="B962" s="25"/>
      <c r="C962" s="25"/>
      <c r="D962" s="26"/>
      <c r="E962" s="26"/>
      <c r="F962" s="26"/>
      <c r="G962" s="26"/>
      <c r="H962" s="25"/>
      <c r="I962" s="26"/>
      <c r="J962" s="25"/>
      <c r="K962" s="25"/>
      <c r="L962" s="26"/>
      <c r="M962" s="25"/>
      <c r="N962" s="25"/>
      <c r="O962" s="26"/>
      <c r="P962" s="26"/>
      <c r="Q962" s="26"/>
      <c r="R962" s="26"/>
      <c r="S962" s="25"/>
      <c r="T962" s="26"/>
      <c r="U962" s="26"/>
      <c r="V962" s="25"/>
      <c r="W962" s="25"/>
      <c r="X962" s="26"/>
      <c r="Y962" s="25"/>
      <c r="Z962" s="10"/>
    </row>
    <row r="963" spans="1:26" ht="12.75">
      <c r="A963" s="25"/>
      <c r="B963" s="25"/>
      <c r="C963" s="25"/>
      <c r="D963" s="26"/>
      <c r="E963" s="26"/>
      <c r="F963" s="26"/>
      <c r="G963" s="26"/>
      <c r="H963" s="25"/>
      <c r="I963" s="26"/>
      <c r="J963" s="25"/>
      <c r="K963" s="25"/>
      <c r="L963" s="26"/>
      <c r="M963" s="25"/>
      <c r="N963" s="25"/>
      <c r="O963" s="26"/>
      <c r="P963" s="26"/>
      <c r="Q963" s="26"/>
      <c r="R963" s="26"/>
      <c r="S963" s="25"/>
      <c r="T963" s="26"/>
      <c r="U963" s="26"/>
      <c r="V963" s="25"/>
      <c r="W963" s="25"/>
      <c r="X963" s="26"/>
      <c r="Y963" s="25"/>
      <c r="Z963" s="10"/>
    </row>
    <row r="964" spans="1:26" ht="12.75">
      <c r="A964" s="25"/>
      <c r="B964" s="25"/>
      <c r="C964" s="25"/>
      <c r="D964" s="26"/>
      <c r="E964" s="26"/>
      <c r="F964" s="26"/>
      <c r="G964" s="26"/>
      <c r="H964" s="25"/>
      <c r="I964" s="26"/>
      <c r="J964" s="25"/>
      <c r="K964" s="25"/>
      <c r="L964" s="26"/>
      <c r="M964" s="25"/>
      <c r="N964" s="25"/>
      <c r="O964" s="26"/>
      <c r="P964" s="26"/>
      <c r="Q964" s="26"/>
      <c r="R964" s="26"/>
      <c r="S964" s="25"/>
      <c r="T964" s="26"/>
      <c r="U964" s="26"/>
      <c r="V964" s="25"/>
      <c r="W964" s="25"/>
      <c r="X964" s="26"/>
      <c r="Y964" s="25"/>
      <c r="Z964" s="10"/>
    </row>
    <row r="965" spans="1:26" ht="12.75">
      <c r="A965" s="25"/>
      <c r="B965" s="25"/>
      <c r="C965" s="25"/>
      <c r="D965" s="26"/>
      <c r="E965" s="26"/>
      <c r="F965" s="26"/>
      <c r="G965" s="26"/>
      <c r="H965" s="25"/>
      <c r="I965" s="26"/>
      <c r="J965" s="25"/>
      <c r="K965" s="25"/>
      <c r="L965" s="26"/>
      <c r="M965" s="25"/>
      <c r="N965" s="25"/>
      <c r="O965" s="26"/>
      <c r="P965" s="26"/>
      <c r="Q965" s="26"/>
      <c r="R965" s="26"/>
      <c r="S965" s="25"/>
      <c r="T965" s="26"/>
      <c r="U965" s="26"/>
      <c r="V965" s="25"/>
      <c r="W965" s="25"/>
      <c r="X965" s="26"/>
      <c r="Y965" s="25"/>
      <c r="Z965" s="10"/>
    </row>
    <row r="966" spans="1:26" ht="12.75">
      <c r="A966" s="25"/>
      <c r="B966" s="25"/>
      <c r="C966" s="25"/>
      <c r="D966" s="26"/>
      <c r="E966" s="26"/>
      <c r="F966" s="26"/>
      <c r="G966" s="26"/>
      <c r="H966" s="25"/>
      <c r="I966" s="26"/>
      <c r="J966" s="25"/>
      <c r="K966" s="25"/>
      <c r="L966" s="26"/>
      <c r="M966" s="25"/>
      <c r="N966" s="25"/>
      <c r="O966" s="26"/>
      <c r="P966" s="26"/>
      <c r="Q966" s="26"/>
      <c r="R966" s="26"/>
      <c r="S966" s="25"/>
      <c r="T966" s="26"/>
      <c r="U966" s="26"/>
      <c r="V966" s="25"/>
      <c r="W966" s="25"/>
      <c r="X966" s="26"/>
      <c r="Y966" s="25"/>
      <c r="Z966" s="10"/>
    </row>
    <row r="967" spans="1:26" ht="12.75">
      <c r="A967" s="25"/>
      <c r="B967" s="25"/>
      <c r="C967" s="25"/>
      <c r="D967" s="26"/>
      <c r="E967" s="26"/>
      <c r="F967" s="26"/>
      <c r="G967" s="26"/>
      <c r="H967" s="25"/>
      <c r="I967" s="26"/>
      <c r="J967" s="25"/>
      <c r="K967" s="25"/>
      <c r="L967" s="26"/>
      <c r="M967" s="25"/>
      <c r="N967" s="25"/>
      <c r="O967" s="26"/>
      <c r="P967" s="26"/>
      <c r="Q967" s="26"/>
      <c r="R967" s="26"/>
      <c r="S967" s="25"/>
      <c r="T967" s="26"/>
      <c r="U967" s="26"/>
      <c r="V967" s="25"/>
      <c r="W967" s="25"/>
      <c r="X967" s="26"/>
      <c r="Y967" s="25"/>
      <c r="Z967" s="10"/>
    </row>
    <row r="968" spans="1:26" ht="12.75">
      <c r="A968" s="25"/>
      <c r="B968" s="25"/>
      <c r="C968" s="25"/>
      <c r="D968" s="26"/>
      <c r="E968" s="26"/>
      <c r="F968" s="26"/>
      <c r="G968" s="26"/>
      <c r="H968" s="25"/>
      <c r="I968" s="26"/>
      <c r="J968" s="25"/>
      <c r="K968" s="25"/>
      <c r="L968" s="26"/>
      <c r="M968" s="25"/>
      <c r="N968" s="25"/>
      <c r="O968" s="26"/>
      <c r="P968" s="26"/>
      <c r="Q968" s="26"/>
      <c r="R968" s="26"/>
      <c r="S968" s="25"/>
      <c r="T968" s="26"/>
      <c r="U968" s="26"/>
      <c r="V968" s="25"/>
      <c r="W968" s="25"/>
      <c r="X968" s="26"/>
      <c r="Y968" s="25"/>
      <c r="Z968" s="10"/>
    </row>
    <row r="969" spans="1:26" ht="12.75">
      <c r="A969" s="25"/>
      <c r="B969" s="25"/>
      <c r="C969" s="25"/>
      <c r="D969" s="26"/>
      <c r="E969" s="26"/>
      <c r="F969" s="26"/>
      <c r="G969" s="26"/>
      <c r="H969" s="25"/>
      <c r="I969" s="26"/>
      <c r="J969" s="25"/>
      <c r="K969" s="25"/>
      <c r="L969" s="26"/>
      <c r="M969" s="25"/>
      <c r="N969" s="25"/>
      <c r="O969" s="26"/>
      <c r="P969" s="26"/>
      <c r="Q969" s="26"/>
      <c r="R969" s="26"/>
      <c r="S969" s="25"/>
      <c r="T969" s="26"/>
      <c r="U969" s="26"/>
      <c r="V969" s="25"/>
      <c r="W969" s="25"/>
      <c r="X969" s="26"/>
      <c r="Y969" s="25"/>
      <c r="Z969" s="10"/>
    </row>
    <row r="970" spans="1:26" ht="12.75">
      <c r="A970" s="25"/>
      <c r="B970" s="25"/>
      <c r="C970" s="25"/>
      <c r="D970" s="26"/>
      <c r="E970" s="26"/>
      <c r="F970" s="26"/>
      <c r="G970" s="26"/>
      <c r="H970" s="25"/>
      <c r="I970" s="26"/>
      <c r="J970" s="25"/>
      <c r="K970" s="25"/>
      <c r="L970" s="26"/>
      <c r="M970" s="25"/>
      <c r="N970" s="25"/>
      <c r="O970" s="26"/>
      <c r="P970" s="26"/>
      <c r="Q970" s="26"/>
      <c r="R970" s="26"/>
      <c r="S970" s="25"/>
      <c r="T970" s="26"/>
      <c r="U970" s="26"/>
      <c r="V970" s="25"/>
      <c r="W970" s="25"/>
      <c r="X970" s="26"/>
      <c r="Y970" s="25"/>
      <c r="Z970" s="10"/>
    </row>
    <row r="971" spans="1:26" ht="12.75">
      <c r="A971" s="25"/>
      <c r="B971" s="25"/>
      <c r="C971" s="25"/>
      <c r="D971" s="26"/>
      <c r="E971" s="26"/>
      <c r="F971" s="26"/>
      <c r="G971" s="26"/>
      <c r="H971" s="25"/>
      <c r="I971" s="26"/>
      <c r="J971" s="25"/>
      <c r="K971" s="25"/>
      <c r="L971" s="26"/>
      <c r="M971" s="25"/>
      <c r="N971" s="25"/>
      <c r="O971" s="26"/>
      <c r="P971" s="26"/>
      <c r="Q971" s="26"/>
      <c r="R971" s="26"/>
      <c r="S971" s="25"/>
      <c r="T971" s="26"/>
      <c r="U971" s="26"/>
      <c r="V971" s="25"/>
      <c r="W971" s="25"/>
      <c r="X971" s="26"/>
      <c r="Y971" s="25"/>
      <c r="Z971" s="10"/>
    </row>
    <row r="972" spans="1:26" ht="12.75">
      <c r="A972" s="25"/>
      <c r="B972" s="25"/>
      <c r="C972" s="25"/>
      <c r="D972" s="26"/>
      <c r="E972" s="26"/>
      <c r="F972" s="26"/>
      <c r="G972" s="26"/>
      <c r="H972" s="25"/>
      <c r="I972" s="26"/>
      <c r="J972" s="25"/>
      <c r="K972" s="25"/>
      <c r="L972" s="26"/>
      <c r="M972" s="25"/>
      <c r="N972" s="25"/>
      <c r="O972" s="26"/>
      <c r="P972" s="26"/>
      <c r="Q972" s="26"/>
      <c r="R972" s="26"/>
      <c r="S972" s="25"/>
      <c r="T972" s="26"/>
      <c r="U972" s="26"/>
      <c r="V972" s="25"/>
      <c r="W972" s="25"/>
      <c r="X972" s="26"/>
      <c r="Y972" s="25"/>
      <c r="Z972" s="10"/>
    </row>
    <row r="973" spans="1:26" ht="12.75">
      <c r="A973" s="25"/>
      <c r="B973" s="25"/>
      <c r="C973" s="25"/>
      <c r="D973" s="26"/>
      <c r="E973" s="26"/>
      <c r="F973" s="26"/>
      <c r="G973" s="26"/>
      <c r="H973" s="25"/>
      <c r="I973" s="26"/>
      <c r="J973" s="25"/>
      <c r="K973" s="25"/>
      <c r="L973" s="26"/>
      <c r="M973" s="25"/>
      <c r="N973" s="25"/>
      <c r="O973" s="26"/>
      <c r="P973" s="26"/>
      <c r="Q973" s="26"/>
      <c r="R973" s="26"/>
      <c r="S973" s="25"/>
      <c r="T973" s="26"/>
      <c r="U973" s="26"/>
      <c r="V973" s="25"/>
      <c r="W973" s="25"/>
      <c r="X973" s="26"/>
      <c r="Y973" s="25"/>
      <c r="Z973" s="10"/>
    </row>
    <row r="974" spans="1:26" ht="12.75">
      <c r="A974" s="25"/>
      <c r="B974" s="25"/>
      <c r="C974" s="25"/>
      <c r="D974" s="26"/>
      <c r="E974" s="26"/>
      <c r="F974" s="26"/>
      <c r="G974" s="26"/>
      <c r="H974" s="25"/>
      <c r="I974" s="26"/>
      <c r="J974" s="25"/>
      <c r="K974" s="25"/>
      <c r="L974" s="26"/>
      <c r="M974" s="25"/>
      <c r="N974" s="25"/>
      <c r="O974" s="26"/>
      <c r="P974" s="26"/>
      <c r="Q974" s="26"/>
      <c r="R974" s="26"/>
      <c r="S974" s="25"/>
      <c r="T974" s="26"/>
      <c r="U974" s="26"/>
      <c r="V974" s="25"/>
      <c r="W974" s="25"/>
      <c r="X974" s="26"/>
      <c r="Y974" s="25"/>
      <c r="Z974" s="10"/>
    </row>
    <row r="975" spans="1:26" ht="12.75">
      <c r="A975" s="25"/>
      <c r="B975" s="25"/>
      <c r="C975" s="25"/>
      <c r="D975" s="26"/>
      <c r="E975" s="26"/>
      <c r="F975" s="26"/>
      <c r="G975" s="26"/>
      <c r="H975" s="25"/>
      <c r="I975" s="26"/>
      <c r="J975" s="25"/>
      <c r="K975" s="25"/>
      <c r="L975" s="26"/>
      <c r="M975" s="25"/>
      <c r="N975" s="25"/>
      <c r="O975" s="26"/>
      <c r="P975" s="26"/>
      <c r="Q975" s="26"/>
      <c r="R975" s="26"/>
      <c r="S975" s="25"/>
      <c r="T975" s="26"/>
      <c r="U975" s="26"/>
      <c r="V975" s="25"/>
      <c r="W975" s="25"/>
      <c r="X975" s="26"/>
      <c r="Y975" s="25"/>
      <c r="Z975" s="10"/>
    </row>
    <row r="976" spans="1:26" ht="12.75">
      <c r="A976" s="25"/>
      <c r="B976" s="25"/>
      <c r="C976" s="25"/>
      <c r="D976" s="26"/>
      <c r="E976" s="26"/>
      <c r="F976" s="26"/>
      <c r="G976" s="26"/>
      <c r="H976" s="25"/>
      <c r="I976" s="26"/>
      <c r="J976" s="25"/>
      <c r="K976" s="25"/>
      <c r="L976" s="26"/>
      <c r="M976" s="25"/>
      <c r="N976" s="25"/>
      <c r="O976" s="26"/>
      <c r="P976" s="26"/>
      <c r="Q976" s="26"/>
      <c r="R976" s="26"/>
      <c r="S976" s="25"/>
      <c r="T976" s="26"/>
      <c r="U976" s="26"/>
      <c r="V976" s="25"/>
      <c r="W976" s="25"/>
      <c r="X976" s="26"/>
      <c r="Y976" s="25"/>
      <c r="Z976" s="10"/>
    </row>
    <row r="977" spans="1:26" ht="12.75">
      <c r="A977" s="25"/>
      <c r="B977" s="25"/>
      <c r="C977" s="25"/>
      <c r="D977" s="26"/>
      <c r="E977" s="26"/>
      <c r="F977" s="26"/>
      <c r="G977" s="26"/>
      <c r="H977" s="25"/>
      <c r="I977" s="26"/>
      <c r="J977" s="25"/>
      <c r="K977" s="25"/>
      <c r="L977" s="26"/>
      <c r="M977" s="25"/>
      <c r="N977" s="25"/>
      <c r="O977" s="26"/>
      <c r="P977" s="26"/>
      <c r="Q977" s="26"/>
      <c r="R977" s="26"/>
      <c r="S977" s="25"/>
      <c r="T977" s="26"/>
      <c r="U977" s="26"/>
      <c r="V977" s="25"/>
      <c r="W977" s="25"/>
      <c r="X977" s="26"/>
      <c r="Y977" s="25"/>
      <c r="Z977" s="10"/>
    </row>
    <row r="978" spans="1:26" ht="12.75">
      <c r="A978" s="25"/>
      <c r="B978" s="25"/>
      <c r="C978" s="25"/>
      <c r="D978" s="26"/>
      <c r="E978" s="26"/>
      <c r="F978" s="26"/>
      <c r="G978" s="26"/>
      <c r="H978" s="25"/>
      <c r="I978" s="26"/>
      <c r="J978" s="25"/>
      <c r="K978" s="25"/>
      <c r="L978" s="26"/>
      <c r="M978" s="25"/>
      <c r="N978" s="25"/>
      <c r="O978" s="26"/>
      <c r="P978" s="26"/>
      <c r="Q978" s="26"/>
      <c r="R978" s="26"/>
      <c r="S978" s="25"/>
      <c r="T978" s="26"/>
      <c r="U978" s="26"/>
      <c r="V978" s="25"/>
      <c r="W978" s="25"/>
      <c r="X978" s="26"/>
      <c r="Y978" s="25"/>
      <c r="Z978" s="10"/>
    </row>
    <row r="979" spans="1:26" ht="12.75">
      <c r="A979" s="25"/>
      <c r="B979" s="25"/>
      <c r="C979" s="25"/>
      <c r="D979" s="26"/>
      <c r="E979" s="26"/>
      <c r="F979" s="26"/>
      <c r="G979" s="26"/>
      <c r="H979" s="25"/>
      <c r="I979" s="26"/>
      <c r="J979" s="25"/>
      <c r="K979" s="25"/>
      <c r="L979" s="26"/>
      <c r="M979" s="25"/>
      <c r="N979" s="25"/>
      <c r="O979" s="26"/>
      <c r="P979" s="26"/>
      <c r="Q979" s="26"/>
      <c r="R979" s="26"/>
      <c r="S979" s="25"/>
      <c r="T979" s="26"/>
      <c r="U979" s="26"/>
      <c r="V979" s="25"/>
      <c r="W979" s="25"/>
      <c r="X979" s="26"/>
      <c r="Y979" s="25"/>
      <c r="Z979" s="10"/>
    </row>
    <row r="980" spans="1:26" ht="12.75">
      <c r="A980" s="25"/>
      <c r="B980" s="25"/>
      <c r="C980" s="25"/>
      <c r="D980" s="26"/>
      <c r="E980" s="26"/>
      <c r="F980" s="26"/>
      <c r="G980" s="26"/>
      <c r="H980" s="25"/>
      <c r="I980" s="26"/>
      <c r="J980" s="25"/>
      <c r="K980" s="25"/>
      <c r="L980" s="26"/>
      <c r="M980" s="25"/>
      <c r="N980" s="25"/>
      <c r="O980" s="26"/>
      <c r="P980" s="26"/>
      <c r="Q980" s="26"/>
      <c r="R980" s="26"/>
      <c r="S980" s="25"/>
      <c r="T980" s="26"/>
      <c r="U980" s="26"/>
      <c r="V980" s="25"/>
      <c r="W980" s="25"/>
      <c r="X980" s="26"/>
      <c r="Y980" s="25"/>
      <c r="Z980" s="10"/>
    </row>
    <row r="981" spans="1:26" ht="12.75">
      <c r="A981" s="25"/>
      <c r="B981" s="25"/>
      <c r="C981" s="25"/>
      <c r="D981" s="26"/>
      <c r="E981" s="26"/>
      <c r="F981" s="26"/>
      <c r="G981" s="26"/>
      <c r="H981" s="25"/>
      <c r="I981" s="26"/>
      <c r="J981" s="25"/>
      <c r="K981" s="25"/>
      <c r="L981" s="26"/>
      <c r="M981" s="25"/>
      <c r="N981" s="25"/>
      <c r="O981" s="26"/>
      <c r="P981" s="26"/>
      <c r="Q981" s="26"/>
      <c r="R981" s="26"/>
      <c r="S981" s="25"/>
      <c r="T981" s="26"/>
      <c r="U981" s="26"/>
      <c r="V981" s="25"/>
      <c r="W981" s="25"/>
      <c r="X981" s="26"/>
      <c r="Y981" s="25"/>
      <c r="Z981" s="10"/>
    </row>
    <row r="982" spans="1:26" ht="12.75">
      <c r="A982" s="25"/>
      <c r="B982" s="25"/>
      <c r="C982" s="25"/>
      <c r="D982" s="26"/>
      <c r="E982" s="26"/>
      <c r="F982" s="26"/>
      <c r="G982" s="26"/>
      <c r="H982" s="25"/>
      <c r="I982" s="26"/>
      <c r="J982" s="25"/>
      <c r="K982" s="25"/>
      <c r="L982" s="26"/>
      <c r="M982" s="25"/>
      <c r="N982" s="25"/>
      <c r="O982" s="26"/>
      <c r="P982" s="26"/>
      <c r="Q982" s="26"/>
      <c r="R982" s="26"/>
      <c r="S982" s="25"/>
      <c r="T982" s="26"/>
      <c r="U982" s="26"/>
      <c r="V982" s="25"/>
      <c r="W982" s="25"/>
      <c r="X982" s="26"/>
      <c r="Y982" s="25"/>
      <c r="Z982" s="10"/>
    </row>
    <row r="983" spans="1:26" ht="12.75">
      <c r="A983" s="25"/>
      <c r="B983" s="25"/>
      <c r="C983" s="25"/>
      <c r="D983" s="26"/>
      <c r="E983" s="26"/>
      <c r="F983" s="26"/>
      <c r="G983" s="26"/>
      <c r="H983" s="25"/>
      <c r="I983" s="26"/>
      <c r="J983" s="25"/>
      <c r="K983" s="25"/>
      <c r="L983" s="26"/>
      <c r="M983" s="25"/>
      <c r="N983" s="25"/>
      <c r="O983" s="26"/>
      <c r="P983" s="26"/>
      <c r="Q983" s="26"/>
      <c r="R983" s="26"/>
      <c r="S983" s="25"/>
      <c r="T983" s="26"/>
      <c r="U983" s="26"/>
      <c r="V983" s="25"/>
      <c r="W983" s="25"/>
      <c r="X983" s="26"/>
      <c r="Y983" s="25"/>
      <c r="Z983" s="10"/>
    </row>
    <row r="984" spans="1:26" ht="12.75">
      <c r="A984" s="25"/>
      <c r="B984" s="25"/>
      <c r="C984" s="25"/>
      <c r="D984" s="26"/>
      <c r="E984" s="26"/>
      <c r="F984" s="26"/>
      <c r="G984" s="26"/>
      <c r="H984" s="25"/>
      <c r="I984" s="26"/>
      <c r="J984" s="25"/>
      <c r="K984" s="25"/>
      <c r="L984" s="26"/>
      <c r="M984" s="25"/>
      <c r="N984" s="25"/>
      <c r="O984" s="26"/>
      <c r="P984" s="26"/>
      <c r="Q984" s="26"/>
      <c r="R984" s="26"/>
      <c r="S984" s="25"/>
      <c r="T984" s="26"/>
      <c r="U984" s="26"/>
      <c r="V984" s="25"/>
      <c r="W984" s="25"/>
      <c r="X984" s="26"/>
      <c r="Y984" s="25"/>
      <c r="Z984" s="10"/>
    </row>
    <row r="985" spans="1:26" ht="12.75">
      <c r="A985" s="25"/>
      <c r="B985" s="25"/>
      <c r="C985" s="25"/>
      <c r="D985" s="26"/>
      <c r="E985" s="26"/>
      <c r="F985" s="26"/>
      <c r="G985" s="26"/>
      <c r="H985" s="25"/>
      <c r="I985" s="26"/>
      <c r="J985" s="25"/>
      <c r="K985" s="25"/>
      <c r="L985" s="26"/>
      <c r="M985" s="25"/>
      <c r="N985" s="25"/>
      <c r="O985" s="26"/>
      <c r="P985" s="26"/>
      <c r="Q985" s="26"/>
      <c r="R985" s="26"/>
      <c r="S985" s="25"/>
      <c r="T985" s="26"/>
      <c r="U985" s="26"/>
      <c r="V985" s="25"/>
      <c r="W985" s="25"/>
      <c r="X985" s="26"/>
      <c r="Y985" s="25"/>
      <c r="Z985" s="10"/>
    </row>
    <row r="986" spans="1:26" ht="12.75">
      <c r="A986" s="25"/>
      <c r="B986" s="25"/>
      <c r="C986" s="25"/>
      <c r="D986" s="26"/>
      <c r="E986" s="26"/>
      <c r="F986" s="26"/>
      <c r="G986" s="26"/>
      <c r="H986" s="25"/>
      <c r="I986" s="26"/>
      <c r="J986" s="25"/>
      <c r="K986" s="25"/>
      <c r="L986" s="26"/>
      <c r="M986" s="25"/>
      <c r="N986" s="25"/>
      <c r="O986" s="26"/>
      <c r="P986" s="26"/>
      <c r="Q986" s="26"/>
      <c r="R986" s="26"/>
      <c r="S986" s="25"/>
      <c r="T986" s="26"/>
      <c r="U986" s="26"/>
      <c r="V986" s="25"/>
      <c r="W986" s="25"/>
      <c r="X986" s="26"/>
      <c r="Y986" s="25"/>
      <c r="Z986" s="10"/>
    </row>
    <row r="987" spans="1:26" ht="12.75">
      <c r="A987" s="25"/>
      <c r="B987" s="25"/>
      <c r="C987" s="25"/>
      <c r="D987" s="26"/>
      <c r="E987" s="26"/>
      <c r="F987" s="26"/>
      <c r="G987" s="26"/>
      <c r="H987" s="25"/>
      <c r="I987" s="26"/>
      <c r="J987" s="25"/>
      <c r="K987" s="25"/>
      <c r="L987" s="26"/>
      <c r="M987" s="25"/>
      <c r="N987" s="25"/>
      <c r="O987" s="26"/>
      <c r="P987" s="26"/>
      <c r="Q987" s="26"/>
      <c r="R987" s="26"/>
      <c r="S987" s="25"/>
      <c r="T987" s="26"/>
      <c r="U987" s="26"/>
      <c r="V987" s="25"/>
      <c r="W987" s="25"/>
      <c r="X987" s="26"/>
      <c r="Y987" s="25"/>
      <c r="Z987" s="10"/>
    </row>
    <row r="988" spans="1:26" ht="12.75">
      <c r="A988" s="25"/>
      <c r="B988" s="25"/>
      <c r="C988" s="25"/>
      <c r="D988" s="26"/>
      <c r="E988" s="26"/>
      <c r="F988" s="26"/>
      <c r="G988" s="26"/>
      <c r="H988" s="25"/>
      <c r="I988" s="26"/>
      <c r="J988" s="25"/>
      <c r="K988" s="25"/>
      <c r="L988" s="26"/>
      <c r="M988" s="25"/>
      <c r="N988" s="25"/>
      <c r="O988" s="26"/>
      <c r="P988" s="26"/>
      <c r="Q988" s="26"/>
      <c r="R988" s="26"/>
      <c r="S988" s="25"/>
      <c r="T988" s="26"/>
      <c r="U988" s="26"/>
      <c r="V988" s="25"/>
      <c r="W988" s="25"/>
      <c r="X988" s="26"/>
      <c r="Y988" s="25"/>
      <c r="Z988" s="10"/>
    </row>
    <row r="989" spans="1:26" ht="12.75">
      <c r="A989" s="25"/>
      <c r="B989" s="25"/>
      <c r="C989" s="25"/>
      <c r="D989" s="26"/>
      <c r="E989" s="26"/>
      <c r="F989" s="26"/>
      <c r="G989" s="26"/>
      <c r="H989" s="25"/>
      <c r="I989" s="26"/>
      <c r="J989" s="25"/>
      <c r="K989" s="25"/>
      <c r="L989" s="26"/>
      <c r="M989" s="25"/>
      <c r="N989" s="25"/>
      <c r="O989" s="26"/>
      <c r="P989" s="26"/>
      <c r="Q989" s="26"/>
      <c r="R989" s="26"/>
      <c r="S989" s="25"/>
      <c r="T989" s="26"/>
      <c r="U989" s="26"/>
      <c r="V989" s="25"/>
      <c r="W989" s="25"/>
      <c r="X989" s="26"/>
      <c r="Y989" s="25"/>
      <c r="Z989" s="10"/>
    </row>
    <row r="990" spans="1:26" ht="12.75">
      <c r="A990" s="25"/>
      <c r="B990" s="25"/>
      <c r="C990" s="25"/>
      <c r="D990" s="26"/>
      <c r="E990" s="26"/>
      <c r="F990" s="26"/>
      <c r="G990" s="26"/>
      <c r="H990" s="25"/>
      <c r="I990" s="26"/>
      <c r="J990" s="25"/>
      <c r="K990" s="25"/>
      <c r="L990" s="26"/>
      <c r="M990" s="25"/>
      <c r="N990" s="25"/>
      <c r="O990" s="26"/>
      <c r="P990" s="26"/>
      <c r="Q990" s="26"/>
      <c r="R990" s="26"/>
      <c r="S990" s="25"/>
      <c r="T990" s="26"/>
      <c r="U990" s="26"/>
      <c r="V990" s="25"/>
      <c r="W990" s="25"/>
      <c r="X990" s="26"/>
      <c r="Y990" s="25"/>
      <c r="Z990" s="10"/>
    </row>
    <row r="991" spans="1:26" ht="12.75">
      <c r="A991" s="25"/>
      <c r="B991" s="25"/>
      <c r="C991" s="25"/>
      <c r="D991" s="26"/>
      <c r="E991" s="26"/>
      <c r="F991" s="26"/>
      <c r="G991" s="26"/>
      <c r="H991" s="25"/>
      <c r="I991" s="26"/>
      <c r="J991" s="25"/>
      <c r="K991" s="25"/>
      <c r="L991" s="26"/>
      <c r="M991" s="25"/>
      <c r="N991" s="25"/>
      <c r="O991" s="26"/>
      <c r="P991" s="26"/>
      <c r="Q991" s="26"/>
      <c r="R991" s="26"/>
      <c r="S991" s="25"/>
      <c r="T991" s="26"/>
      <c r="U991" s="26"/>
      <c r="V991" s="25"/>
      <c r="W991" s="25"/>
      <c r="X991" s="26"/>
      <c r="Y991" s="25"/>
      <c r="Z991" s="10"/>
    </row>
    <row r="992" spans="1:26" ht="12.75">
      <c r="A992" s="25"/>
      <c r="B992" s="25"/>
      <c r="C992" s="25"/>
      <c r="D992" s="26"/>
      <c r="E992" s="26"/>
      <c r="F992" s="26"/>
      <c r="G992" s="26"/>
      <c r="H992" s="25"/>
      <c r="I992" s="26"/>
      <c r="J992" s="25"/>
      <c r="K992" s="25"/>
      <c r="L992" s="26"/>
      <c r="M992" s="25"/>
      <c r="N992" s="25"/>
      <c r="O992" s="26"/>
      <c r="P992" s="26"/>
      <c r="Q992" s="26"/>
      <c r="R992" s="26"/>
      <c r="S992" s="25"/>
      <c r="T992" s="26"/>
      <c r="U992" s="26"/>
      <c r="V992" s="25"/>
      <c r="W992" s="25"/>
      <c r="X992" s="26"/>
      <c r="Y992" s="25"/>
      <c r="Z992" s="10"/>
    </row>
    <row r="993" spans="1:26" ht="12.75">
      <c r="A993" s="25"/>
      <c r="B993" s="25"/>
      <c r="C993" s="25"/>
      <c r="D993" s="26"/>
      <c r="E993" s="26"/>
      <c r="F993" s="26"/>
      <c r="G993" s="26"/>
      <c r="H993" s="25"/>
      <c r="I993" s="26"/>
      <c r="J993" s="25"/>
      <c r="K993" s="25"/>
      <c r="L993" s="26"/>
      <c r="M993" s="25"/>
      <c r="N993" s="25"/>
      <c r="O993" s="26"/>
      <c r="P993" s="26"/>
      <c r="Q993" s="26"/>
      <c r="R993" s="26"/>
      <c r="S993" s="25"/>
      <c r="T993" s="26"/>
      <c r="U993" s="26"/>
      <c r="V993" s="25"/>
      <c r="W993" s="25"/>
      <c r="X993" s="26"/>
      <c r="Y993" s="25"/>
      <c r="Z993" s="10"/>
    </row>
    <row r="994" spans="1:26" ht="12.75">
      <c r="A994" s="25"/>
      <c r="B994" s="25"/>
      <c r="C994" s="25"/>
      <c r="D994" s="26"/>
      <c r="E994" s="26"/>
      <c r="F994" s="26"/>
      <c r="G994" s="26"/>
      <c r="H994" s="25"/>
      <c r="I994" s="26"/>
      <c r="J994" s="25"/>
      <c r="K994" s="25"/>
      <c r="L994" s="26"/>
      <c r="M994" s="25"/>
      <c r="N994" s="25"/>
      <c r="O994" s="26"/>
      <c r="P994" s="26"/>
      <c r="Q994" s="26"/>
      <c r="R994" s="26"/>
      <c r="S994" s="25"/>
      <c r="T994" s="26"/>
      <c r="U994" s="26"/>
      <c r="V994" s="25"/>
      <c r="W994" s="25"/>
      <c r="X994" s="26"/>
      <c r="Y994" s="25"/>
      <c r="Z994" s="10"/>
    </row>
    <row r="995" spans="1:26" ht="12.75">
      <c r="A995" s="25"/>
      <c r="B995" s="25"/>
      <c r="C995" s="25"/>
      <c r="D995" s="26"/>
      <c r="E995" s="26"/>
      <c r="F995" s="26"/>
      <c r="G995" s="26"/>
      <c r="H995" s="25"/>
      <c r="I995" s="26"/>
      <c r="J995" s="25"/>
      <c r="K995" s="25"/>
      <c r="L995" s="26"/>
      <c r="M995" s="25"/>
      <c r="N995" s="25"/>
      <c r="O995" s="26"/>
      <c r="P995" s="26"/>
      <c r="Q995" s="26"/>
      <c r="R995" s="26"/>
      <c r="S995" s="25"/>
      <c r="T995" s="26"/>
      <c r="U995" s="26"/>
      <c r="V995" s="25"/>
      <c r="W995" s="25"/>
      <c r="X995" s="26"/>
      <c r="Y995" s="25"/>
      <c r="Z995" s="10"/>
    </row>
    <row r="996" spans="1:26" ht="12.75">
      <c r="A996" s="25"/>
      <c r="B996" s="25"/>
      <c r="C996" s="25"/>
      <c r="D996" s="26"/>
      <c r="E996" s="26"/>
      <c r="F996" s="26"/>
      <c r="G996" s="26"/>
      <c r="H996" s="25"/>
      <c r="I996" s="26"/>
      <c r="J996" s="25"/>
      <c r="K996" s="25"/>
      <c r="L996" s="26"/>
      <c r="M996" s="25"/>
      <c r="N996" s="25"/>
      <c r="O996" s="26"/>
      <c r="P996" s="26"/>
      <c r="Q996" s="26"/>
      <c r="R996" s="26"/>
      <c r="S996" s="25"/>
      <c r="T996" s="26"/>
      <c r="U996" s="26"/>
      <c r="V996" s="25"/>
      <c r="W996" s="25"/>
      <c r="X996" s="26"/>
      <c r="Y996" s="25"/>
      <c r="Z996" s="10"/>
    </row>
    <row r="997" spans="1:26" ht="12.75">
      <c r="A997" s="25"/>
      <c r="B997" s="25"/>
      <c r="C997" s="25"/>
      <c r="D997" s="26"/>
      <c r="E997" s="26"/>
      <c r="F997" s="26"/>
      <c r="G997" s="26"/>
      <c r="H997" s="25"/>
      <c r="I997" s="26"/>
      <c r="J997" s="25"/>
      <c r="K997" s="25"/>
      <c r="L997" s="26"/>
      <c r="M997" s="25"/>
      <c r="N997" s="25"/>
      <c r="O997" s="26"/>
      <c r="P997" s="26"/>
      <c r="Q997" s="26"/>
      <c r="R997" s="26"/>
      <c r="S997" s="25"/>
      <c r="T997" s="26"/>
      <c r="U997" s="26"/>
      <c r="V997" s="25"/>
      <c r="W997" s="25"/>
      <c r="X997" s="26"/>
      <c r="Y997" s="25"/>
      <c r="Z997" s="10"/>
    </row>
    <row r="998" spans="1:26" ht="12.75">
      <c r="A998" s="25"/>
      <c r="B998" s="25"/>
      <c r="C998" s="25"/>
      <c r="D998" s="26"/>
      <c r="E998" s="26"/>
      <c r="F998" s="26"/>
      <c r="G998" s="26"/>
      <c r="H998" s="25"/>
      <c r="I998" s="26"/>
      <c r="J998" s="25"/>
      <c r="K998" s="25"/>
      <c r="L998" s="26"/>
      <c r="M998" s="25"/>
      <c r="N998" s="25"/>
      <c r="O998" s="26"/>
      <c r="P998" s="26"/>
      <c r="Q998" s="26"/>
      <c r="R998" s="26"/>
      <c r="S998" s="25"/>
      <c r="T998" s="26"/>
      <c r="U998" s="26"/>
      <c r="V998" s="25"/>
      <c r="W998" s="25"/>
      <c r="X998" s="26"/>
      <c r="Y998" s="25"/>
      <c r="Z998" s="10"/>
    </row>
    <row r="999" spans="1:26" ht="12.75">
      <c r="A999" s="25"/>
      <c r="B999" s="25"/>
      <c r="C999" s="25"/>
      <c r="D999" s="26"/>
      <c r="E999" s="26"/>
      <c r="F999" s="26"/>
      <c r="G999" s="26"/>
      <c r="H999" s="25"/>
      <c r="I999" s="26"/>
      <c r="J999" s="25"/>
      <c r="K999" s="25"/>
      <c r="L999" s="26"/>
      <c r="M999" s="25"/>
      <c r="N999" s="25"/>
      <c r="O999" s="26"/>
      <c r="P999" s="26"/>
      <c r="Q999" s="26"/>
      <c r="R999" s="26"/>
      <c r="S999" s="25"/>
      <c r="T999" s="26"/>
      <c r="U999" s="26"/>
      <c r="V999" s="25"/>
      <c r="W999" s="25"/>
      <c r="X999" s="26"/>
      <c r="Y999" s="25"/>
      <c r="Z999" s="10"/>
    </row>
    <row r="1000" spans="1:26" ht="12.75">
      <c r="A1000" s="25"/>
      <c r="B1000" s="25"/>
      <c r="C1000" s="25"/>
      <c r="D1000" s="26"/>
      <c r="E1000" s="26"/>
      <c r="F1000" s="26"/>
      <c r="G1000" s="26"/>
      <c r="H1000" s="25"/>
      <c r="I1000" s="26"/>
      <c r="J1000" s="25"/>
      <c r="K1000" s="25"/>
      <c r="L1000" s="26"/>
      <c r="M1000" s="25"/>
      <c r="N1000" s="25"/>
      <c r="O1000" s="26"/>
      <c r="P1000" s="26"/>
      <c r="Q1000" s="26"/>
      <c r="R1000" s="26"/>
      <c r="S1000" s="25"/>
      <c r="T1000" s="26"/>
      <c r="U1000" s="26"/>
      <c r="V1000" s="25"/>
      <c r="W1000" s="25"/>
      <c r="X1000" s="26"/>
      <c r="Y1000" s="25"/>
      <c r="Z1000" s="10"/>
    </row>
    <row r="1001" spans="1:26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</sheetData>
  <conditionalFormatting sqref="F1:F1000">
    <cfRule type="containsText" dxfId="9" priority="1" operator="containsText" text="Renewal by Andersen Store 975">
      <formula>NOT(ISERROR(SEARCH(("Renewal by Andersen Store 975"),(F1))))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049"/>
  <sheetViews>
    <sheetView topLeftCell="G1" workbookViewId="0">
      <selection activeCell="H38" sqref="H38"/>
    </sheetView>
  </sheetViews>
  <sheetFormatPr defaultColWidth="12.5703125" defaultRowHeight="15.75" customHeight="1"/>
  <cols>
    <col min="1" max="1" width="18.85546875" customWidth="1"/>
    <col min="3" max="3" width="26.140625" customWidth="1"/>
    <col min="4" max="4" width="18.140625" customWidth="1"/>
    <col min="5" max="5" width="15.42578125" customWidth="1"/>
    <col min="6" max="6" width="21.140625" customWidth="1"/>
    <col min="7" max="7" width="60" style="19" customWidth="1"/>
    <col min="12" max="12" width="20.42578125" customWidth="1"/>
    <col min="13" max="13" width="28.140625" style="18" customWidth="1"/>
    <col min="16" max="16" width="69" customWidth="1"/>
    <col min="17" max="17" width="25.140625" customWidth="1"/>
    <col min="18" max="18" width="28.5703125" customWidth="1"/>
    <col min="19" max="19" width="17.28515625" customWidth="1"/>
  </cols>
  <sheetData>
    <row r="1" spans="1:19" ht="12.75">
      <c r="A1" s="1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1" t="s">
        <v>5</v>
      </c>
      <c r="G1" s="17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3" t="s">
        <v>12</v>
      </c>
      <c r="N1" s="14"/>
      <c r="O1" s="28" t="s">
        <v>13</v>
      </c>
      <c r="P1" s="28"/>
      <c r="Q1" s="29" t="s">
        <v>14</v>
      </c>
      <c r="R1" s="29" t="s">
        <v>15</v>
      </c>
      <c r="S1" s="29" t="s">
        <v>16</v>
      </c>
    </row>
    <row r="2" spans="1:19" ht="12.75">
      <c r="A2" s="15" t="str">
        <f t="array" ref="A2:A1000">IF(
    'RAW Truck List Data'!D2:D1000="",
    "",
    'RAW Truck List Data'!D2:D1000
  )</f>
        <v/>
      </c>
      <c r="B2" s="15" t="str">
        <f t="array" ref="B2:B1000">IF(
    'RAW Truck List Data'!E2:E1000="",
    "",
    'RAW Truck List Data'!E2:E1000
  )</f>
        <v/>
      </c>
      <c r="C2" s="15" t="str" cm="1">
        <f t="array" ref="C2">IFERROR(_xlfn.TEXTJOIN("",TRUE,_xlfn._xlws.FILTER(MID(S2,_xlfn.SEQUENCE(LEN(S2)),1),ISNUMBER(SEARCH(MID(S2,_xlfn.SEQUENCE(LEN(S2)),1),"ABCDEFGHIJKLMNOPQRSTUVWXYZabcdefghijklmnopqrstuvwxyz0123456789,")))),"")</f>
        <v/>
      </c>
      <c r="D2" s="15" t="str">
        <f t="array" ref="D2:D1000">IF(
    'RAW Truck List Data'!G2:G1000="",
    "",
    'RAW Truck List Data'!G2:G1000
  )</f>
        <v/>
      </c>
      <c r="E2" s="16" t="str">
        <f t="array" ref="E2:E1000">IF(
    'RAW Truck List Data'!I2:I1000="",
    "",
    'RAW Truck List Data'!I2:I1000
  )</f>
        <v/>
      </c>
      <c r="F2" s="15" t="str">
        <f t="array" ref="F2:F1000">IF(
    'RAW Truck List Data'!L2:L1000="",
    "",
    'RAW Truck List Data'!L2:L1000
  )</f>
        <v/>
      </c>
      <c r="G2" s="20" t="e" cm="1" vm="1">
        <f t="array" ref="G2">IF(TRIM(P2)="","",IF(SUM(COUNTIF(P2,{"*NLGD*","*FWG*"}))&gt;0,P2,IF(SUM(COUNTIF(P2,{"*GL*","*DGB*","*DGI*","*GT*","*CS*","*PWU*","*DBI*","*SWU*"}))=0,P2,IF(IFERROR(VALUE(SUBSTITUTE(SUBSTITUTE(O2,"W",""),"""","")),0)&gt;52,P2&amp;"-OVRSIZE-",P2))))</f>
        <v>#VALUE!</v>
      </c>
      <c r="H2" s="15" t="str" cm="1">
        <f t="array" ref="H2:H2000">IF('RAW Truck List Data'!P2:P2000="","",'RAW Truck List Data'!P2:P1000)</f>
        <v/>
      </c>
      <c r="I2" s="15" t="str" cm="1">
        <f t="array" ref="I2:I2000">IF('RAW Truck List Data'!Q2:Q2000="","",'RAW Truck List Data'!Q2:Q1000)</f>
        <v/>
      </c>
      <c r="J2" s="15" t="str" cm="1">
        <f t="array" ref="J2:J2000">IF(
    'RAW Truck List Data'!R2:R2000="",
    "",
    'RAW Truck List Data'!R2:R2000
  )</f>
        <v/>
      </c>
      <c r="K2" s="15" t="str" cm="1">
        <f t="array" ref="K2:K2000">IF(
    'RAW Truck List Data'!T2:T2000="",
    "",
    'RAW Truck List Data'!T2:T2000
  )</f>
        <v/>
      </c>
      <c r="L2" s="15" t="str" cm="1">
        <f t="array" ref="L2:L2000">IF(
    'RAW Truck List Data'!U2:U2000="",
    "",
    'RAW Truck List Data'!U2:U2000
  )</f>
        <v/>
      </c>
      <c r="M2" s="15" t="str" cm="1">
        <f t="array" ref="M2:M2000">IF(
    'RAW Truck List Data'!X2:X2000="",
    "",
    'RAW Truck List Data'!X2:X2000
  )</f>
        <v/>
      </c>
      <c r="N2" s="14"/>
      <c r="O2" s="15" t="str" cm="1">
        <f t="array" ref="O2">IFERROR(_xlfn.LET(
_xlpm.clean,TRIM(SUBSTITUTE(SUBSTITUTE(P2,CHAR(160),"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" s="20" t="e" cm="1" vm="2">
        <f t="array" ref="P2">_xlfn._xlws.FILTER('RAW Truck List Data'!O2:O2000,'RAW Truck List Data'!O2:O2000&lt;&gt;"")</f>
        <v>#VALUE!</v>
      </c>
      <c r="R2" t="str" cm="1">
        <f t="array" ref="R2:R1000">IF(
    'RAW Truck List Data'!F2:F1000="",
    "",
    'RAW Truck List Data'!F2:F1000
  )</f>
        <v/>
      </c>
      <c r="S2" t="str">
        <f t="shared" ref="S2:S7" si="0">IF(R2="","",_xlfn.LET(
_xlpm.x,TRIM(SUBSTITUTE(SUBSTITUTE(SUBSTITUTE(SUBSTITUTE(R2,":","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3" spans="1:19" ht="12.75">
      <c r="A3" s="15" t="str">
        <v/>
      </c>
      <c r="B3" s="15" t="str">
        <v/>
      </c>
      <c r="C3" s="15" t="str" cm="1">
        <f t="array" ref="C3">IFERROR(_xlfn.TEXTJOIN("",TRUE,_xlfn._xlws.FILTER(MID(S3,_xlfn.SEQUENCE(LEN(S3)),1),ISNUMBER(SEARCH(MID(S3,_xlfn.SEQUENCE(LEN(S3)),1),"ABCDEFGHIJKLMNOPQRSTUVWXYZabcdefghijklmnopqrstuvwxyz0123456789,")))),"")</f>
        <v/>
      </c>
      <c r="D3" s="15" t="str">
        <v/>
      </c>
      <c r="E3" s="16" t="str">
        <v/>
      </c>
      <c r="F3" s="15" t="str">
        <v/>
      </c>
      <c r="G3" s="20" t="str" cm="1">
        <f t="array" ref="G3">IF(TRIM(P3)="","",IF(SUM(COUNTIF(P3,{"*NLGD*","*FWG*"}))&gt;0,P3,IF(SUM(COUNTIF(P3,{"*GL*","*DGB*","*DGI*","*GT*","*CS*","*PWU*","*DBI*","*SWU*"}))=0,P3,IF(IFERROR(VALUE(SUBSTITUTE(SUBSTITUTE(O3,"W",""),"""","")),0)&gt;52,P3&amp;"-OVRSIZE-",P3))))</f>
        <v/>
      </c>
      <c r="H3" s="15" t="str">
        <v/>
      </c>
      <c r="I3" s="15" t="str">
        <v/>
      </c>
      <c r="J3" s="15" t="str">
        <v/>
      </c>
      <c r="K3" s="15" t="str">
        <v/>
      </c>
      <c r="L3" s="15" t="str">
        <v/>
      </c>
      <c r="M3" s="10" t="str">
        <v/>
      </c>
      <c r="N3" s="14"/>
      <c r="O3" s="15" t="str" cm="1">
        <f t="array" ref="O3">IFERROR(_xlfn.LET(
_xlpm.clean,TRIM(SUBSTITUTE(SUBSTITUTE(P3,CHAR(160),"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" s="15"/>
      <c r="R3" t="str">
        <v/>
      </c>
      <c r="S3" t="str">
        <f t="shared" si="0"/>
        <v/>
      </c>
    </row>
    <row r="4" spans="1:19" ht="12.75">
      <c r="A4" s="15" t="str">
        <v/>
      </c>
      <c r="B4" s="15" t="str">
        <v/>
      </c>
      <c r="C4" s="15" t="str" cm="1">
        <f t="array" ref="C4">IFERROR(_xlfn.TEXTJOIN("",TRUE,_xlfn._xlws.FILTER(MID(S4,_xlfn.SEQUENCE(LEN(S4)),1),ISNUMBER(SEARCH(MID(S4,_xlfn.SEQUENCE(LEN(S4)),1),"ABCDEFGHIJKLMNOPQRSTUVWXYZabcdefghijklmnopqrstuvwxyz0123456789,")))),"")</f>
        <v/>
      </c>
      <c r="D4" s="15" t="str">
        <v/>
      </c>
      <c r="E4" s="16" t="str">
        <v/>
      </c>
      <c r="F4" s="15" t="str">
        <v/>
      </c>
      <c r="G4" s="20" t="str" cm="1">
        <f t="array" ref="G4">IF(TRIM(P4)="","",IF(SUM(COUNTIF(P4,{"*NLGD*","*FWG*"}))&gt;0,P4,IF(SUM(COUNTIF(P4,{"*GL*","*DGB*","*DGI*","*GT*","*CS*","*PWU*","*DBI*","*SWU*"}))=0,P4,IF(IFERROR(VALUE(SUBSTITUTE(SUBSTITUTE(O4,"W",""),"""","")),0)&gt;52,P4&amp;"-OVRSIZE-",P4))))</f>
        <v/>
      </c>
      <c r="H4" s="15" t="str">
        <v/>
      </c>
      <c r="I4" s="15" t="str">
        <v/>
      </c>
      <c r="J4" s="15" t="str">
        <v/>
      </c>
      <c r="K4" s="15" t="str">
        <v/>
      </c>
      <c r="L4" s="15" t="str">
        <v/>
      </c>
      <c r="M4" s="10" t="str">
        <v/>
      </c>
      <c r="N4" s="14"/>
      <c r="O4" s="15" t="str" cm="1">
        <f t="array" ref="O4">IFERROR(_xlfn.LET(
_xlpm.clean,TRIM(SUBSTITUTE(SUBSTITUTE(P4,CHAR(160),"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" s="15"/>
      <c r="R4" t="str">
        <v/>
      </c>
      <c r="S4" t="str">
        <f t="shared" si="0"/>
        <v/>
      </c>
    </row>
    <row r="5" spans="1:19" ht="12.75">
      <c r="A5" s="15" t="str">
        <v/>
      </c>
      <c r="B5" s="15" t="str">
        <v/>
      </c>
      <c r="C5" s="15" t="str" cm="1">
        <f t="array" ref="C5">IFERROR(_xlfn.TEXTJOIN("",TRUE,_xlfn._xlws.FILTER(MID(S5,_xlfn.SEQUENCE(LEN(S5)),1),ISNUMBER(SEARCH(MID(S5,_xlfn.SEQUENCE(LEN(S5)),1),"ABCDEFGHIJKLMNOPQRSTUVWXYZabcdefghijklmnopqrstuvwxyz0123456789,")))),"")</f>
        <v/>
      </c>
      <c r="D5" s="15" t="str">
        <v/>
      </c>
      <c r="E5" s="16" t="str">
        <v/>
      </c>
      <c r="F5" s="15" t="str">
        <v/>
      </c>
      <c r="G5" s="20" t="str" cm="1">
        <f t="array" ref="G5">IF(TRIM(P5)="","",IF(SUM(COUNTIF(P5,{"*NLGD*","*FWG*"}))&gt;0,P5,IF(SUM(COUNTIF(P5,{"*GL*","*DGB*","*DGI*","*GT*","*CS*","*PWU*","*DBI*","*SWU*"}))=0,P5,IF(IFERROR(VALUE(SUBSTITUTE(SUBSTITUTE(O5,"W",""),"""","")),0)&gt;52,P5&amp;"-OVRSIZE-",P5))))</f>
        <v/>
      </c>
      <c r="H5" s="15" t="str">
        <v/>
      </c>
      <c r="I5" s="15" t="str">
        <v/>
      </c>
      <c r="J5" s="15" t="str">
        <v/>
      </c>
      <c r="K5" s="15" t="str">
        <v/>
      </c>
      <c r="L5" s="15" t="str">
        <v/>
      </c>
      <c r="M5" s="10" t="str">
        <v/>
      </c>
      <c r="N5" s="14"/>
      <c r="O5" s="15" t="str" cm="1">
        <f t="array" ref="O5">IFERROR(_xlfn.LET(
_xlpm.clean,TRIM(SUBSTITUTE(SUBSTITUTE(P5,CHAR(160),"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" s="15"/>
      <c r="R5" t="str">
        <v/>
      </c>
      <c r="S5" t="str">
        <f t="shared" si="0"/>
        <v/>
      </c>
    </row>
    <row r="6" spans="1:19" ht="12.75">
      <c r="A6" s="15" t="str">
        <v/>
      </c>
      <c r="B6" s="15" t="str">
        <v/>
      </c>
      <c r="C6" s="15" t="str" cm="1">
        <f t="array" ref="C6">IFERROR(_xlfn.TEXTJOIN("",TRUE,_xlfn._xlws.FILTER(MID(S6,_xlfn.SEQUENCE(LEN(S6)),1),ISNUMBER(SEARCH(MID(S6,_xlfn.SEQUENCE(LEN(S6)),1),"ABCDEFGHIJKLMNOPQRSTUVWXYZabcdefghijklmnopqrstuvwxyz0123456789,")))),"")</f>
        <v/>
      </c>
      <c r="D6" s="15" t="str">
        <v/>
      </c>
      <c r="E6" s="16" t="str">
        <v/>
      </c>
      <c r="F6" s="15" t="str">
        <v/>
      </c>
      <c r="G6" s="20" t="str" cm="1">
        <f t="array" ref="G6">IF(TRIM(P6)="","",IF(SUM(COUNTIF(P6,{"*NLGD*","*FWG*"}))&gt;0,P6,IF(SUM(COUNTIF(P6,{"*GL*","*DGB*","*DGI*","*GT*","*CS*","*PWU*","*DBI*","*SWU*"}))=0,P6,IF(IFERROR(VALUE(SUBSTITUTE(SUBSTITUTE(O6,"W",""),"""","")),0)&gt;52,P6&amp;"-OVRSIZE-",P6))))</f>
        <v/>
      </c>
      <c r="H6" s="15" t="str">
        <v/>
      </c>
      <c r="I6" s="15" t="str">
        <v/>
      </c>
      <c r="J6" s="15" t="str">
        <v/>
      </c>
      <c r="K6" s="15" t="str">
        <v/>
      </c>
      <c r="L6" s="15" t="str">
        <v/>
      </c>
      <c r="M6" s="10" t="str">
        <v/>
      </c>
      <c r="N6" s="14"/>
      <c r="O6" s="15" t="str" cm="1">
        <f t="array" ref="O6">IFERROR(_xlfn.LET(
_xlpm.clean,TRIM(SUBSTITUTE(SUBSTITUTE(P6,CHAR(160),"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" s="15"/>
      <c r="R6" t="str">
        <v/>
      </c>
      <c r="S6" t="str">
        <f t="shared" si="0"/>
        <v/>
      </c>
    </row>
    <row r="7" spans="1:19" ht="12.75">
      <c r="A7" s="15" t="str">
        <v/>
      </c>
      <c r="B7" s="15" t="str">
        <v/>
      </c>
      <c r="C7" s="15" t="str" cm="1">
        <f t="array" ref="C7">IFERROR(_xlfn.TEXTJOIN("",TRUE,_xlfn._xlws.FILTER(MID(S7,_xlfn.SEQUENCE(LEN(S7)),1),ISNUMBER(SEARCH(MID(S7,_xlfn.SEQUENCE(LEN(S7)),1),"ABCDEFGHIJKLMNOPQRSTUVWXYZabcdefghijklmnopqrstuvwxyz0123456789,")))),"")</f>
        <v/>
      </c>
      <c r="D7" s="15" t="str">
        <v/>
      </c>
      <c r="E7" s="16" t="str">
        <v/>
      </c>
      <c r="F7" s="15" t="str">
        <v/>
      </c>
      <c r="G7" s="20" t="str" cm="1">
        <f t="array" ref="G7">IF(TRIM(P7)="","",IF(SUM(COUNTIF(P7,{"*NLGD*","*FWG*"}))&gt;0,P7,IF(SUM(COUNTIF(P7,{"*GL*","*DGB*","*DGI*","*GT*","*CS*","*PWU*","*DBI*","*SWU*"}))=0,P7,IF(IFERROR(VALUE(SUBSTITUTE(SUBSTITUTE(O7,"W",""),"""","")),0)&gt;52,P7&amp;"-OVRSIZE-",P7))))</f>
        <v/>
      </c>
      <c r="H7" s="15" t="str">
        <v/>
      </c>
      <c r="I7" s="15" t="str">
        <v/>
      </c>
      <c r="J7" s="15" t="str">
        <v/>
      </c>
      <c r="K7" s="15" t="str">
        <v/>
      </c>
      <c r="L7" s="15" t="str">
        <v/>
      </c>
      <c r="M7" s="10" t="str">
        <v/>
      </c>
      <c r="N7" s="14"/>
      <c r="O7" s="15" t="str" cm="1">
        <f t="array" ref="O7">IFERROR(_xlfn.LET(
_xlpm.clean,TRIM(SUBSTITUTE(SUBSTITUTE(P7,CHAR(160),"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" s="15"/>
      <c r="R7" t="str">
        <v/>
      </c>
      <c r="S7" t="str">
        <f t="shared" si="0"/>
        <v/>
      </c>
    </row>
    <row r="8" spans="1:19" ht="12.75">
      <c r="A8" s="15" t="str">
        <v/>
      </c>
      <c r="B8" s="15" t="str">
        <v/>
      </c>
      <c r="C8" s="15" t="str" cm="1">
        <f t="array" ref="C8">IFERROR(_xlfn.TEXTJOIN("",TRUE,_xlfn._xlws.FILTER(MID(S8,_xlfn.SEQUENCE(LEN(S8)),1),ISNUMBER(SEARCH(MID(S8,_xlfn.SEQUENCE(LEN(S8)),1),"ABCDEFGHIJKLMNOPQRSTUVWXYZabcdefghijklmnopqrstuvwxyz0123456789,")))),"")</f>
        <v/>
      </c>
      <c r="D8" s="15" t="str">
        <v/>
      </c>
      <c r="E8" s="16" t="str">
        <v/>
      </c>
      <c r="F8" s="15" t="str">
        <v/>
      </c>
      <c r="G8" s="20" t="str" cm="1">
        <f t="array" ref="G8">IF(TRIM(P8)="","",IF(SUM(COUNTIF(P8,{"*NLGD*","*FWG*"}))&gt;0,P8,IF(SUM(COUNTIF(P8,{"*GL*","*DGB*","*DGI*","*GT*","*CS*","*PWU*","*DBI*","*SWU*"}))=0,P8,IF(IFERROR(VALUE(SUBSTITUTE(SUBSTITUTE(O8,"W",""),"""","")),0)&gt;52,P8&amp;"-OVRSIZE-",P8))))</f>
        <v/>
      </c>
      <c r="H8" s="15" t="str">
        <v/>
      </c>
      <c r="I8" s="15" t="str">
        <v/>
      </c>
      <c r="J8" s="15" t="str">
        <v/>
      </c>
      <c r="K8" s="15" t="str">
        <v/>
      </c>
      <c r="L8" s="15" t="str">
        <v/>
      </c>
      <c r="M8" s="10" t="str">
        <v/>
      </c>
      <c r="N8" s="14"/>
      <c r="O8" s="15" t="str" cm="1">
        <f t="array" ref="O8">IFERROR(_xlfn.LET(
_xlpm.clean,TRIM(SUBSTITUTE(SUBSTITUTE(P8,CHAR(160),"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" s="15"/>
      <c r="R8" t="str">
        <v/>
      </c>
      <c r="S8" t="str">
        <f t="shared" ref="S8:S71" si="1">IF(R8="","",_xlfn.LET(
_xlpm.x,TRIM(SUBSTITUTE(SUBSTITUTE(SUBSTITUTE(SUBSTITUTE(R8,":","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9" spans="1:19" ht="12.75">
      <c r="A9" s="15" t="str">
        <v/>
      </c>
      <c r="B9" s="15" t="str">
        <v/>
      </c>
      <c r="C9" s="15" t="str" cm="1">
        <f t="array" ref="C9">IFERROR(_xlfn.TEXTJOIN("",TRUE,_xlfn._xlws.FILTER(MID(S9,_xlfn.SEQUENCE(LEN(S9)),1),ISNUMBER(SEARCH(MID(S9,_xlfn.SEQUENCE(LEN(S9)),1),"ABCDEFGHIJKLMNOPQRSTUVWXYZabcdefghijklmnopqrstuvwxyz0123456789,")))),"")</f>
        <v/>
      </c>
      <c r="D9" s="15" t="str">
        <v/>
      </c>
      <c r="E9" s="16" t="str">
        <v/>
      </c>
      <c r="F9" s="15" t="str">
        <v/>
      </c>
      <c r="G9" s="20" t="str" cm="1">
        <f t="array" ref="G9">IF(TRIM(P9)="","",IF(SUM(COUNTIF(P9,{"*NLGD*","*FWG*"}))&gt;0,P9,IF(SUM(COUNTIF(P9,{"*GL*","*DGB*","*DGI*","*GT*","*CS*","*PWU*","*DBI*","*SWU*"}))=0,P9,IF(IFERROR(VALUE(SUBSTITUTE(SUBSTITUTE(O9,"W",""),"""","")),0)&gt;52,P9&amp;"-OVRSIZE-",P9))))</f>
        <v/>
      </c>
      <c r="H9" s="15" t="str">
        <v/>
      </c>
      <c r="I9" s="15" t="str">
        <v/>
      </c>
      <c r="J9" s="15" t="str">
        <v/>
      </c>
      <c r="K9" s="15" t="str">
        <v/>
      </c>
      <c r="L9" s="15" t="str">
        <v/>
      </c>
      <c r="M9" s="10" t="str">
        <v/>
      </c>
      <c r="N9" s="14"/>
      <c r="O9" s="15" t="str" cm="1">
        <f t="array" ref="O9">IFERROR(_xlfn.LET(
_xlpm.clean,TRIM(SUBSTITUTE(SUBSTITUTE(P9,CHAR(160),"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" s="15"/>
      <c r="R9" t="str">
        <v/>
      </c>
      <c r="S9" t="str">
        <f t="shared" si="1"/>
        <v/>
      </c>
    </row>
    <row r="10" spans="1:19" ht="12.75">
      <c r="A10" s="15" t="str">
        <v/>
      </c>
      <c r="B10" s="15" t="str">
        <v/>
      </c>
      <c r="C10" s="15" t="str" cm="1">
        <f t="array" ref="C10">IFERROR(_xlfn.TEXTJOIN("",TRUE,_xlfn._xlws.FILTER(MID(S10,_xlfn.SEQUENCE(LEN(S10)),1),ISNUMBER(SEARCH(MID(S10,_xlfn.SEQUENCE(LEN(S10)),1),"ABCDEFGHIJKLMNOPQRSTUVWXYZabcdefghijklmnopqrstuvwxyz0123456789,")))),"")</f>
        <v/>
      </c>
      <c r="D10" s="15" t="str">
        <v/>
      </c>
      <c r="E10" s="16" t="str">
        <v/>
      </c>
      <c r="F10" s="15" t="str">
        <v/>
      </c>
      <c r="G10" s="20" t="str" cm="1">
        <f t="array" ref="G10">IF(TRIM(P10)="","",IF(SUM(COUNTIF(P10,{"*NLGD*","*FWG*"}))&gt;0,P10,IF(SUM(COUNTIF(P10,{"*GL*","*DGB*","*DGI*","*GT*","*CS*","*PWU*","*DBI*","*SWU*"}))=0,P10,IF(IFERROR(VALUE(SUBSTITUTE(SUBSTITUTE(O10,"W",""),"""","")),0)&gt;52,P10&amp;"-OVRSIZE-",P10))))</f>
        <v/>
      </c>
      <c r="H10" s="15" t="str">
        <v/>
      </c>
      <c r="I10" s="15" t="str">
        <v/>
      </c>
      <c r="J10" s="15" t="str">
        <v/>
      </c>
      <c r="K10" s="15" t="str">
        <v/>
      </c>
      <c r="L10" s="15" t="str">
        <v/>
      </c>
      <c r="M10" s="10" t="str">
        <v/>
      </c>
      <c r="N10" s="14"/>
      <c r="O10" s="15" t="str" cm="1">
        <f t="array" ref="O10">IFERROR(_xlfn.LET(
_xlpm.clean,TRIM(SUBSTITUTE(SUBSTITUTE(P10,CHAR(160),"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" s="15"/>
      <c r="R10" t="str">
        <v/>
      </c>
      <c r="S10" t="str">
        <f t="shared" si="1"/>
        <v/>
      </c>
    </row>
    <row r="11" spans="1:19" ht="12.75">
      <c r="A11" s="15" t="str">
        <v/>
      </c>
      <c r="B11" s="15" t="str">
        <v/>
      </c>
      <c r="C11" s="15" t="str" cm="1">
        <f t="array" ref="C11">IFERROR(_xlfn.TEXTJOIN("",TRUE,_xlfn._xlws.FILTER(MID(S11,_xlfn.SEQUENCE(LEN(S11)),1),ISNUMBER(SEARCH(MID(S11,_xlfn.SEQUENCE(LEN(S11)),1),"ABCDEFGHIJKLMNOPQRSTUVWXYZabcdefghijklmnopqrstuvwxyz0123456789,")))),"")</f>
        <v/>
      </c>
      <c r="D11" s="15" t="str">
        <v/>
      </c>
      <c r="E11" s="16" t="str">
        <v/>
      </c>
      <c r="F11" s="15" t="str">
        <v/>
      </c>
      <c r="G11" s="20" t="str" cm="1">
        <f t="array" ref="G11">IF(TRIM(P11)="","",IF(SUM(COUNTIF(P11,{"*NLGD*","*FWG*"}))&gt;0,P11,IF(SUM(COUNTIF(P11,{"*GL*","*DGB*","*DGI*","*GT*","*CS*","*PWU*","*DBI*","*SWU*"}))=0,P11,IF(IFERROR(VALUE(SUBSTITUTE(SUBSTITUTE(O11,"W",""),"""","")),0)&gt;52,P11&amp;"-OVRSIZE-",P11))))</f>
        <v/>
      </c>
      <c r="H11" s="15" t="str">
        <v/>
      </c>
      <c r="I11" s="15" t="str">
        <v/>
      </c>
      <c r="J11" s="15" t="str">
        <v/>
      </c>
      <c r="K11" s="15" t="str">
        <v/>
      </c>
      <c r="L11" s="15" t="str">
        <v/>
      </c>
      <c r="M11" s="10" t="str">
        <v/>
      </c>
      <c r="N11" s="14"/>
      <c r="O11" s="15" t="str" cm="1">
        <f t="array" ref="O11">IFERROR(_xlfn.LET(
_xlpm.clean,TRIM(SUBSTITUTE(SUBSTITUTE(P11,CHAR(160),"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" s="15"/>
      <c r="R11" t="str">
        <v/>
      </c>
      <c r="S11" t="str">
        <f t="shared" si="1"/>
        <v/>
      </c>
    </row>
    <row r="12" spans="1:19" ht="12.75">
      <c r="A12" s="15" t="str">
        <v/>
      </c>
      <c r="B12" s="15" t="str">
        <v/>
      </c>
      <c r="C12" s="15" t="str" cm="1">
        <f t="array" ref="C12">IFERROR(_xlfn.TEXTJOIN("",TRUE,_xlfn._xlws.FILTER(MID(S12,_xlfn.SEQUENCE(LEN(S12)),1),ISNUMBER(SEARCH(MID(S12,_xlfn.SEQUENCE(LEN(S12)),1),"ABCDEFGHIJKLMNOPQRSTUVWXYZabcdefghijklmnopqrstuvwxyz0123456789,")))),"")</f>
        <v/>
      </c>
      <c r="D12" s="15" t="str">
        <v/>
      </c>
      <c r="E12" s="16" t="str">
        <v/>
      </c>
      <c r="F12" s="15" t="str">
        <v/>
      </c>
      <c r="G12" s="20" t="str" cm="1">
        <f t="array" ref="G12">IF(TRIM(P12)="","",IF(SUM(COUNTIF(P12,{"*NLGD*","*FWG*"}))&gt;0,P12,IF(SUM(COUNTIF(P12,{"*GL*","*DGB*","*DGI*","*GT*","*CS*","*PWU*","*DBI*","*SWU*"}))=0,P12,IF(IFERROR(VALUE(SUBSTITUTE(SUBSTITUTE(O12,"W",""),"""","")),0)&gt;52,P12&amp;"-OVRSIZE-",P12))))</f>
        <v/>
      </c>
      <c r="H12" s="15" t="str">
        <v/>
      </c>
      <c r="I12" s="15" t="str">
        <v/>
      </c>
      <c r="J12" s="15" t="str">
        <v/>
      </c>
      <c r="K12" s="15" t="str">
        <v/>
      </c>
      <c r="L12" s="15" t="str">
        <v/>
      </c>
      <c r="M12" s="10" t="str">
        <v/>
      </c>
      <c r="N12" s="14"/>
      <c r="O12" s="15" t="str" cm="1">
        <f t="array" ref="O12">IFERROR(_xlfn.LET(
_xlpm.clean,TRIM(SUBSTITUTE(SUBSTITUTE(P12,CHAR(160),"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" s="15"/>
      <c r="R12" t="str">
        <v/>
      </c>
      <c r="S12" t="str">
        <f t="shared" si="1"/>
        <v/>
      </c>
    </row>
    <row r="13" spans="1:19" ht="12.75">
      <c r="A13" s="15" t="str">
        <v/>
      </c>
      <c r="B13" s="15" t="str">
        <v/>
      </c>
      <c r="C13" s="15" t="str" cm="1">
        <f t="array" ref="C13">IFERROR(_xlfn.TEXTJOIN("",TRUE,_xlfn._xlws.FILTER(MID(S13,_xlfn.SEQUENCE(LEN(S13)),1),ISNUMBER(SEARCH(MID(S13,_xlfn.SEQUENCE(LEN(S13)),1),"ABCDEFGHIJKLMNOPQRSTUVWXYZabcdefghijklmnopqrstuvwxyz0123456789,")))),"")</f>
        <v/>
      </c>
      <c r="D13" s="15" t="str">
        <v/>
      </c>
      <c r="E13" s="16" t="str">
        <v/>
      </c>
      <c r="F13" s="15" t="str">
        <v/>
      </c>
      <c r="G13" s="20" t="str" cm="1">
        <f t="array" ref="G13">IF(TRIM(P13)="","",IF(SUM(COUNTIF(P13,{"*NLGD*","*FWG*"}))&gt;0,P13,IF(SUM(COUNTIF(P13,{"*GL*","*DGB*","*DGI*","*GT*","*CS*","*PWU*","*DBI*","*SWU*"}))=0,P13,IF(IFERROR(VALUE(SUBSTITUTE(SUBSTITUTE(O13,"W",""),"""","")),0)&gt;52,P13&amp;"-OVRSIZE-",P13))))</f>
        <v/>
      </c>
      <c r="H13" s="15" t="str">
        <v/>
      </c>
      <c r="I13" s="15" t="str">
        <v/>
      </c>
      <c r="J13" s="15" t="str">
        <v/>
      </c>
      <c r="K13" s="15" t="str">
        <v/>
      </c>
      <c r="L13" s="15" t="str">
        <v/>
      </c>
      <c r="M13" s="10" t="str">
        <v/>
      </c>
      <c r="N13" s="14"/>
      <c r="O13" s="15" t="str" cm="1">
        <f t="array" ref="O13">IFERROR(_xlfn.LET(
_xlpm.clean,TRIM(SUBSTITUTE(SUBSTITUTE(P13,CHAR(160),"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" s="15"/>
      <c r="R13" t="str">
        <v/>
      </c>
      <c r="S13" t="str">
        <f t="shared" si="1"/>
        <v/>
      </c>
    </row>
    <row r="14" spans="1:19" ht="12.75">
      <c r="A14" s="15" t="str">
        <v/>
      </c>
      <c r="B14" s="15" t="str">
        <v/>
      </c>
      <c r="C14" s="15" t="str" cm="1">
        <f t="array" ref="C14">IFERROR(_xlfn.TEXTJOIN("",TRUE,_xlfn._xlws.FILTER(MID(S14,_xlfn.SEQUENCE(LEN(S14)),1),ISNUMBER(SEARCH(MID(S14,_xlfn.SEQUENCE(LEN(S14)),1),"ABCDEFGHIJKLMNOPQRSTUVWXYZabcdefghijklmnopqrstuvwxyz0123456789,")))),"")</f>
        <v/>
      </c>
      <c r="D14" s="15" t="str">
        <v/>
      </c>
      <c r="E14" s="16" t="str">
        <v/>
      </c>
      <c r="F14" s="15" t="str">
        <v/>
      </c>
      <c r="G14" s="20" t="str" cm="1">
        <f t="array" ref="G14">IF(TRIM(P14)="","",IF(SUM(COUNTIF(P14,{"*NLGD*","*FWG*"}))&gt;0,P14,IF(SUM(COUNTIF(P14,{"*GL*","*DGB*","*DGI*","*GT*","*CS*","*PWU*","*DBI*","*SWU*"}))=0,P14,IF(IFERROR(VALUE(SUBSTITUTE(SUBSTITUTE(O14,"W",""),"""","")),0)&gt;52,P14&amp;"-OVRSIZE-",P14))))</f>
        <v/>
      </c>
      <c r="H14" s="15" t="str">
        <v/>
      </c>
      <c r="I14" s="15" t="str">
        <v/>
      </c>
      <c r="J14" s="15" t="str">
        <v/>
      </c>
      <c r="K14" s="15" t="str">
        <v/>
      </c>
      <c r="L14" s="15" t="str">
        <v/>
      </c>
      <c r="M14" s="10" t="str">
        <v/>
      </c>
      <c r="N14" s="14"/>
      <c r="O14" s="15" t="str" cm="1">
        <f t="array" ref="O14">IFERROR(_xlfn.LET(
_xlpm.clean,TRIM(SUBSTITUTE(SUBSTITUTE(P14,CHAR(160),"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" s="15"/>
      <c r="R14" t="str">
        <v/>
      </c>
      <c r="S14" t="str">
        <f t="shared" si="1"/>
        <v/>
      </c>
    </row>
    <row r="15" spans="1:19" ht="12.75">
      <c r="A15" s="15" t="str">
        <v/>
      </c>
      <c r="B15" s="15" t="str">
        <v/>
      </c>
      <c r="C15" s="15" t="str" cm="1">
        <f t="array" ref="C15">IFERROR(_xlfn.TEXTJOIN("",TRUE,_xlfn._xlws.FILTER(MID(S15,_xlfn.SEQUENCE(LEN(S15)),1),ISNUMBER(SEARCH(MID(S15,_xlfn.SEQUENCE(LEN(S15)),1),"ABCDEFGHIJKLMNOPQRSTUVWXYZabcdefghijklmnopqrstuvwxyz0123456789,")))),"")</f>
        <v/>
      </c>
      <c r="D15" s="15" t="str">
        <v/>
      </c>
      <c r="E15" s="16" t="str">
        <v/>
      </c>
      <c r="F15" s="15" t="str">
        <v/>
      </c>
      <c r="G15" s="20" t="str" cm="1">
        <f t="array" ref="G15">IF(TRIM(P15)="","",IF(SUM(COUNTIF(P15,{"*NLGD*","*FWG*"}))&gt;0,P15,IF(SUM(COUNTIF(P15,{"*GL*","*DGB*","*DGI*","*GT*","*CS*","*PWU*","*DBI*","*SWU*"}))=0,P15,IF(IFERROR(VALUE(SUBSTITUTE(SUBSTITUTE(O15,"W",""),"""","")),0)&gt;52,P15&amp;"-OVRSIZE-",P15))))</f>
        <v/>
      </c>
      <c r="H15" s="15" t="str">
        <v/>
      </c>
      <c r="I15" s="15" t="str">
        <v/>
      </c>
      <c r="J15" s="15" t="str">
        <v/>
      </c>
      <c r="K15" s="15" t="str">
        <v/>
      </c>
      <c r="L15" s="15" t="str">
        <v/>
      </c>
      <c r="M15" s="10" t="str">
        <v/>
      </c>
      <c r="N15" s="14"/>
      <c r="O15" s="15" t="str" cm="1">
        <f t="array" ref="O15">IFERROR(_xlfn.LET(
_xlpm.clean,TRIM(SUBSTITUTE(SUBSTITUTE(P15,CHAR(160),"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" s="15"/>
      <c r="R15" t="str">
        <v/>
      </c>
      <c r="S15" t="str">
        <f t="shared" si="1"/>
        <v/>
      </c>
    </row>
    <row r="16" spans="1:19" ht="12.75">
      <c r="A16" s="15" t="str">
        <v/>
      </c>
      <c r="B16" s="15" t="str">
        <v/>
      </c>
      <c r="C16" s="15" t="str" cm="1">
        <f t="array" ref="C16">IFERROR(_xlfn.TEXTJOIN("",TRUE,_xlfn._xlws.FILTER(MID(S16,_xlfn.SEQUENCE(LEN(S16)),1),ISNUMBER(SEARCH(MID(S16,_xlfn.SEQUENCE(LEN(S16)),1),"ABCDEFGHIJKLMNOPQRSTUVWXYZabcdefghijklmnopqrstuvwxyz0123456789,")))),"")</f>
        <v/>
      </c>
      <c r="D16" s="15" t="str">
        <v/>
      </c>
      <c r="E16" s="16" t="str">
        <v/>
      </c>
      <c r="F16" s="15" t="str">
        <v/>
      </c>
      <c r="G16" s="20" t="str" cm="1">
        <f t="array" ref="G16">IF(TRIM(P16)="","",IF(SUM(COUNTIF(P16,{"*NLGD*","*FWG*"}))&gt;0,P16,IF(SUM(COUNTIF(P16,{"*GL*","*DGB*","*DGI*","*GT*","*CS*","*PWU*","*DBI*","*SWU*"}))=0,P16,IF(IFERROR(VALUE(SUBSTITUTE(SUBSTITUTE(O16,"W",""),"""","")),0)&gt;52,P16&amp;"-OVRSIZE-",P16))))</f>
        <v/>
      </c>
      <c r="H16" s="15" t="str">
        <v/>
      </c>
      <c r="I16" s="15" t="str">
        <v/>
      </c>
      <c r="J16" s="15" t="str">
        <v/>
      </c>
      <c r="K16" s="15" t="str">
        <v/>
      </c>
      <c r="L16" s="15" t="str">
        <v/>
      </c>
      <c r="M16" s="10" t="str">
        <v/>
      </c>
      <c r="N16" s="14"/>
      <c r="O16" s="15" t="str" cm="1">
        <f t="array" ref="O16">IFERROR(_xlfn.LET(
_xlpm.clean,TRIM(SUBSTITUTE(SUBSTITUTE(P16,CHAR(160),"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" s="15"/>
      <c r="R16" t="str">
        <v/>
      </c>
      <c r="S16" t="str">
        <f t="shared" si="1"/>
        <v/>
      </c>
    </row>
    <row r="17" spans="1:19" ht="12.75">
      <c r="A17" s="15" t="str">
        <v/>
      </c>
      <c r="B17" s="15" t="str">
        <v/>
      </c>
      <c r="C17" s="15" t="str" cm="1">
        <f t="array" ref="C17">IFERROR(_xlfn.TEXTJOIN("",TRUE,_xlfn._xlws.FILTER(MID(S17,_xlfn.SEQUENCE(LEN(S17)),1),ISNUMBER(SEARCH(MID(S17,_xlfn.SEQUENCE(LEN(S17)),1),"ABCDEFGHIJKLMNOPQRSTUVWXYZabcdefghijklmnopqrstuvwxyz0123456789,")))),"")</f>
        <v/>
      </c>
      <c r="D17" s="15" t="str">
        <v/>
      </c>
      <c r="E17" s="16" t="str">
        <v/>
      </c>
      <c r="F17" s="15" t="str">
        <v/>
      </c>
      <c r="G17" s="20" t="str" cm="1">
        <f t="array" ref="G17">IF(TRIM(P17)="","",IF(SUM(COUNTIF(P17,{"*NLGD*","*FWG*"}))&gt;0,P17,IF(SUM(COUNTIF(P17,{"*GL*","*DGB*","*DGI*","*GT*","*CS*","*PWU*","*DBI*","*SWU*"}))=0,P17,IF(IFERROR(VALUE(SUBSTITUTE(SUBSTITUTE(O17,"W",""),"""","")),0)&gt;52,P17&amp;"-OVRSIZE-",P17))))</f>
        <v/>
      </c>
      <c r="H17" s="15" t="str">
        <v/>
      </c>
      <c r="I17" s="15" t="str">
        <v/>
      </c>
      <c r="J17" s="15" t="str">
        <v/>
      </c>
      <c r="K17" s="15" t="str">
        <v/>
      </c>
      <c r="L17" s="15" t="str">
        <v/>
      </c>
      <c r="M17" s="10" t="str">
        <v/>
      </c>
      <c r="N17" s="14"/>
      <c r="O17" s="15" t="str" cm="1">
        <f t="array" ref="O17">IFERROR(_xlfn.LET(
_xlpm.clean,TRIM(SUBSTITUTE(SUBSTITUTE(P17,CHAR(160),"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" s="15"/>
      <c r="R17" t="str">
        <v/>
      </c>
      <c r="S17" t="str">
        <f t="shared" si="1"/>
        <v/>
      </c>
    </row>
    <row r="18" spans="1:19" ht="12.75">
      <c r="A18" s="15" t="str">
        <v/>
      </c>
      <c r="B18" s="15" t="str">
        <v/>
      </c>
      <c r="C18" s="15" t="str" cm="1">
        <f t="array" ref="C18">IFERROR(_xlfn.TEXTJOIN("",TRUE,_xlfn._xlws.FILTER(MID(S18,_xlfn.SEQUENCE(LEN(S18)),1),ISNUMBER(SEARCH(MID(S18,_xlfn.SEQUENCE(LEN(S18)),1),"ABCDEFGHIJKLMNOPQRSTUVWXYZabcdefghijklmnopqrstuvwxyz0123456789,")))),"")</f>
        <v/>
      </c>
      <c r="D18" s="15" t="str">
        <v/>
      </c>
      <c r="E18" s="16" t="str">
        <v/>
      </c>
      <c r="F18" s="15" t="str">
        <v/>
      </c>
      <c r="G18" s="20" t="str" cm="1">
        <f t="array" ref="G18">IF(TRIM(P18)="","",IF(SUM(COUNTIF(P18,{"*NLGD*","*FWG*"}))&gt;0,P18,IF(SUM(COUNTIF(P18,{"*GL*","*DGB*","*DGI*","*GT*","*CS*","*PWU*","*DBI*","*SWU*"}))=0,P18,IF(IFERROR(VALUE(SUBSTITUTE(SUBSTITUTE(O18,"W",""),"""","")),0)&gt;52,P18&amp;"-OVRSIZE-",P18))))</f>
        <v/>
      </c>
      <c r="H18" s="15" t="str">
        <v/>
      </c>
      <c r="I18" s="15" t="str">
        <v/>
      </c>
      <c r="J18" s="15" t="str">
        <v/>
      </c>
      <c r="K18" s="15" t="str">
        <v/>
      </c>
      <c r="L18" s="15" t="str">
        <v/>
      </c>
      <c r="M18" s="10" t="str">
        <v/>
      </c>
      <c r="N18" s="14"/>
      <c r="O18" s="15" t="str" cm="1">
        <f t="array" ref="O18">IFERROR(_xlfn.LET(
_xlpm.clean,TRIM(SUBSTITUTE(SUBSTITUTE(P18,CHAR(160),"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" s="15"/>
      <c r="R18" t="str">
        <v/>
      </c>
      <c r="S18" t="str">
        <f t="shared" si="1"/>
        <v/>
      </c>
    </row>
    <row r="19" spans="1:19" ht="12.75">
      <c r="A19" s="15" t="str">
        <v/>
      </c>
      <c r="B19" s="15" t="str">
        <v/>
      </c>
      <c r="C19" s="15" t="str" cm="1">
        <f t="array" ref="C19">IFERROR(_xlfn.TEXTJOIN("",TRUE,_xlfn._xlws.FILTER(MID(S19,_xlfn.SEQUENCE(LEN(S19)),1),ISNUMBER(SEARCH(MID(S19,_xlfn.SEQUENCE(LEN(S19)),1),"ABCDEFGHIJKLMNOPQRSTUVWXYZabcdefghijklmnopqrstuvwxyz0123456789,")))),"")</f>
        <v/>
      </c>
      <c r="D19" s="15" t="str">
        <v/>
      </c>
      <c r="E19" s="16" t="str">
        <v/>
      </c>
      <c r="F19" s="15" t="str">
        <v/>
      </c>
      <c r="G19" s="20" t="str" cm="1">
        <f t="array" ref="G19">IF(TRIM(P19)="","",IF(SUM(COUNTIF(P19,{"*NLGD*","*FWG*"}))&gt;0,P19,IF(SUM(COUNTIF(P19,{"*GL*","*DGB*","*DGI*","*GT*","*CS*","*PWU*","*DBI*","*SWU*"}))=0,P19,IF(IFERROR(VALUE(SUBSTITUTE(SUBSTITUTE(O19,"W",""),"""","")),0)&gt;52,P19&amp;"-OVRSIZE-",P19))))</f>
        <v/>
      </c>
      <c r="H19" s="15" t="str">
        <v/>
      </c>
      <c r="I19" s="15" t="str">
        <v/>
      </c>
      <c r="J19" s="15" t="str">
        <v/>
      </c>
      <c r="K19" s="15" t="str">
        <v/>
      </c>
      <c r="L19" s="15" t="str">
        <v/>
      </c>
      <c r="M19" s="10" t="str">
        <v/>
      </c>
      <c r="N19" s="14"/>
      <c r="O19" s="15" t="str" cm="1">
        <f t="array" ref="O19">IFERROR(_xlfn.LET(
_xlpm.clean,TRIM(SUBSTITUTE(SUBSTITUTE(P19,CHAR(160),"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" s="15"/>
      <c r="R19" t="str">
        <v/>
      </c>
      <c r="S19" t="str">
        <f t="shared" si="1"/>
        <v/>
      </c>
    </row>
    <row r="20" spans="1:19" ht="12.75">
      <c r="A20" s="15" t="str">
        <v/>
      </c>
      <c r="B20" s="15" t="str">
        <v/>
      </c>
      <c r="C20" s="15" t="str" cm="1">
        <f t="array" ref="C20">IFERROR(_xlfn.TEXTJOIN("",TRUE,_xlfn._xlws.FILTER(MID(S20,_xlfn.SEQUENCE(LEN(S20)),1),ISNUMBER(SEARCH(MID(S20,_xlfn.SEQUENCE(LEN(S20)),1),"ABCDEFGHIJKLMNOPQRSTUVWXYZabcdefghijklmnopqrstuvwxyz0123456789,")))),"")</f>
        <v/>
      </c>
      <c r="D20" s="15" t="str">
        <v/>
      </c>
      <c r="E20" s="16" t="str">
        <v/>
      </c>
      <c r="F20" s="15" t="str">
        <v/>
      </c>
      <c r="G20" s="20" t="str" cm="1">
        <f t="array" ref="G20">IF(TRIM(P20)="","",IF(SUM(COUNTIF(P20,{"*NLGD*","*FWG*"}))&gt;0,P20,IF(SUM(COUNTIF(P20,{"*GL*","*DGB*","*DGI*","*GT*","*CS*","*PWU*","*DBI*","*SWU*"}))=0,P20,IF(IFERROR(VALUE(SUBSTITUTE(SUBSTITUTE(O20,"W",""),"""","")),0)&gt;52,P20&amp;"-OVRSIZE-",P20))))</f>
        <v/>
      </c>
      <c r="H20" s="15" t="str">
        <v/>
      </c>
      <c r="I20" s="15" t="str">
        <v/>
      </c>
      <c r="J20" s="15" t="str">
        <v/>
      </c>
      <c r="K20" s="15" t="str">
        <v/>
      </c>
      <c r="L20" s="15" t="str">
        <v/>
      </c>
      <c r="M20" s="10" t="str">
        <v/>
      </c>
      <c r="N20" s="14"/>
      <c r="O20" s="15" t="str" cm="1">
        <f t="array" ref="O20">IFERROR(_xlfn.LET(
_xlpm.clean,TRIM(SUBSTITUTE(SUBSTITUTE(P20,CHAR(160),"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" s="15"/>
      <c r="R20" t="str">
        <v/>
      </c>
      <c r="S20" t="str">
        <f t="shared" si="1"/>
        <v/>
      </c>
    </row>
    <row r="21" spans="1:19" ht="12.75">
      <c r="A21" s="15" t="str">
        <v/>
      </c>
      <c r="B21" s="15" t="str">
        <v/>
      </c>
      <c r="C21" s="15" t="str" cm="1">
        <f t="array" ref="C21">IFERROR(_xlfn.TEXTJOIN("",TRUE,_xlfn._xlws.FILTER(MID(S21,_xlfn.SEQUENCE(LEN(S21)),1),ISNUMBER(SEARCH(MID(S21,_xlfn.SEQUENCE(LEN(S21)),1),"ABCDEFGHIJKLMNOPQRSTUVWXYZabcdefghijklmnopqrstuvwxyz0123456789,")))),"")</f>
        <v/>
      </c>
      <c r="D21" s="15" t="str">
        <v/>
      </c>
      <c r="E21" s="16" t="str">
        <v/>
      </c>
      <c r="F21" s="15" t="str">
        <v/>
      </c>
      <c r="G21" s="20" t="str" cm="1">
        <f t="array" ref="G21">IF(TRIM(P21)="","",IF(SUM(COUNTIF(P21,{"*NLGD*","*FWG*"}))&gt;0,P21,IF(SUM(COUNTIF(P21,{"*GL*","*DGB*","*DGI*","*GT*","*CS*","*PWU*","*DBI*","*SWU*"}))=0,P21,IF(IFERROR(VALUE(SUBSTITUTE(SUBSTITUTE(O21,"W",""),"""","")),0)&gt;52,P21&amp;"-OVRSIZE-",P21))))</f>
        <v/>
      </c>
      <c r="H21" s="15" t="str">
        <v/>
      </c>
      <c r="I21" s="15" t="str">
        <v/>
      </c>
      <c r="J21" s="15" t="str">
        <v/>
      </c>
      <c r="K21" s="15" t="str">
        <v/>
      </c>
      <c r="L21" s="15" t="str">
        <v/>
      </c>
      <c r="M21" s="10" t="str">
        <v/>
      </c>
      <c r="N21" s="14"/>
      <c r="O21" s="15" t="str" cm="1">
        <f t="array" ref="O21">IFERROR(_xlfn.LET(
_xlpm.clean,TRIM(SUBSTITUTE(SUBSTITUTE(P21,CHAR(160),"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" s="15"/>
      <c r="R21" t="str">
        <v/>
      </c>
      <c r="S21" t="str">
        <f t="shared" si="1"/>
        <v/>
      </c>
    </row>
    <row r="22" spans="1:19" ht="12.75">
      <c r="A22" s="15" t="str">
        <v/>
      </c>
      <c r="B22" s="15" t="str">
        <v/>
      </c>
      <c r="C22" s="15" t="str" cm="1">
        <f t="array" ref="C22">IFERROR(_xlfn.TEXTJOIN("",TRUE,_xlfn._xlws.FILTER(MID(S22,_xlfn.SEQUENCE(LEN(S22)),1),ISNUMBER(SEARCH(MID(S22,_xlfn.SEQUENCE(LEN(S22)),1),"ABCDEFGHIJKLMNOPQRSTUVWXYZabcdefghijklmnopqrstuvwxyz0123456789,")))),"")</f>
        <v/>
      </c>
      <c r="D22" s="15" t="str">
        <v/>
      </c>
      <c r="E22" s="16" t="str">
        <v/>
      </c>
      <c r="F22" s="15" t="str">
        <v/>
      </c>
      <c r="G22" s="20" t="str" cm="1">
        <f t="array" ref="G22">IF(TRIM(P22)="","",IF(SUM(COUNTIF(P22,{"*NLGD*","*FWG*"}))&gt;0,P22,IF(SUM(COUNTIF(P22,{"*GL*","*DGB*","*DGI*","*GT*","*CS*","*PWU*","*DBI*","*SWU*"}))=0,P22,IF(IFERROR(VALUE(SUBSTITUTE(SUBSTITUTE(O22,"W",""),"""","")),0)&gt;52,P22&amp;"-OVRSIZE-",P22))))</f>
        <v/>
      </c>
      <c r="H22" s="15" t="str">
        <v/>
      </c>
      <c r="I22" s="15" t="str">
        <v/>
      </c>
      <c r="J22" s="15" t="str">
        <v/>
      </c>
      <c r="K22" s="15" t="str">
        <v/>
      </c>
      <c r="L22" s="15" t="str">
        <v/>
      </c>
      <c r="M22" s="10" t="str">
        <v/>
      </c>
      <c r="N22" s="14"/>
      <c r="O22" s="15" t="str" cm="1">
        <f t="array" ref="O22">IFERROR(_xlfn.LET(
_xlpm.clean,TRIM(SUBSTITUTE(SUBSTITUTE(P22,CHAR(160),"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" s="15"/>
      <c r="R22" t="str">
        <v/>
      </c>
      <c r="S22" t="str">
        <f t="shared" si="1"/>
        <v/>
      </c>
    </row>
    <row r="23" spans="1:19" ht="12.75">
      <c r="A23" s="15" t="str">
        <v/>
      </c>
      <c r="B23" s="15" t="str">
        <v/>
      </c>
      <c r="C23" s="15" t="str" cm="1">
        <f t="array" ref="C23">IFERROR(_xlfn.TEXTJOIN("",TRUE,_xlfn._xlws.FILTER(MID(S23,_xlfn.SEQUENCE(LEN(S23)),1),ISNUMBER(SEARCH(MID(S23,_xlfn.SEQUENCE(LEN(S23)),1),"ABCDEFGHIJKLMNOPQRSTUVWXYZabcdefghijklmnopqrstuvwxyz0123456789,")))),"")</f>
        <v/>
      </c>
      <c r="D23" s="15" t="str">
        <v/>
      </c>
      <c r="E23" s="16" t="str">
        <v/>
      </c>
      <c r="F23" s="15" t="str">
        <v/>
      </c>
      <c r="G23" s="20" t="str" cm="1">
        <f t="array" ref="G23">IF(TRIM(P23)="","",IF(SUM(COUNTIF(P23,{"*NLGD*","*FWG*"}))&gt;0,P23,IF(SUM(COUNTIF(P23,{"*GL*","*DGB*","*DGI*","*GT*","*CS*","*PWU*","*DBI*","*SWU*"}))=0,P23,IF(IFERROR(VALUE(SUBSTITUTE(SUBSTITUTE(O23,"W",""),"""","")),0)&gt;52,P23&amp;"-OVRSIZE-",P23))))</f>
        <v/>
      </c>
      <c r="H23" s="15" t="str">
        <v/>
      </c>
      <c r="I23" s="15" t="str">
        <v/>
      </c>
      <c r="J23" s="15" t="str">
        <v/>
      </c>
      <c r="K23" s="15" t="str">
        <v/>
      </c>
      <c r="L23" s="15" t="str">
        <v/>
      </c>
      <c r="M23" s="10" t="str">
        <v/>
      </c>
      <c r="N23" s="14"/>
      <c r="O23" s="15" t="str" cm="1">
        <f t="array" ref="O23">IFERROR(_xlfn.LET(
_xlpm.clean,TRIM(SUBSTITUTE(SUBSTITUTE(P23,CHAR(160),"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" s="15"/>
      <c r="R23" t="str">
        <v/>
      </c>
      <c r="S23" t="str">
        <f t="shared" si="1"/>
        <v/>
      </c>
    </row>
    <row r="24" spans="1:19" ht="12.75">
      <c r="A24" s="15" t="str">
        <v/>
      </c>
      <c r="B24" s="15" t="str">
        <v/>
      </c>
      <c r="C24" s="15" t="str" cm="1">
        <f t="array" ref="C24">IFERROR(_xlfn.TEXTJOIN("",TRUE,_xlfn._xlws.FILTER(MID(S24,_xlfn.SEQUENCE(LEN(S24)),1),ISNUMBER(SEARCH(MID(S24,_xlfn.SEQUENCE(LEN(S24)),1),"ABCDEFGHIJKLMNOPQRSTUVWXYZabcdefghijklmnopqrstuvwxyz0123456789,")))),"")</f>
        <v/>
      </c>
      <c r="D24" s="15" t="str">
        <v/>
      </c>
      <c r="E24" s="16" t="str">
        <v/>
      </c>
      <c r="F24" s="15" t="str">
        <v/>
      </c>
      <c r="G24" s="20" t="str" cm="1">
        <f t="array" ref="G24">IF(TRIM(P24)="","",IF(SUM(COUNTIF(P24,{"*NLGD*","*FWG*"}))&gt;0,P24,IF(SUM(COUNTIF(P24,{"*GL*","*DGB*","*DGI*","*GT*","*CS*","*PWU*","*DBI*","*SWU*"}))=0,P24,IF(IFERROR(VALUE(SUBSTITUTE(SUBSTITUTE(O24,"W",""),"""","")),0)&gt;52,P24&amp;"-OVRSIZE-",P24))))</f>
        <v/>
      </c>
      <c r="H24" s="15" t="str">
        <v/>
      </c>
      <c r="I24" s="15" t="str">
        <v/>
      </c>
      <c r="J24" s="15" t="str">
        <v/>
      </c>
      <c r="K24" s="15" t="str">
        <v/>
      </c>
      <c r="L24" s="15" t="str">
        <v/>
      </c>
      <c r="M24" s="10" t="str">
        <v/>
      </c>
      <c r="N24" s="14"/>
      <c r="O24" s="15" t="str" cm="1">
        <f t="array" ref="O24">IFERROR(_xlfn.LET(
_xlpm.clean,TRIM(SUBSTITUTE(SUBSTITUTE(P24,CHAR(160),"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" s="15"/>
      <c r="R24" t="str">
        <v/>
      </c>
      <c r="S24" t="str">
        <f t="shared" si="1"/>
        <v/>
      </c>
    </row>
    <row r="25" spans="1:19" ht="12.75">
      <c r="A25" s="15" t="str">
        <v/>
      </c>
      <c r="B25" s="15" t="str">
        <v/>
      </c>
      <c r="C25" s="15" t="str" cm="1">
        <f t="array" ref="C25">IFERROR(_xlfn.TEXTJOIN("",TRUE,_xlfn._xlws.FILTER(MID(S25,_xlfn.SEQUENCE(LEN(S25)),1),ISNUMBER(SEARCH(MID(S25,_xlfn.SEQUENCE(LEN(S25)),1),"ABCDEFGHIJKLMNOPQRSTUVWXYZabcdefghijklmnopqrstuvwxyz0123456789,")))),"")</f>
        <v/>
      </c>
      <c r="D25" s="15" t="str">
        <v/>
      </c>
      <c r="E25" s="16" t="str">
        <v/>
      </c>
      <c r="F25" s="15" t="str">
        <v/>
      </c>
      <c r="G25" s="20" t="str" cm="1">
        <f t="array" ref="G25">IF(TRIM(P25)="","",IF(SUM(COUNTIF(P25,{"*NLGD*","*FWG*"}))&gt;0,P25,IF(SUM(COUNTIF(P25,{"*GL*","*DGB*","*DGI*","*GT*","*CS*","*PWU*","*DBI*","*SWU*"}))=0,P25,IF(IFERROR(VALUE(SUBSTITUTE(SUBSTITUTE(O25,"W",""),"""","")),0)&gt;52,P25&amp;"-OVRSIZE-",P25))))</f>
        <v/>
      </c>
      <c r="H25" s="15" t="str">
        <v/>
      </c>
      <c r="I25" s="15" t="str">
        <v/>
      </c>
      <c r="J25" s="15" t="str">
        <v/>
      </c>
      <c r="K25" s="15" t="str">
        <v/>
      </c>
      <c r="L25" s="15" t="str">
        <v/>
      </c>
      <c r="M25" s="10" t="str">
        <v/>
      </c>
      <c r="N25" s="14"/>
      <c r="O25" s="15" t="str" cm="1">
        <f t="array" ref="O25">IFERROR(_xlfn.LET(
_xlpm.clean,TRIM(SUBSTITUTE(SUBSTITUTE(P25,CHAR(160),"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" s="15"/>
      <c r="R25" t="str">
        <v/>
      </c>
      <c r="S25" t="str">
        <f t="shared" si="1"/>
        <v/>
      </c>
    </row>
    <row r="26" spans="1:19" ht="12.75">
      <c r="A26" s="15" t="str">
        <v/>
      </c>
      <c r="B26" s="15" t="str">
        <v/>
      </c>
      <c r="C26" s="15" t="str" cm="1">
        <f t="array" ref="C26">IFERROR(_xlfn.TEXTJOIN("",TRUE,_xlfn._xlws.FILTER(MID(S26,_xlfn.SEQUENCE(LEN(S26)),1),ISNUMBER(SEARCH(MID(S26,_xlfn.SEQUENCE(LEN(S26)),1),"ABCDEFGHIJKLMNOPQRSTUVWXYZabcdefghijklmnopqrstuvwxyz0123456789,")))),"")</f>
        <v/>
      </c>
      <c r="D26" s="15" t="str">
        <v/>
      </c>
      <c r="E26" s="16" t="str">
        <v/>
      </c>
      <c r="F26" s="15" t="str">
        <v/>
      </c>
      <c r="G26" s="20" t="str" cm="1">
        <f t="array" ref="G26">IF(TRIM(P26)="","",IF(SUM(COUNTIF(P26,{"*NLGD*","*FWG*"}))&gt;0,P26,IF(SUM(COUNTIF(P26,{"*GL*","*DGB*","*DGI*","*GT*","*CS*","*PWU*","*DBI*","*SWU*"}))=0,P26,IF(IFERROR(VALUE(SUBSTITUTE(SUBSTITUTE(O26,"W",""),"""","")),0)&gt;52,P26&amp;"-OVRSIZE-",P26))))</f>
        <v/>
      </c>
      <c r="H26" s="15" t="str">
        <v/>
      </c>
      <c r="I26" s="15" t="str">
        <v/>
      </c>
      <c r="J26" s="15" t="str">
        <v/>
      </c>
      <c r="K26" s="15" t="str">
        <v/>
      </c>
      <c r="L26" s="15" t="str">
        <v/>
      </c>
      <c r="M26" s="10" t="str">
        <v/>
      </c>
      <c r="N26" s="14"/>
      <c r="O26" s="15" t="str" cm="1">
        <f t="array" ref="O26">IFERROR(_xlfn.LET(
_xlpm.clean,TRIM(SUBSTITUTE(SUBSTITUTE(P26,CHAR(160),"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" s="15"/>
      <c r="R26" t="str">
        <v/>
      </c>
      <c r="S26" t="str">
        <f t="shared" si="1"/>
        <v/>
      </c>
    </row>
    <row r="27" spans="1:19" ht="12.75">
      <c r="A27" s="15" t="str">
        <v/>
      </c>
      <c r="B27" s="15" t="str">
        <v/>
      </c>
      <c r="C27" s="15" t="str" cm="1">
        <f t="array" ref="C27">IFERROR(_xlfn.TEXTJOIN("",TRUE,_xlfn._xlws.FILTER(MID(S27,_xlfn.SEQUENCE(LEN(S27)),1),ISNUMBER(SEARCH(MID(S27,_xlfn.SEQUENCE(LEN(S27)),1),"ABCDEFGHIJKLMNOPQRSTUVWXYZabcdefghijklmnopqrstuvwxyz0123456789,")))),"")</f>
        <v/>
      </c>
      <c r="D27" s="15" t="str">
        <v/>
      </c>
      <c r="E27" s="16" t="str">
        <v/>
      </c>
      <c r="F27" s="15" t="str">
        <v/>
      </c>
      <c r="G27" s="20" t="str" cm="1">
        <f t="array" ref="G27">IF(TRIM(P27)="","",IF(SUM(COUNTIF(P27,{"*NLGD*","*FWG*"}))&gt;0,P27,IF(SUM(COUNTIF(P27,{"*GL*","*DGB*","*DGI*","*GT*","*CS*","*PWU*","*DBI*","*SWU*"}))=0,P27,IF(IFERROR(VALUE(SUBSTITUTE(SUBSTITUTE(O27,"W",""),"""","")),0)&gt;52,P27&amp;"-OVRSIZE-",P27))))</f>
        <v/>
      </c>
      <c r="H27" s="15" t="str">
        <v/>
      </c>
      <c r="I27" s="15" t="str">
        <v/>
      </c>
      <c r="J27" s="15" t="str">
        <v/>
      </c>
      <c r="K27" s="15" t="str">
        <v/>
      </c>
      <c r="L27" s="15" t="str">
        <v/>
      </c>
      <c r="M27" s="10" t="str">
        <v/>
      </c>
      <c r="N27" s="14"/>
      <c r="O27" s="15" t="str" cm="1">
        <f t="array" ref="O27">IFERROR(_xlfn.LET(
_xlpm.clean,TRIM(SUBSTITUTE(SUBSTITUTE(P27,CHAR(160),"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" s="15"/>
      <c r="R27" t="str">
        <v/>
      </c>
      <c r="S27" t="str">
        <f t="shared" si="1"/>
        <v/>
      </c>
    </row>
    <row r="28" spans="1:19" ht="12.75">
      <c r="A28" s="15" t="str">
        <v/>
      </c>
      <c r="B28" s="15" t="str">
        <v/>
      </c>
      <c r="C28" s="15" t="str" cm="1">
        <f t="array" ref="C28">IFERROR(_xlfn.TEXTJOIN("",TRUE,_xlfn._xlws.FILTER(MID(S28,_xlfn.SEQUENCE(LEN(S28)),1),ISNUMBER(SEARCH(MID(S28,_xlfn.SEQUENCE(LEN(S28)),1),"ABCDEFGHIJKLMNOPQRSTUVWXYZabcdefghijklmnopqrstuvwxyz0123456789,")))),"")</f>
        <v/>
      </c>
      <c r="D28" s="15" t="str">
        <v/>
      </c>
      <c r="E28" s="16" t="str">
        <v/>
      </c>
      <c r="F28" s="15" t="str">
        <v/>
      </c>
      <c r="G28" s="20" t="str" cm="1">
        <f t="array" ref="G28">IF(TRIM(P28)="","",IF(SUM(COUNTIF(P28,{"*NLGD*","*FWG*"}))&gt;0,P28,IF(SUM(COUNTIF(P28,{"*GL*","*DGB*","*DGI*","*GT*","*CS*","*PWU*","*DBI*","*SWU*"}))=0,P28,IF(IFERROR(VALUE(SUBSTITUTE(SUBSTITUTE(O28,"W",""),"""","")),0)&gt;52,P28&amp;"-OVRSIZE-",P28))))</f>
        <v/>
      </c>
      <c r="H28" s="15" t="str">
        <v/>
      </c>
      <c r="I28" s="15" t="str">
        <v/>
      </c>
      <c r="J28" s="15" t="str">
        <v/>
      </c>
      <c r="K28" s="15" t="str">
        <v/>
      </c>
      <c r="L28" s="15" t="str">
        <v/>
      </c>
      <c r="M28" s="10" t="str">
        <v/>
      </c>
      <c r="N28" s="14"/>
      <c r="O28" s="15" t="str" cm="1">
        <f t="array" ref="O28">IFERROR(_xlfn.LET(
_xlpm.clean,TRIM(SUBSTITUTE(SUBSTITUTE(P28,CHAR(160),"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" s="15"/>
      <c r="R28" t="str">
        <v/>
      </c>
      <c r="S28" t="str">
        <f t="shared" si="1"/>
        <v/>
      </c>
    </row>
    <row r="29" spans="1:19" ht="12.75">
      <c r="A29" s="15" t="str">
        <v/>
      </c>
      <c r="B29" s="15" t="str">
        <v/>
      </c>
      <c r="C29" s="15" t="str" cm="1">
        <f t="array" ref="C29">IFERROR(_xlfn.TEXTJOIN("",TRUE,_xlfn._xlws.FILTER(MID(S29,_xlfn.SEQUENCE(LEN(S29)),1),ISNUMBER(SEARCH(MID(S29,_xlfn.SEQUENCE(LEN(S29)),1),"ABCDEFGHIJKLMNOPQRSTUVWXYZabcdefghijklmnopqrstuvwxyz0123456789,")))),"")</f>
        <v/>
      </c>
      <c r="D29" s="15" t="str">
        <v/>
      </c>
      <c r="E29" s="16" t="str">
        <v/>
      </c>
      <c r="F29" s="15" t="str">
        <v/>
      </c>
      <c r="G29" s="20" t="str" cm="1">
        <f t="array" ref="G29">IF(TRIM(P29)="","",IF(SUM(COUNTIF(P29,{"*NLGD*","*FWG*"}))&gt;0,P29,IF(SUM(COUNTIF(P29,{"*GL*","*DGB*","*DGI*","*GT*","*CS*","*PWU*","*DBI*","*SWU*"}))=0,P29,IF(IFERROR(VALUE(SUBSTITUTE(SUBSTITUTE(O29,"W",""),"""","")),0)&gt;52,P29&amp;"-OVRSIZE-",P29))))</f>
        <v/>
      </c>
      <c r="H29" s="15" t="str">
        <v/>
      </c>
      <c r="I29" s="15" t="str">
        <v/>
      </c>
      <c r="J29" s="15" t="str">
        <v/>
      </c>
      <c r="K29" s="15" t="str">
        <v/>
      </c>
      <c r="L29" s="15" t="str">
        <v/>
      </c>
      <c r="M29" s="10" t="str">
        <v/>
      </c>
      <c r="N29" s="14"/>
      <c r="O29" s="15" t="str" cm="1">
        <f t="array" ref="O29">IFERROR(_xlfn.LET(
_xlpm.clean,TRIM(SUBSTITUTE(SUBSTITUTE(P29,CHAR(160),"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" s="15"/>
      <c r="R29" t="str">
        <v/>
      </c>
      <c r="S29" t="str">
        <f t="shared" si="1"/>
        <v/>
      </c>
    </row>
    <row r="30" spans="1:19" ht="12.75">
      <c r="A30" s="15" t="str">
        <v/>
      </c>
      <c r="B30" s="15" t="str">
        <v/>
      </c>
      <c r="C30" s="15" t="str" cm="1">
        <f t="array" ref="C30">IFERROR(_xlfn.TEXTJOIN("",TRUE,_xlfn._xlws.FILTER(MID(S30,_xlfn.SEQUENCE(LEN(S30)),1),ISNUMBER(SEARCH(MID(S30,_xlfn.SEQUENCE(LEN(S30)),1),"ABCDEFGHIJKLMNOPQRSTUVWXYZabcdefghijklmnopqrstuvwxyz0123456789,")))),"")</f>
        <v/>
      </c>
      <c r="D30" s="15" t="str">
        <v/>
      </c>
      <c r="E30" s="16" t="str">
        <v/>
      </c>
      <c r="F30" s="15" t="str">
        <v/>
      </c>
      <c r="G30" s="20" t="str" cm="1">
        <f t="array" ref="G30">IF(TRIM(P30)="","",IF(SUM(COUNTIF(P30,{"*NLGD*","*FWG*"}))&gt;0,P30,IF(SUM(COUNTIF(P30,{"*GL*","*DGB*","*DGI*","*GT*","*CS*","*PWU*","*DBI*","*SWU*"}))=0,P30,IF(IFERROR(VALUE(SUBSTITUTE(SUBSTITUTE(O30,"W",""),"""","")),0)&gt;52,P30&amp;"-OVRSIZE-",P30))))</f>
        <v/>
      </c>
      <c r="H30" s="15" t="str">
        <v/>
      </c>
      <c r="I30" s="15" t="str">
        <v/>
      </c>
      <c r="J30" s="15" t="str">
        <v/>
      </c>
      <c r="K30" s="15" t="str">
        <v/>
      </c>
      <c r="L30" s="15" t="str">
        <v/>
      </c>
      <c r="M30" s="10" t="str">
        <v/>
      </c>
      <c r="N30" s="14"/>
      <c r="O30" s="15" t="str" cm="1">
        <f t="array" ref="O30">IFERROR(_xlfn.LET(
_xlpm.clean,TRIM(SUBSTITUTE(SUBSTITUTE(P30,CHAR(160),"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" s="15"/>
      <c r="R30" t="str">
        <v/>
      </c>
      <c r="S30" t="str">
        <f t="shared" si="1"/>
        <v/>
      </c>
    </row>
    <row r="31" spans="1:19" ht="12.75">
      <c r="A31" s="15" t="str">
        <v/>
      </c>
      <c r="B31" s="15" t="str">
        <v/>
      </c>
      <c r="C31" s="15" t="str" cm="1">
        <f t="array" ref="C31">IFERROR(_xlfn.TEXTJOIN("",TRUE,_xlfn._xlws.FILTER(MID(S31,_xlfn.SEQUENCE(LEN(S31)),1),ISNUMBER(SEARCH(MID(S31,_xlfn.SEQUENCE(LEN(S31)),1),"ABCDEFGHIJKLMNOPQRSTUVWXYZabcdefghijklmnopqrstuvwxyz0123456789,")))),"")</f>
        <v/>
      </c>
      <c r="D31" s="15" t="str">
        <v/>
      </c>
      <c r="E31" s="16" t="str">
        <v/>
      </c>
      <c r="F31" s="15" t="str">
        <v/>
      </c>
      <c r="G31" s="20" t="str" cm="1">
        <f t="array" ref="G31">IF(TRIM(P31)="","",IF(SUM(COUNTIF(P31,{"*NLGD*","*FWG*"}))&gt;0,P31,IF(SUM(COUNTIF(P31,{"*GL*","*DGB*","*DGI*","*GT*","*CS*","*PWU*","*DBI*","*SWU*"}))=0,P31,IF(IFERROR(VALUE(SUBSTITUTE(SUBSTITUTE(O31,"W",""),"""","")),0)&gt;52,P31&amp;"-OVRSIZE-",P31))))</f>
        <v/>
      </c>
      <c r="H31" s="15" t="str">
        <v/>
      </c>
      <c r="I31" s="15" t="str">
        <v/>
      </c>
      <c r="J31" s="15" t="str">
        <v/>
      </c>
      <c r="K31" s="15" t="str">
        <v/>
      </c>
      <c r="L31" s="15" t="str">
        <v/>
      </c>
      <c r="M31" s="10" t="str">
        <v/>
      </c>
      <c r="N31" s="14"/>
      <c r="O31" s="15" t="str" cm="1">
        <f t="array" ref="O31">IFERROR(_xlfn.LET(
_xlpm.clean,TRIM(SUBSTITUTE(SUBSTITUTE(P31,CHAR(160),"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" s="15"/>
      <c r="R31" t="str">
        <v/>
      </c>
      <c r="S31" t="str">
        <f t="shared" si="1"/>
        <v/>
      </c>
    </row>
    <row r="32" spans="1:19" ht="12.75">
      <c r="A32" s="15" t="str">
        <v/>
      </c>
      <c r="B32" s="15" t="str">
        <v/>
      </c>
      <c r="C32" s="15" t="str" cm="1">
        <f t="array" ref="C32">IFERROR(_xlfn.TEXTJOIN("",TRUE,_xlfn._xlws.FILTER(MID(S32,_xlfn.SEQUENCE(LEN(S32)),1),ISNUMBER(SEARCH(MID(S32,_xlfn.SEQUENCE(LEN(S32)),1),"ABCDEFGHIJKLMNOPQRSTUVWXYZabcdefghijklmnopqrstuvwxyz0123456789,")))),"")</f>
        <v/>
      </c>
      <c r="D32" s="15" t="str">
        <v/>
      </c>
      <c r="E32" s="16" t="str">
        <v/>
      </c>
      <c r="F32" s="15" t="str">
        <v/>
      </c>
      <c r="G32" s="20" t="str" cm="1">
        <f t="array" ref="G32">IF(TRIM(P32)="","",IF(SUM(COUNTIF(P32,{"*NLGD*","*FWG*"}))&gt;0,P32,IF(SUM(COUNTIF(P32,{"*GL*","*DGB*","*DGI*","*GT*","*CS*","*PWU*","*DBI*","*SWU*"}))=0,P32,IF(IFERROR(VALUE(SUBSTITUTE(SUBSTITUTE(O32,"W",""),"""","")),0)&gt;52,P32&amp;"-OVRSIZE-",P32))))</f>
        <v/>
      </c>
      <c r="H32" s="15" t="str">
        <v/>
      </c>
      <c r="I32" s="15" t="str">
        <v/>
      </c>
      <c r="J32" s="15" t="str">
        <v/>
      </c>
      <c r="K32" s="15" t="str">
        <v/>
      </c>
      <c r="L32" s="15" t="str">
        <v/>
      </c>
      <c r="M32" s="10" t="str">
        <v/>
      </c>
      <c r="N32" s="14"/>
      <c r="O32" s="15" t="str" cm="1">
        <f t="array" ref="O32">IFERROR(_xlfn.LET(
_xlpm.clean,TRIM(SUBSTITUTE(SUBSTITUTE(P32,CHAR(160),"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" s="15"/>
      <c r="R32" t="str">
        <v/>
      </c>
      <c r="S32" t="str">
        <f t="shared" si="1"/>
        <v/>
      </c>
    </row>
    <row r="33" spans="1:19" ht="12.75">
      <c r="A33" s="15" t="str">
        <v/>
      </c>
      <c r="B33" s="15" t="str">
        <v/>
      </c>
      <c r="C33" s="15" t="str" cm="1">
        <f t="array" ref="C33">IFERROR(_xlfn.TEXTJOIN("",TRUE,_xlfn._xlws.FILTER(MID(S33,_xlfn.SEQUENCE(LEN(S33)),1),ISNUMBER(SEARCH(MID(S33,_xlfn.SEQUENCE(LEN(S33)),1),"ABCDEFGHIJKLMNOPQRSTUVWXYZabcdefghijklmnopqrstuvwxyz0123456789,")))),"")</f>
        <v/>
      </c>
      <c r="D33" s="15" t="str">
        <v/>
      </c>
      <c r="E33" s="16" t="str">
        <v/>
      </c>
      <c r="F33" s="15" t="str">
        <v/>
      </c>
      <c r="G33" s="20" t="str" cm="1">
        <f t="array" ref="G33">IF(TRIM(P33)="","",IF(SUM(COUNTIF(P33,{"*NLGD*","*FWG*"}))&gt;0,P33,IF(SUM(COUNTIF(P33,{"*GL*","*DGB*","*DGI*","*GT*","*CS*","*PWU*","*DBI*","*SWU*"}))=0,P33,IF(IFERROR(VALUE(SUBSTITUTE(SUBSTITUTE(O33,"W",""),"""","")),0)&gt;52,P33&amp;"-OVRSIZE-",P33))))</f>
        <v/>
      </c>
      <c r="H33" s="15" t="str">
        <v/>
      </c>
      <c r="I33" s="15" t="str">
        <v/>
      </c>
      <c r="J33" s="15" t="str">
        <v/>
      </c>
      <c r="K33" s="15" t="str">
        <v/>
      </c>
      <c r="L33" s="15" t="str">
        <v/>
      </c>
      <c r="M33" s="10" t="str">
        <v/>
      </c>
      <c r="N33" s="14"/>
      <c r="O33" s="15" t="str" cm="1">
        <f t="array" ref="O33">IFERROR(_xlfn.LET(
_xlpm.clean,TRIM(SUBSTITUTE(SUBSTITUTE(P33,CHAR(160),"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" s="15"/>
      <c r="R33" t="str">
        <v/>
      </c>
      <c r="S33" t="str">
        <f t="shared" si="1"/>
        <v/>
      </c>
    </row>
    <row r="34" spans="1:19" ht="12.75">
      <c r="A34" s="15" t="str">
        <v/>
      </c>
      <c r="B34" s="15" t="str">
        <v/>
      </c>
      <c r="C34" s="15" t="str" cm="1">
        <f t="array" ref="C34">IFERROR(_xlfn.TEXTJOIN("",TRUE,_xlfn._xlws.FILTER(MID(S34,_xlfn.SEQUENCE(LEN(S34)),1),ISNUMBER(SEARCH(MID(S34,_xlfn.SEQUENCE(LEN(S34)),1),"ABCDEFGHIJKLMNOPQRSTUVWXYZabcdefghijklmnopqrstuvwxyz0123456789,")))),"")</f>
        <v/>
      </c>
      <c r="D34" s="15" t="str">
        <v/>
      </c>
      <c r="E34" s="16" t="str">
        <v/>
      </c>
      <c r="F34" s="15" t="str">
        <v/>
      </c>
      <c r="G34" s="20" t="str" cm="1">
        <f t="array" ref="G34">IF(TRIM(P34)="","",IF(SUM(COUNTIF(P34,{"*NLGD*","*FWG*"}))&gt;0,P34,IF(SUM(COUNTIF(P34,{"*GL*","*DGB*","*DGI*","*GT*","*CS*","*PWU*","*DBI*","*SWU*"}))=0,P34,IF(IFERROR(VALUE(SUBSTITUTE(SUBSTITUTE(O34,"W",""),"""","")),0)&gt;52,P34&amp;"-OVRSIZE-",P34))))</f>
        <v/>
      </c>
      <c r="H34" s="15" t="str">
        <v/>
      </c>
      <c r="I34" s="15" t="str">
        <v/>
      </c>
      <c r="J34" s="15" t="str">
        <v/>
      </c>
      <c r="K34" s="15" t="str">
        <v/>
      </c>
      <c r="L34" s="15" t="str">
        <v/>
      </c>
      <c r="M34" s="10" t="str">
        <v/>
      </c>
      <c r="N34" s="14"/>
      <c r="O34" s="15" t="str" cm="1">
        <f t="array" ref="O34">IFERROR(_xlfn.LET(
_xlpm.clean,TRIM(SUBSTITUTE(SUBSTITUTE(P34,CHAR(160),"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" s="15"/>
      <c r="R34" t="str">
        <v/>
      </c>
      <c r="S34" t="str">
        <f t="shared" si="1"/>
        <v/>
      </c>
    </row>
    <row r="35" spans="1:19" ht="12.75">
      <c r="A35" s="15" t="str">
        <v/>
      </c>
      <c r="B35" s="15" t="str">
        <v/>
      </c>
      <c r="C35" s="15" t="str" cm="1">
        <f t="array" ref="C35">IFERROR(_xlfn.TEXTJOIN("",TRUE,_xlfn._xlws.FILTER(MID(S35,_xlfn.SEQUENCE(LEN(S35)),1),ISNUMBER(SEARCH(MID(S35,_xlfn.SEQUENCE(LEN(S35)),1),"ABCDEFGHIJKLMNOPQRSTUVWXYZabcdefghijklmnopqrstuvwxyz0123456789,")))),"")</f>
        <v/>
      </c>
      <c r="D35" s="15" t="str">
        <v/>
      </c>
      <c r="E35" s="16" t="str">
        <v/>
      </c>
      <c r="F35" s="15" t="str">
        <v/>
      </c>
      <c r="G35" s="20" t="str" cm="1">
        <f t="array" ref="G35">IF(TRIM(P35)="","",IF(SUM(COUNTIF(P35,{"*NLGD*","*FWG*"}))&gt;0,P35,IF(SUM(COUNTIF(P35,{"*GL*","*DGB*","*DGI*","*GT*","*CS*","*PWU*","*DBI*","*SWU*"}))=0,P35,IF(IFERROR(VALUE(SUBSTITUTE(SUBSTITUTE(O35,"W",""),"""","")),0)&gt;52,P35&amp;"-OVRSIZE-",P35))))</f>
        <v/>
      </c>
      <c r="H35" s="15" t="str">
        <v/>
      </c>
      <c r="I35" s="15" t="str">
        <v/>
      </c>
      <c r="J35" s="15" t="str">
        <v/>
      </c>
      <c r="K35" s="15" t="str">
        <v/>
      </c>
      <c r="L35" s="15" t="str">
        <v/>
      </c>
      <c r="M35" s="10" t="str">
        <v/>
      </c>
      <c r="N35" s="14"/>
      <c r="O35" s="15" t="str" cm="1">
        <f t="array" ref="O35">IFERROR(_xlfn.LET(
_xlpm.clean,TRIM(SUBSTITUTE(SUBSTITUTE(P35,CHAR(160),"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" s="15"/>
      <c r="R35" t="str">
        <v/>
      </c>
      <c r="S35" t="str">
        <f t="shared" si="1"/>
        <v/>
      </c>
    </row>
    <row r="36" spans="1:19" ht="12.75">
      <c r="A36" s="15" t="str">
        <v/>
      </c>
      <c r="B36" s="15" t="str">
        <v/>
      </c>
      <c r="C36" s="15" t="str" cm="1">
        <f t="array" ref="C36">IFERROR(_xlfn.TEXTJOIN("",TRUE,_xlfn._xlws.FILTER(MID(S36,_xlfn.SEQUENCE(LEN(S36)),1),ISNUMBER(SEARCH(MID(S36,_xlfn.SEQUENCE(LEN(S36)),1),"ABCDEFGHIJKLMNOPQRSTUVWXYZabcdefghijklmnopqrstuvwxyz0123456789,")))),"")</f>
        <v/>
      </c>
      <c r="D36" s="15" t="str">
        <v/>
      </c>
      <c r="E36" s="16" t="str">
        <v/>
      </c>
      <c r="F36" s="15" t="str">
        <v/>
      </c>
      <c r="G36" s="20" t="str" cm="1">
        <f t="array" ref="G36">IF(TRIM(P36)="","",IF(SUM(COUNTIF(P36,{"*NLGD*","*FWG*"}))&gt;0,P36,IF(SUM(COUNTIF(P36,{"*GL*","*DGB*","*DGI*","*GT*","*CS*","*PWU*","*DBI*","*SWU*"}))=0,P36,IF(IFERROR(VALUE(SUBSTITUTE(SUBSTITUTE(O36,"W",""),"""","")),0)&gt;52,P36&amp;"-OVRSIZE-",P36))))</f>
        <v/>
      </c>
      <c r="H36" s="15" t="str">
        <v/>
      </c>
      <c r="I36" s="15" t="str">
        <v/>
      </c>
      <c r="J36" s="15" t="str">
        <v/>
      </c>
      <c r="K36" s="15" t="str">
        <v/>
      </c>
      <c r="L36" s="15" t="str">
        <v/>
      </c>
      <c r="M36" s="10" t="str">
        <v/>
      </c>
      <c r="N36" s="14"/>
      <c r="O36" s="15" t="str" cm="1">
        <f t="array" ref="O36">IFERROR(_xlfn.LET(
_xlpm.clean,TRIM(SUBSTITUTE(SUBSTITUTE(P36,CHAR(160),"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" s="15"/>
      <c r="R36" t="str">
        <v/>
      </c>
      <c r="S36" t="str">
        <f t="shared" si="1"/>
        <v/>
      </c>
    </row>
    <row r="37" spans="1:19" ht="12.75">
      <c r="A37" s="15" t="str">
        <v/>
      </c>
      <c r="B37" s="15" t="str">
        <v/>
      </c>
      <c r="C37" s="15" t="str" cm="1">
        <f t="array" ref="C37">IFERROR(_xlfn.TEXTJOIN("",TRUE,_xlfn._xlws.FILTER(MID(S37,_xlfn.SEQUENCE(LEN(S37)),1),ISNUMBER(SEARCH(MID(S37,_xlfn.SEQUENCE(LEN(S37)),1),"ABCDEFGHIJKLMNOPQRSTUVWXYZabcdefghijklmnopqrstuvwxyz0123456789,")))),"")</f>
        <v/>
      </c>
      <c r="D37" s="15" t="str">
        <v/>
      </c>
      <c r="E37" s="16" t="str">
        <v/>
      </c>
      <c r="F37" s="15" t="str">
        <v/>
      </c>
      <c r="G37" s="20" t="str" cm="1">
        <f t="array" ref="G37">IF(TRIM(P37)="","",IF(SUM(COUNTIF(P37,{"*NLGD*","*FWG*"}))&gt;0,P37,IF(SUM(COUNTIF(P37,{"*GL*","*DGB*","*DGI*","*GT*","*CS*","*PWU*","*DBI*","*SWU*"}))=0,P37,IF(IFERROR(VALUE(SUBSTITUTE(SUBSTITUTE(O37,"W",""),"""","")),0)&gt;52,P37&amp;"-OVRSIZE-",P37))))</f>
        <v/>
      </c>
      <c r="H37" s="15" t="str">
        <v/>
      </c>
      <c r="I37" s="15" t="str">
        <v/>
      </c>
      <c r="J37" s="15" t="str">
        <v/>
      </c>
      <c r="K37" s="15" t="str">
        <v/>
      </c>
      <c r="L37" s="15" t="str">
        <v/>
      </c>
      <c r="M37" s="10" t="str">
        <v/>
      </c>
      <c r="N37" s="14"/>
      <c r="O37" s="15" t="str" cm="1">
        <f t="array" ref="O37">IFERROR(_xlfn.LET(
_xlpm.clean,TRIM(SUBSTITUTE(SUBSTITUTE(P37,CHAR(160),"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" s="15"/>
      <c r="R37" t="str">
        <v/>
      </c>
      <c r="S37" t="str">
        <f t="shared" si="1"/>
        <v/>
      </c>
    </row>
    <row r="38" spans="1:19" ht="12.75">
      <c r="A38" s="15" t="str">
        <v/>
      </c>
      <c r="B38" s="15" t="str">
        <v/>
      </c>
      <c r="C38" s="15" t="str" cm="1">
        <f t="array" ref="C38">IFERROR(_xlfn.TEXTJOIN("",TRUE,_xlfn._xlws.FILTER(MID(S38,_xlfn.SEQUENCE(LEN(S38)),1),ISNUMBER(SEARCH(MID(S38,_xlfn.SEQUENCE(LEN(S38)),1),"ABCDEFGHIJKLMNOPQRSTUVWXYZabcdefghijklmnopqrstuvwxyz0123456789,")))),"")</f>
        <v/>
      </c>
      <c r="D38" s="15" t="str">
        <v/>
      </c>
      <c r="E38" s="16" t="str">
        <v/>
      </c>
      <c r="F38" s="15" t="str">
        <v/>
      </c>
      <c r="G38" s="20" t="str" cm="1">
        <f t="array" ref="G38">IF(TRIM(P38)="","",IF(SUM(COUNTIF(P38,{"*NLGD*","*FWG*"}))&gt;0,P38,IF(SUM(COUNTIF(P38,{"*GL*","*DGB*","*DGI*","*GT*","*CS*","*PWU*","*DBI*","*SWU*"}))=0,P38,IF(IFERROR(VALUE(SUBSTITUTE(SUBSTITUTE(O38,"W",""),"""","")),0)&gt;52,P38&amp;"-OVRSIZE-",P38))))</f>
        <v/>
      </c>
      <c r="H38" s="15" t="str">
        <v/>
      </c>
      <c r="I38" s="15" t="str">
        <v/>
      </c>
      <c r="J38" s="15" t="str">
        <v/>
      </c>
      <c r="K38" s="15" t="str">
        <v/>
      </c>
      <c r="L38" s="15" t="str">
        <v/>
      </c>
      <c r="M38" s="10" t="str">
        <v/>
      </c>
      <c r="N38" s="14"/>
      <c r="O38" s="15" t="str" cm="1">
        <f t="array" ref="O38">IFERROR(_xlfn.LET(
_xlpm.clean,TRIM(SUBSTITUTE(SUBSTITUTE(P38,CHAR(160),"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" s="15"/>
      <c r="R38" t="str">
        <v/>
      </c>
      <c r="S38" t="str">
        <f t="shared" si="1"/>
        <v/>
      </c>
    </row>
    <row r="39" spans="1:19" ht="12.75">
      <c r="A39" s="15" t="str">
        <v/>
      </c>
      <c r="B39" s="15" t="str">
        <v/>
      </c>
      <c r="C39" s="15" t="str" cm="1">
        <f t="array" ref="C39">IFERROR(_xlfn.TEXTJOIN("",TRUE,_xlfn._xlws.FILTER(MID(S39,_xlfn.SEQUENCE(LEN(S39)),1),ISNUMBER(SEARCH(MID(S39,_xlfn.SEQUENCE(LEN(S39)),1),"ABCDEFGHIJKLMNOPQRSTUVWXYZabcdefghijklmnopqrstuvwxyz0123456789,")))),"")</f>
        <v/>
      </c>
      <c r="D39" s="15" t="str">
        <v/>
      </c>
      <c r="E39" s="16" t="str">
        <v/>
      </c>
      <c r="F39" s="15" t="str">
        <v/>
      </c>
      <c r="G39" s="20" t="str" cm="1">
        <f t="array" ref="G39">IF(TRIM(P39)="","",IF(SUM(COUNTIF(P39,{"*NLGD*","*FWG*"}))&gt;0,P39,IF(SUM(COUNTIF(P39,{"*GL*","*DGB*","*DGI*","*GT*","*CS*","*PWU*","*DBI*","*SWU*"}))=0,P39,IF(IFERROR(VALUE(SUBSTITUTE(SUBSTITUTE(O39,"W",""),"""","")),0)&gt;52,P39&amp;"-OVRSIZE-",P39))))</f>
        <v/>
      </c>
      <c r="H39" s="15" t="str">
        <v/>
      </c>
      <c r="I39" s="15" t="str">
        <v/>
      </c>
      <c r="J39" s="15" t="str">
        <v/>
      </c>
      <c r="K39" s="15" t="str">
        <v/>
      </c>
      <c r="L39" s="15" t="str">
        <v/>
      </c>
      <c r="M39" s="10" t="str">
        <v/>
      </c>
      <c r="N39" s="14"/>
      <c r="O39" s="15" t="str" cm="1">
        <f t="array" ref="O39">IFERROR(_xlfn.LET(
_xlpm.clean,TRIM(SUBSTITUTE(SUBSTITUTE(P39,CHAR(160),"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" s="15"/>
      <c r="R39" t="str">
        <v/>
      </c>
      <c r="S39" t="str">
        <f t="shared" si="1"/>
        <v/>
      </c>
    </row>
    <row r="40" spans="1:19" ht="12.75">
      <c r="A40" s="15" t="str">
        <v/>
      </c>
      <c r="B40" s="15" t="str">
        <v/>
      </c>
      <c r="C40" s="15" t="str" cm="1">
        <f t="array" ref="C40">IFERROR(_xlfn.TEXTJOIN("",TRUE,_xlfn._xlws.FILTER(MID(S40,_xlfn.SEQUENCE(LEN(S40)),1),ISNUMBER(SEARCH(MID(S40,_xlfn.SEQUENCE(LEN(S40)),1),"ABCDEFGHIJKLMNOPQRSTUVWXYZabcdefghijklmnopqrstuvwxyz0123456789,")))),"")</f>
        <v/>
      </c>
      <c r="D40" s="15" t="str">
        <v/>
      </c>
      <c r="E40" s="16" t="str">
        <v/>
      </c>
      <c r="F40" s="15" t="str">
        <v/>
      </c>
      <c r="G40" s="20" t="str" cm="1">
        <f t="array" ref="G40">IF(TRIM(P40)="","",IF(SUM(COUNTIF(P40,{"*NLGD*","*FWG*"}))&gt;0,P40,IF(SUM(COUNTIF(P40,{"*GL*","*DGB*","*DGI*","*GT*","*CS*","*PWU*","*DBI*","*SWU*"}))=0,P40,IF(IFERROR(VALUE(SUBSTITUTE(SUBSTITUTE(O40,"W",""),"""","")),0)&gt;52,P40&amp;"-OVRSIZE-",P40))))</f>
        <v/>
      </c>
      <c r="H40" s="15" t="str">
        <v/>
      </c>
      <c r="I40" s="15" t="str">
        <v/>
      </c>
      <c r="J40" s="15" t="str">
        <v/>
      </c>
      <c r="K40" s="15" t="str">
        <v/>
      </c>
      <c r="L40" s="15" t="str">
        <v/>
      </c>
      <c r="M40" s="10" t="str">
        <v/>
      </c>
      <c r="N40" s="14"/>
      <c r="O40" s="15" t="str" cm="1">
        <f t="array" ref="O40">IFERROR(_xlfn.LET(
_xlpm.clean,TRIM(SUBSTITUTE(SUBSTITUTE(P40,CHAR(160),"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" s="15"/>
      <c r="R40" t="str">
        <v/>
      </c>
      <c r="S40" t="str">
        <f t="shared" si="1"/>
        <v/>
      </c>
    </row>
    <row r="41" spans="1:19" ht="12.75">
      <c r="A41" s="15" t="str">
        <v/>
      </c>
      <c r="B41" s="15" t="str">
        <v/>
      </c>
      <c r="C41" s="15" t="str" cm="1">
        <f t="array" ref="C41">IFERROR(_xlfn.TEXTJOIN("",TRUE,_xlfn._xlws.FILTER(MID(S41,_xlfn.SEQUENCE(LEN(S41)),1),ISNUMBER(SEARCH(MID(S41,_xlfn.SEQUENCE(LEN(S41)),1),"ABCDEFGHIJKLMNOPQRSTUVWXYZabcdefghijklmnopqrstuvwxyz0123456789,")))),"")</f>
        <v/>
      </c>
      <c r="D41" s="15" t="str">
        <v/>
      </c>
      <c r="E41" s="16" t="str">
        <v/>
      </c>
      <c r="F41" s="15" t="str">
        <v/>
      </c>
      <c r="G41" s="20" t="str" cm="1">
        <f t="array" ref="G41">IF(TRIM(P41)="","",IF(SUM(COUNTIF(P41,{"*NLGD*","*FWG*"}))&gt;0,P41,IF(SUM(COUNTIF(P41,{"*GL*","*DGB*","*DGI*","*GT*","*CS*","*PWU*","*DBI*","*SWU*"}))=0,P41,IF(IFERROR(VALUE(SUBSTITUTE(SUBSTITUTE(O41,"W",""),"""","")),0)&gt;52,P41&amp;"-OVRSIZE-",P41))))</f>
        <v/>
      </c>
      <c r="H41" s="15" t="str">
        <v/>
      </c>
      <c r="I41" s="15" t="str">
        <v/>
      </c>
      <c r="J41" s="15" t="str">
        <v/>
      </c>
      <c r="K41" s="15" t="str">
        <v/>
      </c>
      <c r="L41" s="15" t="str">
        <v/>
      </c>
      <c r="M41" s="10" t="str">
        <v/>
      </c>
      <c r="N41" s="14"/>
      <c r="O41" s="15" t="str" cm="1">
        <f t="array" ref="O41">IFERROR(_xlfn.LET(
_xlpm.clean,TRIM(SUBSTITUTE(SUBSTITUTE(P41,CHAR(160),"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" s="15"/>
      <c r="R41" t="str">
        <v/>
      </c>
      <c r="S41" t="str">
        <f t="shared" si="1"/>
        <v/>
      </c>
    </row>
    <row r="42" spans="1:19" ht="12.75">
      <c r="A42" s="15" t="str">
        <v/>
      </c>
      <c r="B42" s="15" t="str">
        <v/>
      </c>
      <c r="C42" s="15" t="str" cm="1">
        <f t="array" ref="C42">IFERROR(_xlfn.TEXTJOIN("",TRUE,_xlfn._xlws.FILTER(MID(S42,_xlfn.SEQUENCE(LEN(S42)),1),ISNUMBER(SEARCH(MID(S42,_xlfn.SEQUENCE(LEN(S42)),1),"ABCDEFGHIJKLMNOPQRSTUVWXYZabcdefghijklmnopqrstuvwxyz0123456789,")))),"")</f>
        <v/>
      </c>
      <c r="D42" s="15" t="str">
        <v/>
      </c>
      <c r="E42" s="16" t="str">
        <v/>
      </c>
      <c r="F42" s="15" t="str">
        <v/>
      </c>
      <c r="G42" s="20" t="str" cm="1">
        <f t="array" ref="G42">IF(TRIM(P42)="","",IF(SUM(COUNTIF(P42,{"*NLGD*","*FWG*"}))&gt;0,P42,IF(SUM(COUNTIF(P42,{"*GL*","*DGB*","*DGI*","*GT*","*CS*","*PWU*","*DBI*","*SWU*"}))=0,P42,IF(IFERROR(VALUE(SUBSTITUTE(SUBSTITUTE(O42,"W",""),"""","")),0)&gt;52,P42&amp;"-OVRSIZE-",P42))))</f>
        <v/>
      </c>
      <c r="H42" s="15" t="str">
        <v/>
      </c>
      <c r="I42" s="15" t="str">
        <v/>
      </c>
      <c r="J42" s="15" t="str">
        <v/>
      </c>
      <c r="K42" s="15" t="str">
        <v/>
      </c>
      <c r="L42" s="15" t="str">
        <v/>
      </c>
      <c r="M42" s="10" t="str">
        <v/>
      </c>
      <c r="N42" s="14"/>
      <c r="O42" s="15" t="str" cm="1">
        <f t="array" ref="O42">IFERROR(_xlfn.LET(
_xlpm.clean,TRIM(SUBSTITUTE(SUBSTITUTE(P42,CHAR(160),"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" s="15"/>
      <c r="R42" t="str">
        <v/>
      </c>
      <c r="S42" t="str">
        <f t="shared" si="1"/>
        <v/>
      </c>
    </row>
    <row r="43" spans="1:19" ht="12.75">
      <c r="A43" s="15" t="str">
        <v/>
      </c>
      <c r="B43" s="15" t="str">
        <v/>
      </c>
      <c r="C43" s="15" t="str" cm="1">
        <f t="array" ref="C43">IFERROR(_xlfn.TEXTJOIN("",TRUE,_xlfn._xlws.FILTER(MID(S43,_xlfn.SEQUENCE(LEN(S43)),1),ISNUMBER(SEARCH(MID(S43,_xlfn.SEQUENCE(LEN(S43)),1),"ABCDEFGHIJKLMNOPQRSTUVWXYZabcdefghijklmnopqrstuvwxyz0123456789,")))),"")</f>
        <v/>
      </c>
      <c r="D43" s="15" t="str">
        <v/>
      </c>
      <c r="E43" s="16" t="str">
        <v/>
      </c>
      <c r="F43" s="15" t="str">
        <v/>
      </c>
      <c r="G43" s="20" t="str" cm="1">
        <f t="array" ref="G43">IF(TRIM(P43)="","",IF(SUM(COUNTIF(P43,{"*NLGD*","*FWG*"}))&gt;0,P43,IF(SUM(COUNTIF(P43,{"*GL*","*DGB*","*DGI*","*GT*","*CS*","*PWU*","*DBI*","*SWU*"}))=0,P43,IF(IFERROR(VALUE(SUBSTITUTE(SUBSTITUTE(O43,"W",""),"""","")),0)&gt;52,P43&amp;"-OVRSIZE-",P43))))</f>
        <v/>
      </c>
      <c r="H43" s="15" t="str">
        <v/>
      </c>
      <c r="I43" s="15" t="str">
        <v/>
      </c>
      <c r="J43" s="15" t="str">
        <v/>
      </c>
      <c r="K43" s="15" t="str">
        <v/>
      </c>
      <c r="L43" s="15" t="str">
        <v/>
      </c>
      <c r="M43" s="10" t="str">
        <v/>
      </c>
      <c r="N43" s="14"/>
      <c r="O43" s="15" t="str" cm="1">
        <f t="array" ref="O43">IFERROR(_xlfn.LET(
_xlpm.clean,TRIM(SUBSTITUTE(SUBSTITUTE(P43,CHAR(160),"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" s="15"/>
      <c r="R43" t="str">
        <v/>
      </c>
      <c r="S43" t="str">
        <f t="shared" si="1"/>
        <v/>
      </c>
    </row>
    <row r="44" spans="1:19" ht="12.75">
      <c r="A44" s="15" t="str">
        <v/>
      </c>
      <c r="B44" s="15" t="str">
        <v/>
      </c>
      <c r="C44" s="15" t="str" cm="1">
        <f t="array" ref="C44">IFERROR(_xlfn.TEXTJOIN("",TRUE,_xlfn._xlws.FILTER(MID(S44,_xlfn.SEQUENCE(LEN(S44)),1),ISNUMBER(SEARCH(MID(S44,_xlfn.SEQUENCE(LEN(S44)),1),"ABCDEFGHIJKLMNOPQRSTUVWXYZabcdefghijklmnopqrstuvwxyz0123456789,")))),"")</f>
        <v/>
      </c>
      <c r="D44" s="15" t="str">
        <v/>
      </c>
      <c r="E44" s="16" t="str">
        <v/>
      </c>
      <c r="F44" s="15" t="str">
        <v/>
      </c>
      <c r="G44" s="20" t="str" cm="1">
        <f t="array" ref="G44">IF(TRIM(P44)="","",IF(SUM(COUNTIF(P44,{"*NLGD*","*FWG*"}))&gt;0,P44,IF(SUM(COUNTIF(P44,{"*GL*","*DGB*","*DGI*","*GT*","*CS*","*PWU*","*DBI*","*SWU*"}))=0,P44,IF(IFERROR(VALUE(SUBSTITUTE(SUBSTITUTE(O44,"W",""),"""","")),0)&gt;52,P44&amp;"-OVRSIZE-",P44))))</f>
        <v/>
      </c>
      <c r="H44" s="15" t="str">
        <v/>
      </c>
      <c r="I44" s="15" t="str">
        <v/>
      </c>
      <c r="J44" s="15" t="str">
        <v/>
      </c>
      <c r="K44" s="15" t="str">
        <v/>
      </c>
      <c r="L44" s="15" t="str">
        <v/>
      </c>
      <c r="M44" s="10" t="str">
        <v/>
      </c>
      <c r="N44" s="14"/>
      <c r="O44" s="15" t="str" cm="1">
        <f t="array" ref="O44">IFERROR(_xlfn.LET(
_xlpm.clean,TRIM(SUBSTITUTE(SUBSTITUTE(P44,CHAR(160),"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" s="15"/>
      <c r="R44" t="str">
        <v/>
      </c>
      <c r="S44" t="str">
        <f t="shared" si="1"/>
        <v/>
      </c>
    </row>
    <row r="45" spans="1:19" ht="12.75">
      <c r="A45" s="15" t="str">
        <v/>
      </c>
      <c r="B45" s="15" t="str">
        <v/>
      </c>
      <c r="C45" s="15" t="str" cm="1">
        <f t="array" ref="C45">IFERROR(_xlfn.TEXTJOIN("",TRUE,_xlfn._xlws.FILTER(MID(S45,_xlfn.SEQUENCE(LEN(S45)),1),ISNUMBER(SEARCH(MID(S45,_xlfn.SEQUENCE(LEN(S45)),1),"ABCDEFGHIJKLMNOPQRSTUVWXYZabcdefghijklmnopqrstuvwxyz0123456789,")))),"")</f>
        <v/>
      </c>
      <c r="D45" s="15" t="str">
        <v/>
      </c>
      <c r="E45" s="16" t="str">
        <v/>
      </c>
      <c r="F45" s="15" t="str">
        <v/>
      </c>
      <c r="G45" s="20" t="str" cm="1">
        <f t="array" ref="G45">IF(TRIM(P45)="","",IF(SUM(COUNTIF(P45,{"*NLGD*","*FWG*"}))&gt;0,P45,IF(SUM(COUNTIF(P45,{"*GL*","*DGB*","*DGI*","*GT*","*CS*","*PWU*","*DBI*","*SWU*"}))=0,P45,IF(IFERROR(VALUE(SUBSTITUTE(SUBSTITUTE(O45,"W",""),"""","")),0)&gt;52,P45&amp;"-OVRSIZE-",P45))))</f>
        <v/>
      </c>
      <c r="H45" s="15" t="str">
        <v/>
      </c>
      <c r="I45" s="15" t="str">
        <v/>
      </c>
      <c r="J45" s="15" t="str">
        <v/>
      </c>
      <c r="K45" s="15" t="str">
        <v/>
      </c>
      <c r="L45" s="15" t="str">
        <v/>
      </c>
      <c r="M45" s="10" t="str">
        <v/>
      </c>
      <c r="N45" s="14"/>
      <c r="O45" s="15" t="str" cm="1">
        <f t="array" ref="O45">IFERROR(_xlfn.LET(
_xlpm.clean,TRIM(SUBSTITUTE(SUBSTITUTE(P45,CHAR(160),"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" s="15"/>
      <c r="R45" t="str">
        <v/>
      </c>
      <c r="S45" t="str">
        <f t="shared" si="1"/>
        <v/>
      </c>
    </row>
    <row r="46" spans="1:19" ht="12.75">
      <c r="A46" s="15" t="str">
        <v/>
      </c>
      <c r="B46" s="15" t="str">
        <v/>
      </c>
      <c r="C46" s="15" t="str" cm="1">
        <f t="array" ref="C46">IFERROR(_xlfn.TEXTJOIN("",TRUE,_xlfn._xlws.FILTER(MID(S46,_xlfn.SEQUENCE(LEN(S46)),1),ISNUMBER(SEARCH(MID(S46,_xlfn.SEQUENCE(LEN(S46)),1),"ABCDEFGHIJKLMNOPQRSTUVWXYZabcdefghijklmnopqrstuvwxyz0123456789,")))),"")</f>
        <v/>
      </c>
      <c r="D46" s="15" t="str">
        <v/>
      </c>
      <c r="E46" s="16" t="str">
        <v/>
      </c>
      <c r="F46" s="15" t="str">
        <v/>
      </c>
      <c r="G46" s="20" t="str" cm="1">
        <f t="array" ref="G46">IF(TRIM(P46)="","",IF(SUM(COUNTIF(P46,{"*NLGD*","*FWG*"}))&gt;0,P46,IF(SUM(COUNTIF(P46,{"*GL*","*DGB*","*DGI*","*GT*","*CS*","*PWU*","*DBI*","*SWU*"}))=0,P46,IF(IFERROR(VALUE(SUBSTITUTE(SUBSTITUTE(O46,"W",""),"""","")),0)&gt;52,P46&amp;"-OVRSIZE-",P46))))</f>
        <v/>
      </c>
      <c r="H46" s="15" t="str">
        <v/>
      </c>
      <c r="I46" s="15" t="str">
        <v/>
      </c>
      <c r="J46" s="15" t="str">
        <v/>
      </c>
      <c r="K46" s="15" t="str">
        <v/>
      </c>
      <c r="L46" s="15" t="str">
        <v/>
      </c>
      <c r="M46" s="10" t="str">
        <v/>
      </c>
      <c r="N46" s="14"/>
      <c r="O46" s="15" t="str" cm="1">
        <f t="array" ref="O46">IFERROR(_xlfn.LET(
_xlpm.clean,TRIM(SUBSTITUTE(SUBSTITUTE(P46,CHAR(160),"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" s="15"/>
      <c r="R46" t="str">
        <v/>
      </c>
      <c r="S46" t="str">
        <f t="shared" si="1"/>
        <v/>
      </c>
    </row>
    <row r="47" spans="1:19" ht="12.75">
      <c r="A47" s="15" t="str">
        <v/>
      </c>
      <c r="B47" s="15" t="str">
        <v/>
      </c>
      <c r="C47" s="15" t="str" cm="1">
        <f t="array" ref="C47">IFERROR(_xlfn.TEXTJOIN("",TRUE,_xlfn._xlws.FILTER(MID(S47,_xlfn.SEQUENCE(LEN(S47)),1),ISNUMBER(SEARCH(MID(S47,_xlfn.SEQUENCE(LEN(S47)),1),"ABCDEFGHIJKLMNOPQRSTUVWXYZabcdefghijklmnopqrstuvwxyz0123456789,")))),"")</f>
        <v/>
      </c>
      <c r="D47" s="15" t="str">
        <v/>
      </c>
      <c r="E47" s="16" t="str">
        <v/>
      </c>
      <c r="F47" s="15" t="str">
        <v/>
      </c>
      <c r="G47" s="20" t="str" cm="1">
        <f t="array" ref="G47">IF(TRIM(P47)="","",IF(SUM(COUNTIF(P47,{"*NLGD*","*FWG*"}))&gt;0,P47,IF(SUM(COUNTIF(P47,{"*GL*","*DGB*","*DGI*","*GT*","*CS*","*PWU*","*DBI*","*SWU*"}))=0,P47,IF(IFERROR(VALUE(SUBSTITUTE(SUBSTITUTE(O47,"W",""),"""","")),0)&gt;52,P47&amp;"-OVRSIZE-",P47))))</f>
        <v/>
      </c>
      <c r="H47" s="15" t="str">
        <v/>
      </c>
      <c r="I47" s="15" t="str">
        <v/>
      </c>
      <c r="J47" s="15" t="str">
        <v/>
      </c>
      <c r="K47" s="15" t="str">
        <v/>
      </c>
      <c r="L47" s="15" t="str">
        <v/>
      </c>
      <c r="M47" s="10" t="str">
        <v/>
      </c>
      <c r="N47" s="14"/>
      <c r="O47" s="15" t="str" cm="1">
        <f t="array" ref="O47">IFERROR(_xlfn.LET(
_xlpm.clean,TRIM(SUBSTITUTE(SUBSTITUTE(P47,CHAR(160),"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" s="15"/>
      <c r="R47" t="str">
        <v/>
      </c>
      <c r="S47" t="str">
        <f t="shared" si="1"/>
        <v/>
      </c>
    </row>
    <row r="48" spans="1:19" ht="12.75">
      <c r="A48" s="15" t="str">
        <v/>
      </c>
      <c r="B48" s="15" t="str">
        <v/>
      </c>
      <c r="C48" s="15" t="str" cm="1">
        <f t="array" ref="C48">IFERROR(_xlfn.TEXTJOIN("",TRUE,_xlfn._xlws.FILTER(MID(S48,_xlfn.SEQUENCE(LEN(S48)),1),ISNUMBER(SEARCH(MID(S48,_xlfn.SEQUENCE(LEN(S48)),1),"ABCDEFGHIJKLMNOPQRSTUVWXYZabcdefghijklmnopqrstuvwxyz0123456789,")))),"")</f>
        <v/>
      </c>
      <c r="D48" s="15" t="str">
        <v/>
      </c>
      <c r="E48" s="16" t="str">
        <v/>
      </c>
      <c r="F48" s="15" t="str">
        <v/>
      </c>
      <c r="G48" s="20" t="str" cm="1">
        <f t="array" ref="G48">IF(TRIM(P48)="","",IF(SUM(COUNTIF(P48,{"*NLGD*","*FWG*"}))&gt;0,P48,IF(SUM(COUNTIF(P48,{"*GL*","*DGB*","*DGI*","*GT*","*CS*","*PWU*","*DBI*","*SWU*"}))=0,P48,IF(IFERROR(VALUE(SUBSTITUTE(SUBSTITUTE(O48,"W",""),"""","")),0)&gt;52,P48&amp;"-OVRSIZE-",P48))))</f>
        <v/>
      </c>
      <c r="H48" s="15" t="str">
        <v/>
      </c>
      <c r="I48" s="15" t="str">
        <v/>
      </c>
      <c r="J48" s="15" t="str">
        <v/>
      </c>
      <c r="K48" s="15" t="str">
        <v/>
      </c>
      <c r="L48" s="15" t="str">
        <v/>
      </c>
      <c r="M48" s="10" t="str">
        <v/>
      </c>
      <c r="N48" s="14"/>
      <c r="O48" s="15" t="str" cm="1">
        <f t="array" ref="O48">IFERROR(_xlfn.LET(
_xlpm.clean,TRIM(SUBSTITUTE(SUBSTITUTE(P48,CHAR(160),"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" s="15"/>
      <c r="R48" t="str">
        <v/>
      </c>
      <c r="S48" t="str">
        <f t="shared" si="1"/>
        <v/>
      </c>
    </row>
    <row r="49" spans="1:19" ht="12.75">
      <c r="A49" s="15" t="str">
        <v/>
      </c>
      <c r="B49" s="15" t="str">
        <v/>
      </c>
      <c r="C49" s="15" t="str" cm="1">
        <f t="array" ref="C49">IFERROR(_xlfn.TEXTJOIN("",TRUE,_xlfn._xlws.FILTER(MID(S49,_xlfn.SEQUENCE(LEN(S49)),1),ISNUMBER(SEARCH(MID(S49,_xlfn.SEQUENCE(LEN(S49)),1),"ABCDEFGHIJKLMNOPQRSTUVWXYZabcdefghijklmnopqrstuvwxyz0123456789,")))),"")</f>
        <v/>
      </c>
      <c r="D49" s="15" t="str">
        <v/>
      </c>
      <c r="E49" s="16" t="str">
        <v/>
      </c>
      <c r="F49" s="15" t="str">
        <v/>
      </c>
      <c r="G49" s="20" t="str" cm="1">
        <f t="array" ref="G49">IF(TRIM(P49)="","",IF(SUM(COUNTIF(P49,{"*NLGD*","*FWG*"}))&gt;0,P49,IF(SUM(COUNTIF(P49,{"*GL*","*DGB*","*DGI*","*GT*","*CS*","*PWU*","*DBI*","*SWU*"}))=0,P49,IF(IFERROR(VALUE(SUBSTITUTE(SUBSTITUTE(O49,"W",""),"""","")),0)&gt;52,P49&amp;"-OVRSIZE-",P49))))</f>
        <v/>
      </c>
      <c r="H49" s="15" t="str">
        <v/>
      </c>
      <c r="I49" s="15" t="str">
        <v/>
      </c>
      <c r="J49" s="15" t="str">
        <v/>
      </c>
      <c r="K49" s="15" t="str">
        <v/>
      </c>
      <c r="L49" s="15" t="str">
        <v/>
      </c>
      <c r="M49" s="10" t="str">
        <v/>
      </c>
      <c r="N49" s="14"/>
      <c r="O49" s="15" t="str" cm="1">
        <f t="array" ref="O49">IFERROR(_xlfn.LET(
_xlpm.clean,TRIM(SUBSTITUTE(SUBSTITUTE(P49,CHAR(160),"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" s="15"/>
      <c r="R49" t="str">
        <v/>
      </c>
      <c r="S49" t="str">
        <f t="shared" si="1"/>
        <v/>
      </c>
    </row>
    <row r="50" spans="1:19" ht="12.75">
      <c r="A50" s="15" t="str">
        <v/>
      </c>
      <c r="B50" s="15" t="str">
        <v/>
      </c>
      <c r="C50" s="15" t="str" cm="1">
        <f t="array" ref="C50">IFERROR(_xlfn.TEXTJOIN("",TRUE,_xlfn._xlws.FILTER(MID(S50,_xlfn.SEQUENCE(LEN(S50)),1),ISNUMBER(SEARCH(MID(S50,_xlfn.SEQUENCE(LEN(S50)),1),"ABCDEFGHIJKLMNOPQRSTUVWXYZabcdefghijklmnopqrstuvwxyz0123456789,")))),"")</f>
        <v/>
      </c>
      <c r="D50" s="15" t="str">
        <v/>
      </c>
      <c r="E50" s="16" t="str">
        <v/>
      </c>
      <c r="F50" s="15" t="str">
        <v/>
      </c>
      <c r="G50" s="20" t="str" cm="1">
        <f t="array" ref="G50">IF(TRIM(P50)="","",IF(SUM(COUNTIF(P50,{"*NLGD*","*FWG*"}))&gt;0,P50,IF(SUM(COUNTIF(P50,{"*GL*","*DGB*","*DGI*","*GT*","*CS*","*PWU*","*DBI*","*SWU*"}))=0,P50,IF(IFERROR(VALUE(SUBSTITUTE(SUBSTITUTE(O50,"W",""),"""","")),0)&gt;52,P50&amp;"-OVRSIZE-",P50))))</f>
        <v/>
      </c>
      <c r="H50" s="15" t="str">
        <v/>
      </c>
      <c r="I50" s="15" t="str">
        <v/>
      </c>
      <c r="J50" s="15" t="str">
        <v/>
      </c>
      <c r="K50" s="15" t="str">
        <v/>
      </c>
      <c r="L50" s="15" t="str">
        <v/>
      </c>
      <c r="M50" s="10" t="str">
        <v/>
      </c>
      <c r="N50" s="14"/>
      <c r="O50" s="15" t="str" cm="1">
        <f t="array" ref="O50">IFERROR(_xlfn.LET(
_xlpm.clean,TRIM(SUBSTITUTE(SUBSTITUTE(P50,CHAR(160),"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" s="15"/>
      <c r="R50" t="str">
        <v/>
      </c>
      <c r="S50" t="str">
        <f t="shared" si="1"/>
        <v/>
      </c>
    </row>
    <row r="51" spans="1:19" ht="12.75">
      <c r="A51" s="15" t="str">
        <v/>
      </c>
      <c r="B51" s="15" t="str">
        <v/>
      </c>
      <c r="C51" s="15" t="str" cm="1">
        <f t="array" ref="C51">IFERROR(_xlfn.TEXTJOIN("",TRUE,_xlfn._xlws.FILTER(MID(S51,_xlfn.SEQUENCE(LEN(S51)),1),ISNUMBER(SEARCH(MID(S51,_xlfn.SEQUENCE(LEN(S51)),1),"ABCDEFGHIJKLMNOPQRSTUVWXYZabcdefghijklmnopqrstuvwxyz0123456789,")))),"")</f>
        <v/>
      </c>
      <c r="D51" s="15" t="str">
        <v/>
      </c>
      <c r="E51" s="16" t="str">
        <v/>
      </c>
      <c r="F51" s="15" t="str">
        <v/>
      </c>
      <c r="G51" s="20" t="str" cm="1">
        <f t="array" ref="G51">IF(TRIM(P51)="","",IF(SUM(COUNTIF(P51,{"*NLGD*","*FWG*"}))&gt;0,P51,IF(SUM(COUNTIF(P51,{"*GL*","*DGB*","*DGI*","*GT*","*CS*","*PWU*","*DBI*","*SWU*"}))=0,P51,IF(IFERROR(VALUE(SUBSTITUTE(SUBSTITUTE(O51,"W",""),"""","")),0)&gt;52,P51&amp;"-OVRSIZE-",P51))))</f>
        <v/>
      </c>
      <c r="H51" s="15" t="str">
        <v/>
      </c>
      <c r="I51" s="15" t="str">
        <v/>
      </c>
      <c r="J51" s="15" t="str">
        <v/>
      </c>
      <c r="K51" s="15" t="str">
        <v/>
      </c>
      <c r="L51" s="15" t="str">
        <v/>
      </c>
      <c r="M51" s="10" t="str">
        <v/>
      </c>
      <c r="N51" s="14"/>
      <c r="O51" s="15" t="str" cm="1">
        <f t="array" ref="O51">IFERROR(_xlfn.LET(
_xlpm.clean,TRIM(SUBSTITUTE(SUBSTITUTE(P51,CHAR(160),"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" s="15"/>
      <c r="R51" t="str">
        <v/>
      </c>
      <c r="S51" t="str">
        <f t="shared" si="1"/>
        <v/>
      </c>
    </row>
    <row r="52" spans="1:19" ht="12.75">
      <c r="A52" s="15" t="str">
        <v/>
      </c>
      <c r="B52" s="15" t="str">
        <v/>
      </c>
      <c r="C52" s="15" t="str" cm="1">
        <f t="array" ref="C52">IFERROR(_xlfn.TEXTJOIN("",TRUE,_xlfn._xlws.FILTER(MID(S52,_xlfn.SEQUENCE(LEN(S52)),1),ISNUMBER(SEARCH(MID(S52,_xlfn.SEQUENCE(LEN(S52)),1),"ABCDEFGHIJKLMNOPQRSTUVWXYZabcdefghijklmnopqrstuvwxyz0123456789,")))),"")</f>
        <v/>
      </c>
      <c r="D52" s="15" t="str">
        <v/>
      </c>
      <c r="E52" s="16" t="str">
        <v/>
      </c>
      <c r="F52" s="15" t="str">
        <v/>
      </c>
      <c r="G52" s="20" t="str" cm="1">
        <f t="array" ref="G52">IF(TRIM(P52)="","",IF(SUM(COUNTIF(P52,{"*NLGD*","*FWG*"}))&gt;0,P52,IF(SUM(COUNTIF(P52,{"*GL*","*DGB*","*DGI*","*GT*","*CS*","*PWU*","*DBI*","*SWU*"}))=0,P52,IF(IFERROR(VALUE(SUBSTITUTE(SUBSTITUTE(O52,"W",""),"""","")),0)&gt;52,P52&amp;"-OVRSIZE-",P52))))</f>
        <v/>
      </c>
      <c r="H52" s="15" t="str">
        <v/>
      </c>
      <c r="I52" s="15" t="str">
        <v/>
      </c>
      <c r="J52" s="15" t="str">
        <v/>
      </c>
      <c r="K52" s="15" t="str">
        <v/>
      </c>
      <c r="L52" s="15" t="str">
        <v/>
      </c>
      <c r="M52" s="10" t="str">
        <v/>
      </c>
      <c r="N52" s="14"/>
      <c r="O52" s="15" t="str" cm="1">
        <f t="array" ref="O52">IFERROR(_xlfn.LET(
_xlpm.clean,TRIM(SUBSTITUTE(SUBSTITUTE(P52,CHAR(160),"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" s="15"/>
      <c r="R52" t="str">
        <v/>
      </c>
      <c r="S52" t="str">
        <f t="shared" si="1"/>
        <v/>
      </c>
    </row>
    <row r="53" spans="1:19" ht="12.75">
      <c r="A53" s="15" t="str">
        <v/>
      </c>
      <c r="B53" s="15" t="str">
        <v/>
      </c>
      <c r="C53" s="15" t="str" cm="1">
        <f t="array" ref="C53">IFERROR(_xlfn.TEXTJOIN("",TRUE,_xlfn._xlws.FILTER(MID(S53,_xlfn.SEQUENCE(LEN(S53)),1),ISNUMBER(SEARCH(MID(S53,_xlfn.SEQUENCE(LEN(S53)),1),"ABCDEFGHIJKLMNOPQRSTUVWXYZabcdefghijklmnopqrstuvwxyz0123456789,")))),"")</f>
        <v/>
      </c>
      <c r="D53" s="15" t="str">
        <v/>
      </c>
      <c r="E53" s="16" t="str">
        <v/>
      </c>
      <c r="F53" s="15" t="str">
        <v/>
      </c>
      <c r="G53" s="20" t="str" cm="1">
        <f t="array" ref="G53">IF(TRIM(P53)="","",IF(SUM(COUNTIF(P53,{"*NLGD*","*FWG*"}))&gt;0,P53,IF(SUM(COUNTIF(P53,{"*GL*","*DGB*","*DGI*","*GT*","*CS*","*PWU*","*DBI*","*SWU*"}))=0,P53,IF(IFERROR(VALUE(SUBSTITUTE(SUBSTITUTE(O53,"W",""),"""","")),0)&gt;52,P53&amp;"-OVRSIZE-",P53))))</f>
        <v/>
      </c>
      <c r="H53" s="15" t="str">
        <v/>
      </c>
      <c r="I53" s="15" t="str">
        <v/>
      </c>
      <c r="J53" s="15" t="str">
        <v/>
      </c>
      <c r="K53" s="15" t="str">
        <v/>
      </c>
      <c r="L53" s="15" t="str">
        <v/>
      </c>
      <c r="M53" s="10" t="str">
        <v/>
      </c>
      <c r="N53" s="14"/>
      <c r="O53" s="15" t="str" cm="1">
        <f t="array" ref="O53">IFERROR(_xlfn.LET(
_xlpm.clean,TRIM(SUBSTITUTE(SUBSTITUTE(P53,CHAR(160),"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" s="15"/>
      <c r="R53" t="str">
        <v/>
      </c>
      <c r="S53" t="str">
        <f t="shared" si="1"/>
        <v/>
      </c>
    </row>
    <row r="54" spans="1:19" ht="12.75">
      <c r="A54" s="15" t="str">
        <v/>
      </c>
      <c r="B54" s="15" t="str">
        <v/>
      </c>
      <c r="C54" s="15" t="str" cm="1">
        <f t="array" ref="C54">IFERROR(_xlfn.TEXTJOIN("",TRUE,_xlfn._xlws.FILTER(MID(S54,_xlfn.SEQUENCE(LEN(S54)),1),ISNUMBER(SEARCH(MID(S54,_xlfn.SEQUENCE(LEN(S54)),1),"ABCDEFGHIJKLMNOPQRSTUVWXYZabcdefghijklmnopqrstuvwxyz0123456789,")))),"")</f>
        <v/>
      </c>
      <c r="D54" s="15" t="str">
        <v/>
      </c>
      <c r="E54" s="16" t="str">
        <v/>
      </c>
      <c r="F54" s="15" t="str">
        <v/>
      </c>
      <c r="G54" s="20" t="str" cm="1">
        <f t="array" ref="G54">IF(TRIM(P54)="","",IF(SUM(COUNTIF(P54,{"*NLGD*","*FWG*"}))&gt;0,P54,IF(SUM(COUNTIF(P54,{"*GL*","*DGB*","*DGI*","*GT*","*CS*","*PWU*","*DBI*","*SWU*"}))=0,P54,IF(IFERROR(VALUE(SUBSTITUTE(SUBSTITUTE(O54,"W",""),"""","")),0)&gt;52,P54&amp;"-OVRSIZE-",P54))))</f>
        <v/>
      </c>
      <c r="H54" s="15" t="str">
        <v/>
      </c>
      <c r="I54" s="15" t="str">
        <v/>
      </c>
      <c r="J54" s="15" t="str">
        <v/>
      </c>
      <c r="K54" s="15" t="str">
        <v/>
      </c>
      <c r="L54" s="15" t="str">
        <v/>
      </c>
      <c r="M54" s="10" t="str">
        <v/>
      </c>
      <c r="N54" s="14"/>
      <c r="O54" s="15" t="str" cm="1">
        <f t="array" ref="O54">IFERROR(_xlfn.LET(
_xlpm.clean,TRIM(SUBSTITUTE(SUBSTITUTE(P54,CHAR(160),"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" s="15"/>
      <c r="R54" t="str">
        <v/>
      </c>
      <c r="S54" t="str">
        <f t="shared" si="1"/>
        <v/>
      </c>
    </row>
    <row r="55" spans="1:19" ht="12.75">
      <c r="A55" s="15" t="str">
        <v/>
      </c>
      <c r="B55" s="15" t="str">
        <v/>
      </c>
      <c r="C55" s="15" t="str" cm="1">
        <f t="array" ref="C55">IFERROR(_xlfn.TEXTJOIN("",TRUE,_xlfn._xlws.FILTER(MID(S55,_xlfn.SEQUENCE(LEN(S55)),1),ISNUMBER(SEARCH(MID(S55,_xlfn.SEQUENCE(LEN(S55)),1),"ABCDEFGHIJKLMNOPQRSTUVWXYZabcdefghijklmnopqrstuvwxyz0123456789,")))),"")</f>
        <v/>
      </c>
      <c r="D55" s="15" t="str">
        <v/>
      </c>
      <c r="E55" s="16" t="str">
        <v/>
      </c>
      <c r="F55" s="15" t="str">
        <v/>
      </c>
      <c r="G55" s="20" t="str" cm="1">
        <f t="array" ref="G55">IF(TRIM(P55)="","",IF(SUM(COUNTIF(P55,{"*NLGD*","*FWG*"}))&gt;0,P55,IF(SUM(COUNTIF(P55,{"*GL*","*DGB*","*DGI*","*GT*","*CS*","*PWU*","*DBI*","*SWU*"}))=0,P55,IF(IFERROR(VALUE(SUBSTITUTE(SUBSTITUTE(O55,"W",""),"""","")),0)&gt;52,P55&amp;"-OVRSIZE-",P55))))</f>
        <v/>
      </c>
      <c r="H55" s="15" t="str">
        <v/>
      </c>
      <c r="I55" s="15" t="str">
        <v/>
      </c>
      <c r="J55" s="15" t="str">
        <v/>
      </c>
      <c r="K55" s="15" t="str">
        <v/>
      </c>
      <c r="L55" s="15" t="str">
        <v/>
      </c>
      <c r="M55" s="10" t="str">
        <v/>
      </c>
      <c r="N55" s="14"/>
      <c r="O55" s="15" t="str" cm="1">
        <f t="array" ref="O55">IFERROR(_xlfn.LET(
_xlpm.clean,TRIM(SUBSTITUTE(SUBSTITUTE(P55,CHAR(160),"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" s="15"/>
      <c r="R55" t="str">
        <v/>
      </c>
      <c r="S55" t="str">
        <f t="shared" si="1"/>
        <v/>
      </c>
    </row>
    <row r="56" spans="1:19" ht="12.75">
      <c r="A56" s="15" t="str">
        <v/>
      </c>
      <c r="B56" s="15" t="str">
        <v/>
      </c>
      <c r="C56" s="15" t="str" cm="1">
        <f t="array" ref="C56">IFERROR(_xlfn.TEXTJOIN("",TRUE,_xlfn._xlws.FILTER(MID(S56,_xlfn.SEQUENCE(LEN(S56)),1),ISNUMBER(SEARCH(MID(S56,_xlfn.SEQUENCE(LEN(S56)),1),"ABCDEFGHIJKLMNOPQRSTUVWXYZabcdefghijklmnopqrstuvwxyz0123456789,")))),"")</f>
        <v/>
      </c>
      <c r="D56" s="15" t="str">
        <v/>
      </c>
      <c r="E56" s="16" t="str">
        <v/>
      </c>
      <c r="F56" s="15" t="str">
        <v/>
      </c>
      <c r="G56" s="20" t="str" cm="1">
        <f t="array" ref="G56">IF(TRIM(P56)="","",IF(SUM(COUNTIF(P56,{"*NLGD*","*FWG*"}))&gt;0,P56,IF(SUM(COUNTIF(P56,{"*GL*","*DGB*","*DGI*","*GT*","*CS*","*PWU*","*DBI*","*SWU*"}))=0,P56,IF(IFERROR(VALUE(SUBSTITUTE(SUBSTITUTE(O56,"W",""),"""","")),0)&gt;52,P56&amp;"-OVRSIZE-",P56))))</f>
        <v/>
      </c>
      <c r="H56" s="15" t="str">
        <v/>
      </c>
      <c r="I56" s="15" t="str">
        <v/>
      </c>
      <c r="J56" s="15" t="str">
        <v/>
      </c>
      <c r="K56" s="15" t="str">
        <v/>
      </c>
      <c r="L56" s="15" t="str">
        <v/>
      </c>
      <c r="M56" s="10" t="str">
        <v/>
      </c>
      <c r="N56" s="14"/>
      <c r="O56" s="15" t="str" cm="1">
        <f t="array" ref="O56">IFERROR(_xlfn.LET(
_xlpm.clean,TRIM(SUBSTITUTE(SUBSTITUTE(P56,CHAR(160),"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" s="15"/>
      <c r="R56" t="str">
        <v/>
      </c>
      <c r="S56" t="str">
        <f t="shared" si="1"/>
        <v/>
      </c>
    </row>
    <row r="57" spans="1:19" ht="12.75">
      <c r="A57" s="15" t="str">
        <v/>
      </c>
      <c r="B57" s="15" t="str">
        <v/>
      </c>
      <c r="C57" s="15" t="str" cm="1">
        <f t="array" ref="C57">IFERROR(_xlfn.TEXTJOIN("",TRUE,_xlfn._xlws.FILTER(MID(S57,_xlfn.SEQUENCE(LEN(S57)),1),ISNUMBER(SEARCH(MID(S57,_xlfn.SEQUENCE(LEN(S57)),1),"ABCDEFGHIJKLMNOPQRSTUVWXYZabcdefghijklmnopqrstuvwxyz0123456789,")))),"")</f>
        <v/>
      </c>
      <c r="D57" s="15" t="str">
        <v/>
      </c>
      <c r="E57" s="16" t="str">
        <v/>
      </c>
      <c r="F57" s="15" t="str">
        <v/>
      </c>
      <c r="G57" s="20" t="str" cm="1">
        <f t="array" ref="G57">IF(TRIM(P57)="","",IF(SUM(COUNTIF(P57,{"*NLGD*","*FWG*"}))&gt;0,P57,IF(SUM(COUNTIF(P57,{"*GL*","*DGB*","*DGI*","*GT*","*CS*","*PWU*","*DBI*","*SWU*"}))=0,P57,IF(IFERROR(VALUE(SUBSTITUTE(SUBSTITUTE(O57,"W",""),"""","")),0)&gt;52,P57&amp;"-OVRSIZE-",P57))))</f>
        <v/>
      </c>
      <c r="H57" s="15" t="str">
        <v/>
      </c>
      <c r="I57" s="15" t="str">
        <v/>
      </c>
      <c r="J57" s="15" t="str">
        <v/>
      </c>
      <c r="K57" s="15" t="str">
        <v/>
      </c>
      <c r="L57" s="15" t="str">
        <v/>
      </c>
      <c r="M57" s="10" t="str">
        <v/>
      </c>
      <c r="N57" s="14"/>
      <c r="O57" s="15" t="str" cm="1">
        <f t="array" ref="O57">IFERROR(_xlfn.LET(
_xlpm.clean,TRIM(SUBSTITUTE(SUBSTITUTE(P57,CHAR(160),"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" s="15"/>
      <c r="R57" t="str">
        <v/>
      </c>
      <c r="S57" t="str">
        <f t="shared" si="1"/>
        <v/>
      </c>
    </row>
    <row r="58" spans="1:19" ht="12.75">
      <c r="A58" s="15" t="str">
        <v/>
      </c>
      <c r="B58" s="15" t="str">
        <v/>
      </c>
      <c r="C58" s="15" t="str" cm="1">
        <f t="array" ref="C58">IFERROR(_xlfn.TEXTJOIN("",TRUE,_xlfn._xlws.FILTER(MID(S58,_xlfn.SEQUENCE(LEN(S58)),1),ISNUMBER(SEARCH(MID(S58,_xlfn.SEQUENCE(LEN(S58)),1),"ABCDEFGHIJKLMNOPQRSTUVWXYZabcdefghijklmnopqrstuvwxyz0123456789,")))),"")</f>
        <v/>
      </c>
      <c r="D58" s="15" t="str">
        <v/>
      </c>
      <c r="E58" s="16" t="str">
        <v/>
      </c>
      <c r="F58" s="15" t="str">
        <v/>
      </c>
      <c r="G58" s="20" t="str" cm="1">
        <f t="array" ref="G58">IF(TRIM(P58)="","",IF(SUM(COUNTIF(P58,{"*NLGD*","*FWG*"}))&gt;0,P58,IF(SUM(COUNTIF(P58,{"*GL*","*DGB*","*DGI*","*GT*","*CS*","*PWU*","*DBI*","*SWU*"}))=0,P58,IF(IFERROR(VALUE(SUBSTITUTE(SUBSTITUTE(O58,"W",""),"""","")),0)&gt;52,P58&amp;"-OVRSIZE-",P58))))</f>
        <v/>
      </c>
      <c r="H58" s="15" t="str">
        <v/>
      </c>
      <c r="I58" s="15" t="str">
        <v/>
      </c>
      <c r="J58" s="15" t="str">
        <v/>
      </c>
      <c r="K58" s="15" t="str">
        <v/>
      </c>
      <c r="L58" s="15" t="str">
        <v/>
      </c>
      <c r="M58" s="10" t="str">
        <v/>
      </c>
      <c r="N58" s="14"/>
      <c r="O58" s="15" t="str" cm="1">
        <f t="array" ref="O58">IFERROR(_xlfn.LET(
_xlpm.clean,TRIM(SUBSTITUTE(SUBSTITUTE(P58,CHAR(160),"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" s="15"/>
      <c r="R58" t="str">
        <v/>
      </c>
      <c r="S58" t="str">
        <f t="shared" si="1"/>
        <v/>
      </c>
    </row>
    <row r="59" spans="1:19" ht="12.75">
      <c r="A59" s="15" t="str">
        <v/>
      </c>
      <c r="B59" s="15" t="str">
        <v/>
      </c>
      <c r="C59" s="15" t="str" cm="1">
        <f t="array" ref="C59">IFERROR(_xlfn.TEXTJOIN("",TRUE,_xlfn._xlws.FILTER(MID(S59,_xlfn.SEQUENCE(LEN(S59)),1),ISNUMBER(SEARCH(MID(S59,_xlfn.SEQUENCE(LEN(S59)),1),"ABCDEFGHIJKLMNOPQRSTUVWXYZabcdefghijklmnopqrstuvwxyz0123456789,")))),"")</f>
        <v/>
      </c>
      <c r="D59" s="15" t="str">
        <v/>
      </c>
      <c r="E59" s="16" t="str">
        <v/>
      </c>
      <c r="F59" s="15" t="str">
        <v/>
      </c>
      <c r="G59" s="20" t="str" cm="1">
        <f t="array" ref="G59">IF(TRIM(P59)="","",IF(SUM(COUNTIF(P59,{"*NLGD*","*FWG*"}))&gt;0,P59,IF(SUM(COUNTIF(P59,{"*GL*","*DGB*","*DGI*","*GT*","*CS*","*PWU*","*DBI*","*SWU*"}))=0,P59,IF(IFERROR(VALUE(SUBSTITUTE(SUBSTITUTE(O59,"W",""),"""","")),0)&gt;52,P59&amp;"-OVRSIZE-",P59))))</f>
        <v/>
      </c>
      <c r="H59" s="15" t="str">
        <v/>
      </c>
      <c r="I59" s="15" t="str">
        <v/>
      </c>
      <c r="J59" s="15" t="str">
        <v/>
      </c>
      <c r="K59" s="15" t="str">
        <v/>
      </c>
      <c r="L59" s="15" t="str">
        <v/>
      </c>
      <c r="M59" s="10" t="str">
        <v/>
      </c>
      <c r="N59" s="14"/>
      <c r="O59" s="15" t="str" cm="1">
        <f t="array" ref="O59">IFERROR(_xlfn.LET(
_xlpm.clean,TRIM(SUBSTITUTE(SUBSTITUTE(P59,CHAR(160),"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" s="15"/>
      <c r="R59" t="str">
        <v/>
      </c>
      <c r="S59" t="str">
        <f t="shared" si="1"/>
        <v/>
      </c>
    </row>
    <row r="60" spans="1:19" ht="12.75">
      <c r="A60" s="15" t="str">
        <v/>
      </c>
      <c r="B60" s="15" t="str">
        <v/>
      </c>
      <c r="C60" s="15" t="str" cm="1">
        <f t="array" ref="C60">IFERROR(_xlfn.TEXTJOIN("",TRUE,_xlfn._xlws.FILTER(MID(S60,_xlfn.SEQUENCE(LEN(S60)),1),ISNUMBER(SEARCH(MID(S60,_xlfn.SEQUENCE(LEN(S60)),1),"ABCDEFGHIJKLMNOPQRSTUVWXYZabcdefghijklmnopqrstuvwxyz0123456789,")))),"")</f>
        <v/>
      </c>
      <c r="D60" s="15" t="str">
        <v/>
      </c>
      <c r="E60" s="16" t="str">
        <v/>
      </c>
      <c r="F60" s="15" t="str">
        <v/>
      </c>
      <c r="G60" s="20" t="str" cm="1">
        <f t="array" ref="G60">IF(TRIM(P60)="","",IF(SUM(COUNTIF(P60,{"*NLGD*","*FWG*"}))&gt;0,P60,IF(SUM(COUNTIF(P60,{"*GL*","*DGB*","*DGI*","*GT*","*CS*","*PWU*","*DBI*","*SWU*"}))=0,P60,IF(IFERROR(VALUE(SUBSTITUTE(SUBSTITUTE(O60,"W",""),"""","")),0)&gt;52,P60&amp;"-OVRSIZE-",P60))))</f>
        <v/>
      </c>
      <c r="H60" s="15" t="str">
        <v/>
      </c>
      <c r="I60" s="15" t="str">
        <v/>
      </c>
      <c r="J60" s="15" t="str">
        <v/>
      </c>
      <c r="K60" s="15" t="str">
        <v/>
      </c>
      <c r="L60" s="15" t="str">
        <v/>
      </c>
      <c r="M60" s="10" t="str">
        <v/>
      </c>
      <c r="N60" s="14"/>
      <c r="O60" s="15" t="str" cm="1">
        <f t="array" ref="O60">IFERROR(_xlfn.LET(
_xlpm.clean,TRIM(SUBSTITUTE(SUBSTITUTE(P60,CHAR(160),"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" s="15"/>
      <c r="R60" t="str">
        <v/>
      </c>
      <c r="S60" t="str">
        <f t="shared" si="1"/>
        <v/>
      </c>
    </row>
    <row r="61" spans="1:19" ht="12.75">
      <c r="A61" s="15" t="str">
        <v/>
      </c>
      <c r="B61" s="15" t="str">
        <v/>
      </c>
      <c r="C61" s="15" t="str" cm="1">
        <f t="array" ref="C61">IFERROR(_xlfn.TEXTJOIN("",TRUE,_xlfn._xlws.FILTER(MID(S61,_xlfn.SEQUENCE(LEN(S61)),1),ISNUMBER(SEARCH(MID(S61,_xlfn.SEQUENCE(LEN(S61)),1),"ABCDEFGHIJKLMNOPQRSTUVWXYZabcdefghijklmnopqrstuvwxyz0123456789,")))),"")</f>
        <v/>
      </c>
      <c r="D61" s="15" t="str">
        <v/>
      </c>
      <c r="E61" s="16" t="str">
        <v/>
      </c>
      <c r="F61" s="15" t="str">
        <v/>
      </c>
      <c r="G61" s="20" t="str" cm="1">
        <f t="array" ref="G61">IF(TRIM(P61)="","",IF(SUM(COUNTIF(P61,{"*NLGD*","*FWG*"}))&gt;0,P61,IF(SUM(COUNTIF(P61,{"*GL*","*DGB*","*DGI*","*GT*","*CS*","*PWU*","*DBI*","*SWU*"}))=0,P61,IF(IFERROR(VALUE(SUBSTITUTE(SUBSTITUTE(O61,"W",""),"""","")),0)&gt;52,P61&amp;"-OVRSIZE-",P61))))</f>
        <v/>
      </c>
      <c r="H61" s="15" t="str">
        <v/>
      </c>
      <c r="I61" s="15" t="str">
        <v/>
      </c>
      <c r="J61" s="15" t="str">
        <v/>
      </c>
      <c r="K61" s="15" t="str">
        <v/>
      </c>
      <c r="L61" s="15" t="str">
        <v/>
      </c>
      <c r="M61" s="10" t="str">
        <v/>
      </c>
      <c r="N61" s="14"/>
      <c r="O61" s="15" t="str" cm="1">
        <f t="array" ref="O61">IFERROR(_xlfn.LET(
_xlpm.clean,TRIM(SUBSTITUTE(SUBSTITUTE(P61,CHAR(160),"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" s="15"/>
      <c r="R61" t="str">
        <v/>
      </c>
      <c r="S61" t="str">
        <f t="shared" si="1"/>
        <v/>
      </c>
    </row>
    <row r="62" spans="1:19" ht="12.75">
      <c r="A62" s="15" t="str">
        <v/>
      </c>
      <c r="B62" s="15" t="str">
        <v/>
      </c>
      <c r="C62" s="15" t="str" cm="1">
        <f t="array" ref="C62">IFERROR(_xlfn.TEXTJOIN("",TRUE,_xlfn._xlws.FILTER(MID(S62,_xlfn.SEQUENCE(LEN(S62)),1),ISNUMBER(SEARCH(MID(S62,_xlfn.SEQUENCE(LEN(S62)),1),"ABCDEFGHIJKLMNOPQRSTUVWXYZabcdefghijklmnopqrstuvwxyz0123456789,")))),"")</f>
        <v/>
      </c>
      <c r="D62" s="15" t="str">
        <v/>
      </c>
      <c r="E62" s="16" t="str">
        <v/>
      </c>
      <c r="F62" s="15" t="str">
        <v/>
      </c>
      <c r="G62" s="20" t="str" cm="1">
        <f t="array" ref="G62">IF(TRIM(P62)="","",IF(SUM(COUNTIF(P62,{"*NLGD*","*FWG*"}))&gt;0,P62,IF(SUM(COUNTIF(P62,{"*GL*","*DGB*","*DGI*","*GT*","*CS*","*PWU*","*DBI*","*SWU*"}))=0,P62,IF(IFERROR(VALUE(SUBSTITUTE(SUBSTITUTE(O62,"W",""),"""","")),0)&gt;52,P62&amp;"-OVRSIZE-",P62))))</f>
        <v/>
      </c>
      <c r="H62" s="15" t="str">
        <v/>
      </c>
      <c r="I62" s="15" t="str">
        <v/>
      </c>
      <c r="J62" s="15" t="str">
        <v/>
      </c>
      <c r="K62" s="15" t="str">
        <v/>
      </c>
      <c r="L62" s="15" t="str">
        <v/>
      </c>
      <c r="M62" s="10" t="str">
        <v/>
      </c>
      <c r="N62" s="14"/>
      <c r="O62" s="15" t="str" cm="1">
        <f t="array" ref="O62">IFERROR(_xlfn.LET(
_xlpm.clean,TRIM(SUBSTITUTE(SUBSTITUTE(P62,CHAR(160),"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" s="15"/>
      <c r="R62" t="str">
        <v/>
      </c>
      <c r="S62" t="str">
        <f t="shared" si="1"/>
        <v/>
      </c>
    </row>
    <row r="63" spans="1:19" ht="12.75">
      <c r="A63" s="15" t="str">
        <v/>
      </c>
      <c r="B63" s="15" t="str">
        <v/>
      </c>
      <c r="C63" s="15" t="str" cm="1">
        <f t="array" ref="C63">IFERROR(_xlfn.TEXTJOIN("",TRUE,_xlfn._xlws.FILTER(MID(S63,_xlfn.SEQUENCE(LEN(S63)),1),ISNUMBER(SEARCH(MID(S63,_xlfn.SEQUENCE(LEN(S63)),1),"ABCDEFGHIJKLMNOPQRSTUVWXYZabcdefghijklmnopqrstuvwxyz0123456789,")))),"")</f>
        <v/>
      </c>
      <c r="D63" s="15" t="str">
        <v/>
      </c>
      <c r="E63" s="16" t="str">
        <v/>
      </c>
      <c r="F63" s="15" t="str">
        <v/>
      </c>
      <c r="G63" s="20" t="str" cm="1">
        <f t="array" ref="G63">IF(TRIM(P63)="","",IF(SUM(COUNTIF(P63,{"*NLGD*","*FWG*"}))&gt;0,P63,IF(SUM(COUNTIF(P63,{"*GL*","*DGB*","*DGI*","*GT*","*CS*","*PWU*","*DBI*","*SWU*"}))=0,P63,IF(IFERROR(VALUE(SUBSTITUTE(SUBSTITUTE(O63,"W",""),"""","")),0)&gt;52,P63&amp;"-OVRSIZE-",P63))))</f>
        <v/>
      </c>
      <c r="H63" s="15" t="str">
        <v/>
      </c>
      <c r="I63" s="15" t="str">
        <v/>
      </c>
      <c r="J63" s="15" t="str">
        <v/>
      </c>
      <c r="K63" s="15" t="str">
        <v/>
      </c>
      <c r="L63" s="15" t="str">
        <v/>
      </c>
      <c r="M63" s="10" t="str">
        <v/>
      </c>
      <c r="N63" s="14"/>
      <c r="O63" s="15" t="str" cm="1">
        <f t="array" ref="O63">IFERROR(_xlfn.LET(
_xlpm.clean,TRIM(SUBSTITUTE(SUBSTITUTE(P63,CHAR(160),"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" s="15"/>
      <c r="R63" t="str">
        <v/>
      </c>
      <c r="S63" t="str">
        <f t="shared" si="1"/>
        <v/>
      </c>
    </row>
    <row r="64" spans="1:19" ht="12.75">
      <c r="A64" s="15" t="str">
        <v/>
      </c>
      <c r="B64" s="15" t="str">
        <v/>
      </c>
      <c r="C64" s="15" t="str" cm="1">
        <f t="array" ref="C64">IFERROR(_xlfn.TEXTJOIN("",TRUE,_xlfn._xlws.FILTER(MID(S64,_xlfn.SEQUENCE(LEN(S64)),1),ISNUMBER(SEARCH(MID(S64,_xlfn.SEQUENCE(LEN(S64)),1),"ABCDEFGHIJKLMNOPQRSTUVWXYZabcdefghijklmnopqrstuvwxyz0123456789,")))),"")</f>
        <v/>
      </c>
      <c r="D64" s="15" t="str">
        <v/>
      </c>
      <c r="E64" s="16" t="str">
        <v/>
      </c>
      <c r="F64" s="15" t="str">
        <v/>
      </c>
      <c r="G64" s="20" t="str" cm="1">
        <f t="array" ref="G64">IF(TRIM(P64)="","",IF(SUM(COUNTIF(P64,{"*NLGD*","*FWG*"}))&gt;0,P64,IF(SUM(COUNTIF(P64,{"*GL*","*DGB*","*DGI*","*GT*","*CS*","*PWU*","*DBI*","*SWU*"}))=0,P64,IF(IFERROR(VALUE(SUBSTITUTE(SUBSTITUTE(O64,"W",""),"""","")),0)&gt;52,P64&amp;"-OVRSIZE-",P64))))</f>
        <v/>
      </c>
      <c r="H64" s="15" t="str">
        <v/>
      </c>
      <c r="I64" s="15" t="str">
        <v/>
      </c>
      <c r="J64" s="15" t="str">
        <v/>
      </c>
      <c r="K64" s="15" t="str">
        <v/>
      </c>
      <c r="L64" s="15" t="str">
        <v/>
      </c>
      <c r="M64" s="10" t="str">
        <v/>
      </c>
      <c r="N64" s="14"/>
      <c r="O64" s="15" t="str" cm="1">
        <f t="array" ref="O64">IFERROR(_xlfn.LET(
_xlpm.clean,TRIM(SUBSTITUTE(SUBSTITUTE(P64,CHAR(160),"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" s="15"/>
      <c r="R64" t="str">
        <v/>
      </c>
      <c r="S64" t="str">
        <f t="shared" si="1"/>
        <v/>
      </c>
    </row>
    <row r="65" spans="1:19" ht="12.75">
      <c r="A65" s="15" t="str">
        <v/>
      </c>
      <c r="B65" s="15" t="str">
        <v/>
      </c>
      <c r="C65" s="15" t="str" cm="1">
        <f t="array" ref="C65">IFERROR(_xlfn.TEXTJOIN("",TRUE,_xlfn._xlws.FILTER(MID(S65,_xlfn.SEQUENCE(LEN(S65)),1),ISNUMBER(SEARCH(MID(S65,_xlfn.SEQUENCE(LEN(S65)),1),"ABCDEFGHIJKLMNOPQRSTUVWXYZabcdefghijklmnopqrstuvwxyz0123456789,")))),"")</f>
        <v/>
      </c>
      <c r="D65" s="15" t="str">
        <v/>
      </c>
      <c r="E65" s="16" t="str">
        <v/>
      </c>
      <c r="F65" s="15" t="str">
        <v/>
      </c>
      <c r="G65" s="20" t="str" cm="1">
        <f t="array" ref="G65">IF(TRIM(P65)="","",IF(SUM(COUNTIF(P65,{"*NLGD*","*FWG*"}))&gt;0,P65,IF(SUM(COUNTIF(P65,{"*GL*","*DGB*","*DGI*","*GT*","*CS*","*PWU*","*DBI*","*SWU*"}))=0,P65,IF(IFERROR(VALUE(SUBSTITUTE(SUBSTITUTE(O65,"W",""),"""","")),0)&gt;52,P65&amp;"-OVRSIZE-",P65))))</f>
        <v/>
      </c>
      <c r="H65" s="15" t="str">
        <v/>
      </c>
      <c r="I65" s="15" t="str">
        <v/>
      </c>
      <c r="J65" s="15" t="str">
        <v/>
      </c>
      <c r="K65" s="15" t="str">
        <v/>
      </c>
      <c r="L65" s="15" t="str">
        <v/>
      </c>
      <c r="M65" s="10" t="str">
        <v/>
      </c>
      <c r="N65" s="14"/>
      <c r="O65" s="15" t="str" cm="1">
        <f t="array" ref="O65">IFERROR(_xlfn.LET(
_xlpm.clean,TRIM(SUBSTITUTE(SUBSTITUTE(P65,CHAR(160),"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" s="15"/>
      <c r="R65" t="str">
        <v/>
      </c>
      <c r="S65" t="str">
        <f t="shared" si="1"/>
        <v/>
      </c>
    </row>
    <row r="66" spans="1:19" ht="12.75">
      <c r="A66" s="15" t="str">
        <v/>
      </c>
      <c r="B66" s="15" t="str">
        <v/>
      </c>
      <c r="C66" s="15" t="str" cm="1">
        <f t="array" ref="C66">IFERROR(_xlfn.TEXTJOIN("",TRUE,_xlfn._xlws.FILTER(MID(S66,_xlfn.SEQUENCE(LEN(S66)),1),ISNUMBER(SEARCH(MID(S66,_xlfn.SEQUENCE(LEN(S66)),1),"ABCDEFGHIJKLMNOPQRSTUVWXYZabcdefghijklmnopqrstuvwxyz0123456789,")))),"")</f>
        <v/>
      </c>
      <c r="D66" s="15" t="str">
        <v/>
      </c>
      <c r="E66" s="16" t="str">
        <v/>
      </c>
      <c r="F66" s="15" t="str">
        <v/>
      </c>
      <c r="G66" s="20" t="str" cm="1">
        <f t="array" ref="G66">IF(TRIM(P66)="","",IF(SUM(COUNTIF(P66,{"*NLGD*","*FWG*"}))&gt;0,P66,IF(SUM(COUNTIF(P66,{"*GL*","*DGB*","*DGI*","*GT*","*CS*","*PWU*","*DBI*","*SWU*"}))=0,P66,IF(IFERROR(VALUE(SUBSTITUTE(SUBSTITUTE(O66,"W",""),"""","")),0)&gt;52,P66&amp;"-OVRSIZE-",P66))))</f>
        <v/>
      </c>
      <c r="H66" s="15" t="str">
        <v/>
      </c>
      <c r="I66" s="15" t="str">
        <v/>
      </c>
      <c r="J66" s="15" t="str">
        <v/>
      </c>
      <c r="K66" s="15" t="str">
        <v/>
      </c>
      <c r="L66" s="15" t="str">
        <v/>
      </c>
      <c r="M66" s="10" t="str">
        <v/>
      </c>
      <c r="N66" s="14"/>
      <c r="O66" s="15" t="str" cm="1">
        <f t="array" ref="O66">IFERROR(_xlfn.LET(
_xlpm.clean,TRIM(SUBSTITUTE(SUBSTITUTE(P66,CHAR(160),"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" s="15"/>
      <c r="R66" t="str">
        <v/>
      </c>
      <c r="S66" t="str">
        <f t="shared" si="1"/>
        <v/>
      </c>
    </row>
    <row r="67" spans="1:19" ht="12.75">
      <c r="A67" s="15" t="str">
        <v/>
      </c>
      <c r="B67" s="15" t="str">
        <v/>
      </c>
      <c r="C67" s="15" t="str" cm="1">
        <f t="array" ref="C67">IFERROR(_xlfn.TEXTJOIN("",TRUE,_xlfn._xlws.FILTER(MID(S67,_xlfn.SEQUENCE(LEN(S67)),1),ISNUMBER(SEARCH(MID(S67,_xlfn.SEQUENCE(LEN(S67)),1),"ABCDEFGHIJKLMNOPQRSTUVWXYZabcdefghijklmnopqrstuvwxyz0123456789,")))),"")</f>
        <v/>
      </c>
      <c r="D67" s="15" t="str">
        <v/>
      </c>
      <c r="E67" s="16" t="str">
        <v/>
      </c>
      <c r="F67" s="15" t="str">
        <v/>
      </c>
      <c r="G67" s="20" t="str" cm="1">
        <f t="array" ref="G67">IF(TRIM(P67)="","",IF(SUM(COUNTIF(P67,{"*NLGD*","*FWG*"}))&gt;0,P67,IF(SUM(COUNTIF(P67,{"*GL*","*DGB*","*DGI*","*GT*","*CS*","*PWU*","*DBI*","*SWU*"}))=0,P67,IF(IFERROR(VALUE(SUBSTITUTE(SUBSTITUTE(O67,"W",""),"""","")),0)&gt;52,P67&amp;"-OVRSIZE-",P67))))</f>
        <v/>
      </c>
      <c r="H67" s="15" t="str">
        <v/>
      </c>
      <c r="I67" s="15" t="str">
        <v/>
      </c>
      <c r="J67" s="15" t="str">
        <v/>
      </c>
      <c r="K67" s="15" t="str">
        <v/>
      </c>
      <c r="L67" s="15" t="str">
        <v/>
      </c>
      <c r="M67" s="10" t="str">
        <v/>
      </c>
      <c r="N67" s="14"/>
      <c r="O67" s="15" t="str" cm="1">
        <f t="array" ref="O67">IFERROR(_xlfn.LET(
_xlpm.clean,TRIM(SUBSTITUTE(SUBSTITUTE(P67,CHAR(160),"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" s="15"/>
      <c r="R67" t="str">
        <v/>
      </c>
      <c r="S67" t="str">
        <f t="shared" si="1"/>
        <v/>
      </c>
    </row>
    <row r="68" spans="1:19" ht="12.75">
      <c r="A68" s="15" t="str">
        <v/>
      </c>
      <c r="B68" s="15" t="str">
        <v/>
      </c>
      <c r="C68" s="15" t="str" cm="1">
        <f t="array" ref="C68">IFERROR(_xlfn.TEXTJOIN("",TRUE,_xlfn._xlws.FILTER(MID(S68,_xlfn.SEQUENCE(LEN(S68)),1),ISNUMBER(SEARCH(MID(S68,_xlfn.SEQUENCE(LEN(S68)),1),"ABCDEFGHIJKLMNOPQRSTUVWXYZabcdefghijklmnopqrstuvwxyz0123456789,")))),"")</f>
        <v/>
      </c>
      <c r="D68" s="15" t="str">
        <v/>
      </c>
      <c r="E68" s="16" t="str">
        <v/>
      </c>
      <c r="F68" s="15" t="str">
        <v/>
      </c>
      <c r="G68" s="20" t="str" cm="1">
        <f t="array" ref="G68">IF(TRIM(P68)="","",IF(SUM(COUNTIF(P68,{"*NLGD*","*FWG*"}))&gt;0,P68,IF(SUM(COUNTIF(P68,{"*GL*","*DGB*","*DGI*","*GT*","*CS*","*PWU*","*DBI*","*SWU*"}))=0,P68,IF(IFERROR(VALUE(SUBSTITUTE(SUBSTITUTE(O68,"W",""),"""","")),0)&gt;52,P68&amp;"-OVRSIZE-",P68))))</f>
        <v/>
      </c>
      <c r="H68" s="15" t="str">
        <v/>
      </c>
      <c r="I68" s="15" t="str">
        <v/>
      </c>
      <c r="J68" s="15" t="str">
        <v/>
      </c>
      <c r="K68" s="15" t="str">
        <v/>
      </c>
      <c r="L68" s="15" t="str">
        <v/>
      </c>
      <c r="M68" s="10" t="str">
        <v/>
      </c>
      <c r="N68" s="14"/>
      <c r="O68" s="15" t="str" cm="1">
        <f t="array" ref="O68">IFERROR(_xlfn.LET(
_xlpm.clean,TRIM(SUBSTITUTE(SUBSTITUTE(P68,CHAR(160),"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" s="15"/>
      <c r="R68" t="str">
        <v/>
      </c>
      <c r="S68" t="str">
        <f t="shared" si="1"/>
        <v/>
      </c>
    </row>
    <row r="69" spans="1:19" ht="12.75">
      <c r="A69" s="15" t="str">
        <v/>
      </c>
      <c r="B69" s="15" t="str">
        <v/>
      </c>
      <c r="C69" s="15" t="str" cm="1">
        <f t="array" ref="C69">IFERROR(_xlfn.TEXTJOIN("",TRUE,_xlfn._xlws.FILTER(MID(S69,_xlfn.SEQUENCE(LEN(S69)),1),ISNUMBER(SEARCH(MID(S69,_xlfn.SEQUENCE(LEN(S69)),1),"ABCDEFGHIJKLMNOPQRSTUVWXYZabcdefghijklmnopqrstuvwxyz0123456789,")))),"")</f>
        <v/>
      </c>
      <c r="D69" s="15" t="str">
        <v/>
      </c>
      <c r="E69" s="16" t="str">
        <v/>
      </c>
      <c r="F69" s="15" t="str">
        <v/>
      </c>
      <c r="G69" s="20" t="str" cm="1">
        <f t="array" ref="G69">IF(TRIM(P69)="","",IF(SUM(COUNTIF(P69,{"*NLGD*","*FWG*"}))&gt;0,P69,IF(SUM(COUNTIF(P69,{"*GL*","*DGB*","*DGI*","*GT*","*CS*","*PWU*","*DBI*","*SWU*"}))=0,P69,IF(IFERROR(VALUE(SUBSTITUTE(SUBSTITUTE(O69,"W",""),"""","")),0)&gt;52,P69&amp;"-OVRSIZE-",P69))))</f>
        <v/>
      </c>
      <c r="H69" s="15" t="str">
        <v/>
      </c>
      <c r="I69" s="15" t="str">
        <v/>
      </c>
      <c r="J69" s="15" t="str">
        <v/>
      </c>
      <c r="K69" s="15" t="str">
        <v/>
      </c>
      <c r="L69" s="15" t="str">
        <v/>
      </c>
      <c r="M69" s="10" t="str">
        <v/>
      </c>
      <c r="N69" s="14"/>
      <c r="O69" s="15" t="str" cm="1">
        <f t="array" ref="O69">IFERROR(_xlfn.LET(
_xlpm.clean,TRIM(SUBSTITUTE(SUBSTITUTE(P69,CHAR(160),"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" s="15"/>
      <c r="R69" t="str">
        <v/>
      </c>
      <c r="S69" t="str">
        <f t="shared" si="1"/>
        <v/>
      </c>
    </row>
    <row r="70" spans="1:19" ht="12.75">
      <c r="A70" s="15" t="str">
        <v/>
      </c>
      <c r="B70" s="15" t="str">
        <v/>
      </c>
      <c r="C70" s="15" t="str" cm="1">
        <f t="array" ref="C70">IFERROR(_xlfn.TEXTJOIN("",TRUE,_xlfn._xlws.FILTER(MID(S70,_xlfn.SEQUENCE(LEN(S70)),1),ISNUMBER(SEARCH(MID(S70,_xlfn.SEQUENCE(LEN(S70)),1),"ABCDEFGHIJKLMNOPQRSTUVWXYZabcdefghijklmnopqrstuvwxyz0123456789,")))),"")</f>
        <v/>
      </c>
      <c r="D70" s="15" t="str">
        <v/>
      </c>
      <c r="E70" s="16" t="str">
        <v/>
      </c>
      <c r="F70" s="15" t="str">
        <v/>
      </c>
      <c r="G70" s="20" t="str" cm="1">
        <f t="array" ref="G70">IF(TRIM(P70)="","",IF(SUM(COUNTIF(P70,{"*NLGD*","*FWG*"}))&gt;0,P70,IF(SUM(COUNTIF(P70,{"*GL*","*DGB*","*DGI*","*GT*","*CS*","*PWU*","*DBI*","*SWU*"}))=0,P70,IF(IFERROR(VALUE(SUBSTITUTE(SUBSTITUTE(O70,"W",""),"""","")),0)&gt;52,P70&amp;"-OVRSIZE-",P70))))</f>
        <v/>
      </c>
      <c r="H70" s="15" t="str">
        <v/>
      </c>
      <c r="I70" s="15" t="str">
        <v/>
      </c>
      <c r="J70" s="15" t="str">
        <v/>
      </c>
      <c r="K70" s="15" t="str">
        <v/>
      </c>
      <c r="L70" s="15" t="str">
        <v/>
      </c>
      <c r="M70" s="10" t="str">
        <v/>
      </c>
      <c r="N70" s="14"/>
      <c r="O70" s="15" t="str" cm="1">
        <f t="array" ref="O70">IFERROR(_xlfn.LET(
_xlpm.clean,TRIM(SUBSTITUTE(SUBSTITUTE(P70,CHAR(160),"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" s="15"/>
      <c r="R70" t="str">
        <v/>
      </c>
      <c r="S70" t="str">
        <f t="shared" si="1"/>
        <v/>
      </c>
    </row>
    <row r="71" spans="1:19" ht="12.75">
      <c r="A71" s="15" t="str">
        <v/>
      </c>
      <c r="B71" s="15" t="str">
        <v/>
      </c>
      <c r="C71" s="15" t="str" cm="1">
        <f t="array" ref="C71">IFERROR(_xlfn.TEXTJOIN("",TRUE,_xlfn._xlws.FILTER(MID(S71,_xlfn.SEQUENCE(LEN(S71)),1),ISNUMBER(SEARCH(MID(S71,_xlfn.SEQUENCE(LEN(S71)),1),"ABCDEFGHIJKLMNOPQRSTUVWXYZabcdefghijklmnopqrstuvwxyz0123456789,")))),"")</f>
        <v/>
      </c>
      <c r="D71" s="15" t="str">
        <v/>
      </c>
      <c r="E71" s="16" t="str">
        <v/>
      </c>
      <c r="F71" s="15" t="str">
        <v/>
      </c>
      <c r="G71" s="20" t="str" cm="1">
        <f t="array" ref="G71">IF(TRIM(P71)="","",IF(SUM(COUNTIF(P71,{"*NLGD*","*FWG*"}))&gt;0,P71,IF(SUM(COUNTIF(P71,{"*GL*","*DGB*","*DGI*","*GT*","*CS*","*PWU*","*DBI*","*SWU*"}))=0,P71,IF(IFERROR(VALUE(SUBSTITUTE(SUBSTITUTE(O71,"W",""),"""","")),0)&gt;52,P71&amp;"-OVRSIZE-",P71))))</f>
        <v/>
      </c>
      <c r="H71" s="15" t="str">
        <v/>
      </c>
      <c r="I71" s="15" t="str">
        <v/>
      </c>
      <c r="J71" s="15" t="str">
        <v/>
      </c>
      <c r="K71" s="15" t="str">
        <v/>
      </c>
      <c r="L71" s="15" t="str">
        <v/>
      </c>
      <c r="M71" s="10" t="str">
        <v/>
      </c>
      <c r="N71" s="14"/>
      <c r="O71" s="15" t="str" cm="1">
        <f t="array" ref="O71">IFERROR(_xlfn.LET(
_xlpm.clean,TRIM(SUBSTITUTE(SUBSTITUTE(P71,CHAR(160),"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" s="15"/>
      <c r="R71" t="str">
        <v/>
      </c>
      <c r="S71" t="str">
        <f t="shared" si="1"/>
        <v/>
      </c>
    </row>
    <row r="72" spans="1:19" ht="12.75">
      <c r="A72" s="15" t="str">
        <v/>
      </c>
      <c r="B72" s="15" t="str">
        <v/>
      </c>
      <c r="C72" s="15" t="str" cm="1">
        <f t="array" ref="C72">IFERROR(_xlfn.TEXTJOIN("",TRUE,_xlfn._xlws.FILTER(MID(S72,_xlfn.SEQUENCE(LEN(S72)),1),ISNUMBER(SEARCH(MID(S72,_xlfn.SEQUENCE(LEN(S72)),1),"ABCDEFGHIJKLMNOPQRSTUVWXYZabcdefghijklmnopqrstuvwxyz0123456789,")))),"")</f>
        <v/>
      </c>
      <c r="D72" s="15" t="str">
        <v/>
      </c>
      <c r="E72" s="16" t="str">
        <v/>
      </c>
      <c r="F72" s="15" t="str">
        <v/>
      </c>
      <c r="G72" s="20" t="str" cm="1">
        <f t="array" ref="G72">IF(TRIM(P72)="","",IF(SUM(COUNTIF(P72,{"*NLGD*","*FWG*"}))&gt;0,P72,IF(SUM(COUNTIF(P72,{"*GL*","*DGB*","*DGI*","*GT*","*CS*","*PWU*","*DBI*","*SWU*"}))=0,P72,IF(IFERROR(VALUE(SUBSTITUTE(SUBSTITUTE(O72,"W",""),"""","")),0)&gt;52,P72&amp;"-OVRSIZE-",P72))))</f>
        <v/>
      </c>
      <c r="H72" s="15" t="str">
        <v/>
      </c>
      <c r="I72" s="15" t="str">
        <v/>
      </c>
      <c r="J72" s="15" t="str">
        <v/>
      </c>
      <c r="K72" s="15" t="str">
        <v/>
      </c>
      <c r="L72" s="15" t="str">
        <v/>
      </c>
      <c r="M72" s="10" t="str">
        <v/>
      </c>
      <c r="N72" s="14"/>
      <c r="O72" s="15" t="str" cm="1">
        <f t="array" ref="O72">IFERROR(_xlfn.LET(
_xlpm.clean,TRIM(SUBSTITUTE(SUBSTITUTE(P72,CHAR(160),"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" s="15"/>
      <c r="R72" t="str">
        <v/>
      </c>
      <c r="S72" t="str">
        <f t="shared" ref="S72:S135" si="2">IF(R72="","",_xlfn.LET(
_xlpm.x,TRIM(SUBSTITUTE(SUBSTITUTE(SUBSTITUTE(SUBSTITUTE(R72,":","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73" spans="1:19" ht="12.75">
      <c r="A73" s="15" t="str">
        <v/>
      </c>
      <c r="B73" s="15" t="str">
        <v/>
      </c>
      <c r="C73" s="15" t="str" cm="1">
        <f t="array" ref="C73">IFERROR(_xlfn.TEXTJOIN("",TRUE,_xlfn._xlws.FILTER(MID(S73,_xlfn.SEQUENCE(LEN(S73)),1),ISNUMBER(SEARCH(MID(S73,_xlfn.SEQUENCE(LEN(S73)),1),"ABCDEFGHIJKLMNOPQRSTUVWXYZabcdefghijklmnopqrstuvwxyz0123456789,")))),"")</f>
        <v/>
      </c>
      <c r="D73" s="15" t="str">
        <v/>
      </c>
      <c r="E73" s="16" t="str">
        <v/>
      </c>
      <c r="F73" s="15" t="str">
        <v/>
      </c>
      <c r="G73" s="20" t="str" cm="1">
        <f t="array" ref="G73">IF(TRIM(P73)="","",IF(SUM(COUNTIF(P73,{"*NLGD*","*FWG*"}))&gt;0,P73,IF(SUM(COUNTIF(P73,{"*GL*","*DGB*","*DGI*","*GT*","*CS*","*PWU*","*DBI*","*SWU*"}))=0,P73,IF(IFERROR(VALUE(SUBSTITUTE(SUBSTITUTE(O73,"W",""),"""","")),0)&gt;52,P73&amp;"-OVRSIZE-",P73))))</f>
        <v/>
      </c>
      <c r="H73" s="15" t="str">
        <v/>
      </c>
      <c r="I73" s="15" t="str">
        <v/>
      </c>
      <c r="J73" s="15" t="str">
        <v/>
      </c>
      <c r="K73" s="15" t="str">
        <v/>
      </c>
      <c r="L73" s="15" t="str">
        <v/>
      </c>
      <c r="M73" s="10" t="str">
        <v/>
      </c>
      <c r="N73" s="14"/>
      <c r="O73" s="15" t="str" cm="1">
        <f t="array" ref="O73">IFERROR(_xlfn.LET(
_xlpm.clean,TRIM(SUBSTITUTE(SUBSTITUTE(P73,CHAR(160),"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" s="15"/>
      <c r="R73" t="str">
        <v/>
      </c>
      <c r="S73" t="str">
        <f t="shared" si="2"/>
        <v/>
      </c>
    </row>
    <row r="74" spans="1:19" ht="12.75">
      <c r="A74" s="15" t="str">
        <v/>
      </c>
      <c r="B74" s="15" t="str">
        <v/>
      </c>
      <c r="C74" s="15" t="str" cm="1">
        <f t="array" ref="C74">IFERROR(_xlfn.TEXTJOIN("",TRUE,_xlfn._xlws.FILTER(MID(S74,_xlfn.SEQUENCE(LEN(S74)),1),ISNUMBER(SEARCH(MID(S74,_xlfn.SEQUENCE(LEN(S74)),1),"ABCDEFGHIJKLMNOPQRSTUVWXYZabcdefghijklmnopqrstuvwxyz0123456789,")))),"")</f>
        <v/>
      </c>
      <c r="D74" s="15" t="str">
        <v/>
      </c>
      <c r="E74" s="16" t="str">
        <v/>
      </c>
      <c r="F74" s="15" t="str">
        <v/>
      </c>
      <c r="G74" s="20" t="str" cm="1">
        <f t="array" ref="G74">IF(TRIM(P74)="","",IF(SUM(COUNTIF(P74,{"*NLGD*","*FWG*"}))&gt;0,P74,IF(SUM(COUNTIF(P74,{"*GL*","*DGB*","*DGI*","*GT*","*CS*","*PWU*","*DBI*","*SWU*"}))=0,P74,IF(IFERROR(VALUE(SUBSTITUTE(SUBSTITUTE(O74,"W",""),"""","")),0)&gt;52,P74&amp;"-OVRSIZE-",P74))))</f>
        <v/>
      </c>
      <c r="H74" s="15" t="str">
        <v/>
      </c>
      <c r="I74" s="15" t="str">
        <v/>
      </c>
      <c r="J74" s="15" t="str">
        <v/>
      </c>
      <c r="K74" s="15" t="str">
        <v/>
      </c>
      <c r="L74" s="15" t="str">
        <v/>
      </c>
      <c r="M74" s="10" t="str">
        <v/>
      </c>
      <c r="N74" s="14"/>
      <c r="O74" s="15" t="str" cm="1">
        <f t="array" ref="O74">IFERROR(_xlfn.LET(
_xlpm.clean,TRIM(SUBSTITUTE(SUBSTITUTE(P74,CHAR(160),"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" s="15"/>
      <c r="R74" t="str">
        <v/>
      </c>
      <c r="S74" t="str">
        <f t="shared" si="2"/>
        <v/>
      </c>
    </row>
    <row r="75" spans="1:19" ht="12.75">
      <c r="A75" s="15" t="str">
        <v/>
      </c>
      <c r="B75" s="15" t="str">
        <v/>
      </c>
      <c r="C75" s="15" t="str" cm="1">
        <f t="array" ref="C75">IFERROR(_xlfn.TEXTJOIN("",TRUE,_xlfn._xlws.FILTER(MID(S75,_xlfn.SEQUENCE(LEN(S75)),1),ISNUMBER(SEARCH(MID(S75,_xlfn.SEQUENCE(LEN(S75)),1),"ABCDEFGHIJKLMNOPQRSTUVWXYZabcdefghijklmnopqrstuvwxyz0123456789,")))),"")</f>
        <v/>
      </c>
      <c r="D75" s="15" t="str">
        <v/>
      </c>
      <c r="E75" s="16" t="str">
        <v/>
      </c>
      <c r="F75" s="15" t="str">
        <v/>
      </c>
      <c r="G75" s="20" t="str" cm="1">
        <f t="array" ref="G75">IF(TRIM(P75)="","",IF(SUM(COUNTIF(P75,{"*NLGD*","*FWG*"}))&gt;0,P75,IF(SUM(COUNTIF(P75,{"*GL*","*DGB*","*DGI*","*GT*","*CS*","*PWU*","*DBI*","*SWU*"}))=0,P75,IF(IFERROR(VALUE(SUBSTITUTE(SUBSTITUTE(O75,"W",""),"""","")),0)&gt;52,P75&amp;"-OVRSIZE-",P75))))</f>
        <v/>
      </c>
      <c r="H75" s="15" t="str">
        <v/>
      </c>
      <c r="I75" s="15" t="str">
        <v/>
      </c>
      <c r="J75" s="15" t="str">
        <v/>
      </c>
      <c r="K75" s="15" t="str">
        <v/>
      </c>
      <c r="L75" s="15" t="str">
        <v/>
      </c>
      <c r="M75" s="10" t="str">
        <v/>
      </c>
      <c r="N75" s="14"/>
      <c r="O75" s="15" t="str" cm="1">
        <f t="array" ref="O75">IFERROR(_xlfn.LET(
_xlpm.clean,TRIM(SUBSTITUTE(SUBSTITUTE(P75,CHAR(160),"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" s="15"/>
      <c r="R75" t="str">
        <v/>
      </c>
      <c r="S75" t="str">
        <f t="shared" si="2"/>
        <v/>
      </c>
    </row>
    <row r="76" spans="1:19" ht="12.75">
      <c r="A76" s="15" t="str">
        <v/>
      </c>
      <c r="B76" s="15" t="str">
        <v/>
      </c>
      <c r="C76" s="15" t="str" cm="1">
        <f t="array" ref="C76">IFERROR(_xlfn.TEXTJOIN("",TRUE,_xlfn._xlws.FILTER(MID(S76,_xlfn.SEQUENCE(LEN(S76)),1),ISNUMBER(SEARCH(MID(S76,_xlfn.SEQUENCE(LEN(S76)),1),"ABCDEFGHIJKLMNOPQRSTUVWXYZabcdefghijklmnopqrstuvwxyz0123456789,")))),"")</f>
        <v/>
      </c>
      <c r="D76" s="15" t="str">
        <v/>
      </c>
      <c r="E76" s="16" t="str">
        <v/>
      </c>
      <c r="F76" s="15" t="str">
        <v/>
      </c>
      <c r="G76" s="20" t="str" cm="1">
        <f t="array" ref="G76">IF(TRIM(P76)="","",IF(SUM(COUNTIF(P76,{"*NLGD*","*FWG*"}))&gt;0,P76,IF(SUM(COUNTIF(P76,{"*GL*","*DGB*","*DGI*","*GT*","*CS*","*PWU*","*DBI*","*SWU*"}))=0,P76,IF(IFERROR(VALUE(SUBSTITUTE(SUBSTITUTE(O76,"W",""),"""","")),0)&gt;52,P76&amp;"-OVRSIZE-",P76))))</f>
        <v/>
      </c>
      <c r="H76" s="15" t="str">
        <v/>
      </c>
      <c r="I76" s="15" t="str">
        <v/>
      </c>
      <c r="J76" s="15" t="str">
        <v/>
      </c>
      <c r="K76" s="15" t="str">
        <v/>
      </c>
      <c r="L76" s="15" t="str">
        <v/>
      </c>
      <c r="M76" s="10" t="str">
        <v/>
      </c>
      <c r="N76" s="14"/>
      <c r="O76" s="15" t="str" cm="1">
        <f t="array" ref="O76">IFERROR(_xlfn.LET(
_xlpm.clean,TRIM(SUBSTITUTE(SUBSTITUTE(P76,CHAR(160),"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" s="15"/>
      <c r="R76" t="str">
        <v/>
      </c>
      <c r="S76" t="str">
        <f t="shared" si="2"/>
        <v/>
      </c>
    </row>
    <row r="77" spans="1:19" ht="12.75">
      <c r="A77" s="15" t="str">
        <v/>
      </c>
      <c r="B77" s="15" t="str">
        <v/>
      </c>
      <c r="C77" s="15" t="str" cm="1">
        <f t="array" ref="C77">IFERROR(_xlfn.TEXTJOIN("",TRUE,_xlfn._xlws.FILTER(MID(S77,_xlfn.SEQUENCE(LEN(S77)),1),ISNUMBER(SEARCH(MID(S77,_xlfn.SEQUENCE(LEN(S77)),1),"ABCDEFGHIJKLMNOPQRSTUVWXYZabcdefghijklmnopqrstuvwxyz0123456789,")))),"")</f>
        <v/>
      </c>
      <c r="D77" s="15" t="str">
        <v/>
      </c>
      <c r="E77" s="16" t="str">
        <v/>
      </c>
      <c r="F77" s="15" t="str">
        <v/>
      </c>
      <c r="G77" s="20" t="str" cm="1">
        <f t="array" ref="G77">IF(TRIM(P77)="","",IF(SUM(COUNTIF(P77,{"*NLGD*","*FWG*"}))&gt;0,P77,IF(SUM(COUNTIF(P77,{"*GL*","*DGB*","*DGI*","*GT*","*CS*","*PWU*","*DBI*","*SWU*"}))=0,P77,IF(IFERROR(VALUE(SUBSTITUTE(SUBSTITUTE(O77,"W",""),"""","")),0)&gt;52,P77&amp;"-OVRSIZE-",P77))))</f>
        <v/>
      </c>
      <c r="H77" s="15" t="str">
        <v/>
      </c>
      <c r="I77" s="15" t="str">
        <v/>
      </c>
      <c r="J77" s="15" t="str">
        <v/>
      </c>
      <c r="K77" s="15" t="str">
        <v/>
      </c>
      <c r="L77" s="15" t="str">
        <v/>
      </c>
      <c r="M77" s="10" t="str">
        <v/>
      </c>
      <c r="N77" s="14"/>
      <c r="O77" s="15" t="str" cm="1">
        <f t="array" ref="O77">IFERROR(_xlfn.LET(
_xlpm.clean,TRIM(SUBSTITUTE(SUBSTITUTE(P77,CHAR(160),"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" s="15"/>
      <c r="R77" t="str">
        <v/>
      </c>
      <c r="S77" t="str">
        <f t="shared" si="2"/>
        <v/>
      </c>
    </row>
    <row r="78" spans="1:19" ht="12.75">
      <c r="A78" s="15" t="str">
        <v/>
      </c>
      <c r="B78" s="15" t="str">
        <v/>
      </c>
      <c r="C78" s="15" t="str" cm="1">
        <f t="array" ref="C78">IFERROR(_xlfn.TEXTJOIN("",TRUE,_xlfn._xlws.FILTER(MID(S78,_xlfn.SEQUENCE(LEN(S78)),1),ISNUMBER(SEARCH(MID(S78,_xlfn.SEQUENCE(LEN(S78)),1),"ABCDEFGHIJKLMNOPQRSTUVWXYZabcdefghijklmnopqrstuvwxyz0123456789,")))),"")</f>
        <v/>
      </c>
      <c r="D78" s="15" t="str">
        <v/>
      </c>
      <c r="E78" s="16" t="str">
        <v/>
      </c>
      <c r="F78" s="15" t="str">
        <v/>
      </c>
      <c r="G78" s="20" t="str" cm="1">
        <f t="array" ref="G78">IF(TRIM(P78)="","",IF(SUM(COUNTIF(P78,{"*NLGD*","*FWG*"}))&gt;0,P78,IF(SUM(COUNTIF(P78,{"*GL*","*DGB*","*DGI*","*GT*","*CS*","*PWU*","*DBI*","*SWU*"}))=0,P78,IF(IFERROR(VALUE(SUBSTITUTE(SUBSTITUTE(O78,"W",""),"""","")),0)&gt;52,P78&amp;"-OVRSIZE-",P78))))</f>
        <v/>
      </c>
      <c r="H78" s="15" t="str">
        <v/>
      </c>
      <c r="I78" s="15" t="str">
        <v/>
      </c>
      <c r="J78" s="15" t="str">
        <v/>
      </c>
      <c r="K78" s="15" t="str">
        <v/>
      </c>
      <c r="L78" s="15" t="str">
        <v/>
      </c>
      <c r="M78" s="10" t="str">
        <v/>
      </c>
      <c r="N78" s="14"/>
      <c r="O78" s="15" t="str" cm="1">
        <f t="array" ref="O78">IFERROR(_xlfn.LET(
_xlpm.clean,TRIM(SUBSTITUTE(SUBSTITUTE(P78,CHAR(160),"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" s="15"/>
      <c r="R78" t="str">
        <v/>
      </c>
      <c r="S78" t="str">
        <f t="shared" si="2"/>
        <v/>
      </c>
    </row>
    <row r="79" spans="1:19" ht="12.75">
      <c r="A79" s="15" t="str">
        <v/>
      </c>
      <c r="B79" s="15" t="str">
        <v/>
      </c>
      <c r="C79" s="15" t="str" cm="1">
        <f t="array" ref="C79">IFERROR(_xlfn.TEXTJOIN("",TRUE,_xlfn._xlws.FILTER(MID(S79,_xlfn.SEQUENCE(LEN(S79)),1),ISNUMBER(SEARCH(MID(S79,_xlfn.SEQUENCE(LEN(S79)),1),"ABCDEFGHIJKLMNOPQRSTUVWXYZabcdefghijklmnopqrstuvwxyz0123456789,")))),"")</f>
        <v/>
      </c>
      <c r="D79" s="15" t="str">
        <v/>
      </c>
      <c r="E79" s="16" t="str">
        <v/>
      </c>
      <c r="F79" s="15" t="str">
        <v/>
      </c>
      <c r="G79" s="20" t="str" cm="1">
        <f t="array" ref="G79">IF(TRIM(P79)="","",IF(SUM(COUNTIF(P79,{"*NLGD*","*FWG*"}))&gt;0,P79,IF(SUM(COUNTIF(P79,{"*GL*","*DGB*","*DGI*","*GT*","*CS*","*PWU*","*DBI*","*SWU*"}))=0,P79,IF(IFERROR(VALUE(SUBSTITUTE(SUBSTITUTE(O79,"W",""),"""","")),0)&gt;52,P79&amp;"-OVRSIZE-",P79))))</f>
        <v/>
      </c>
      <c r="H79" s="15" t="str">
        <v/>
      </c>
      <c r="I79" s="15" t="str">
        <v/>
      </c>
      <c r="J79" s="15" t="str">
        <v/>
      </c>
      <c r="K79" s="15" t="str">
        <v/>
      </c>
      <c r="L79" s="15" t="str">
        <v/>
      </c>
      <c r="M79" s="10" t="str">
        <v/>
      </c>
      <c r="N79" s="14"/>
      <c r="O79" s="15" t="str" cm="1">
        <f t="array" ref="O79">IFERROR(_xlfn.LET(
_xlpm.clean,TRIM(SUBSTITUTE(SUBSTITUTE(P79,CHAR(160),"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" s="15"/>
      <c r="R79" t="str">
        <v/>
      </c>
      <c r="S79" t="str">
        <f t="shared" si="2"/>
        <v/>
      </c>
    </row>
    <row r="80" spans="1:19" ht="12.75">
      <c r="A80" s="15" t="str">
        <v/>
      </c>
      <c r="B80" s="15" t="str">
        <v/>
      </c>
      <c r="C80" s="15" t="str" cm="1">
        <f t="array" ref="C80">IFERROR(_xlfn.TEXTJOIN("",TRUE,_xlfn._xlws.FILTER(MID(S80,_xlfn.SEQUENCE(LEN(S80)),1),ISNUMBER(SEARCH(MID(S80,_xlfn.SEQUENCE(LEN(S80)),1),"ABCDEFGHIJKLMNOPQRSTUVWXYZabcdefghijklmnopqrstuvwxyz0123456789,")))),"")</f>
        <v/>
      </c>
      <c r="D80" s="15" t="str">
        <v/>
      </c>
      <c r="E80" s="16" t="str">
        <v/>
      </c>
      <c r="F80" s="15" t="str">
        <v/>
      </c>
      <c r="G80" s="20" t="str" cm="1">
        <f t="array" ref="G80">IF(TRIM(P80)="","",IF(SUM(COUNTIF(P80,{"*NLGD*","*FWG*"}))&gt;0,P80,IF(SUM(COUNTIF(P80,{"*GL*","*DGB*","*DGI*","*GT*","*CS*","*PWU*","*DBI*","*SWU*"}))=0,P80,IF(IFERROR(VALUE(SUBSTITUTE(SUBSTITUTE(O80,"W",""),"""","")),0)&gt;52,P80&amp;"-OVRSIZE-",P80))))</f>
        <v/>
      </c>
      <c r="H80" s="15" t="str">
        <v/>
      </c>
      <c r="I80" s="15" t="str">
        <v/>
      </c>
      <c r="J80" s="15" t="str">
        <v/>
      </c>
      <c r="K80" s="15" t="str">
        <v/>
      </c>
      <c r="L80" s="15" t="str">
        <v/>
      </c>
      <c r="M80" s="10" t="str">
        <v/>
      </c>
      <c r="N80" s="14"/>
      <c r="O80" s="15" t="str" cm="1">
        <f t="array" ref="O80">IFERROR(_xlfn.LET(
_xlpm.clean,TRIM(SUBSTITUTE(SUBSTITUTE(P80,CHAR(160),"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" s="15"/>
      <c r="R80" t="str">
        <v/>
      </c>
      <c r="S80" t="str">
        <f t="shared" si="2"/>
        <v/>
      </c>
    </row>
    <row r="81" spans="1:19" ht="12.75">
      <c r="A81" s="15" t="str">
        <v/>
      </c>
      <c r="B81" s="15" t="str">
        <v/>
      </c>
      <c r="C81" s="15" t="str" cm="1">
        <f t="array" ref="C81">IFERROR(_xlfn.TEXTJOIN("",TRUE,_xlfn._xlws.FILTER(MID(S81,_xlfn.SEQUENCE(LEN(S81)),1),ISNUMBER(SEARCH(MID(S81,_xlfn.SEQUENCE(LEN(S81)),1),"ABCDEFGHIJKLMNOPQRSTUVWXYZabcdefghijklmnopqrstuvwxyz0123456789,")))),"")</f>
        <v/>
      </c>
      <c r="D81" s="15" t="str">
        <v/>
      </c>
      <c r="E81" s="16" t="str">
        <v/>
      </c>
      <c r="F81" s="15" t="str">
        <v/>
      </c>
      <c r="G81" s="20" t="str" cm="1">
        <f t="array" ref="G81">IF(TRIM(P81)="","",IF(SUM(COUNTIF(P81,{"*NLGD*","*FWG*"}))&gt;0,P81,IF(SUM(COUNTIF(P81,{"*GL*","*DGB*","*DGI*","*GT*","*CS*","*PWU*","*DBI*","*SWU*"}))=0,P81,IF(IFERROR(VALUE(SUBSTITUTE(SUBSTITUTE(O81,"W",""),"""","")),0)&gt;52,P81&amp;"-OVRSIZE-",P81))))</f>
        <v/>
      </c>
      <c r="H81" s="15" t="str">
        <v/>
      </c>
      <c r="I81" s="15" t="str">
        <v/>
      </c>
      <c r="J81" s="15" t="str">
        <v/>
      </c>
      <c r="K81" s="15" t="str">
        <v/>
      </c>
      <c r="L81" s="15" t="str">
        <v/>
      </c>
      <c r="M81" s="10" t="str">
        <v/>
      </c>
      <c r="N81" s="14"/>
      <c r="O81" s="15" t="str" cm="1">
        <f t="array" ref="O81">IFERROR(_xlfn.LET(
_xlpm.clean,TRIM(SUBSTITUTE(SUBSTITUTE(P81,CHAR(160),"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" s="15"/>
      <c r="R81" t="str">
        <v/>
      </c>
      <c r="S81" t="str">
        <f t="shared" si="2"/>
        <v/>
      </c>
    </row>
    <row r="82" spans="1:19" ht="12.75">
      <c r="A82" s="15" t="str">
        <v/>
      </c>
      <c r="B82" s="15" t="str">
        <v/>
      </c>
      <c r="C82" s="15" t="str" cm="1">
        <f t="array" ref="C82">IFERROR(_xlfn.TEXTJOIN("",TRUE,_xlfn._xlws.FILTER(MID(S82,_xlfn.SEQUENCE(LEN(S82)),1),ISNUMBER(SEARCH(MID(S82,_xlfn.SEQUENCE(LEN(S82)),1),"ABCDEFGHIJKLMNOPQRSTUVWXYZabcdefghijklmnopqrstuvwxyz0123456789,")))),"")</f>
        <v/>
      </c>
      <c r="D82" s="15" t="str">
        <v/>
      </c>
      <c r="E82" s="16" t="str">
        <v/>
      </c>
      <c r="F82" s="15" t="str">
        <v/>
      </c>
      <c r="G82" s="20" t="str" cm="1">
        <f t="array" ref="G82">IF(TRIM(P82)="","",IF(SUM(COUNTIF(P82,{"*NLGD*","*FWG*"}))&gt;0,P82,IF(SUM(COUNTIF(P82,{"*GL*","*DGB*","*DGI*","*GT*","*CS*","*PWU*","*DBI*","*SWU*"}))=0,P82,IF(IFERROR(VALUE(SUBSTITUTE(SUBSTITUTE(O82,"W",""),"""","")),0)&gt;52,P82&amp;"-OVRSIZE-",P82))))</f>
        <v/>
      </c>
      <c r="H82" s="15" t="str">
        <v/>
      </c>
      <c r="I82" s="15" t="str">
        <v/>
      </c>
      <c r="J82" s="15" t="str">
        <v/>
      </c>
      <c r="K82" s="15" t="str">
        <v/>
      </c>
      <c r="L82" s="15" t="str">
        <v/>
      </c>
      <c r="M82" s="10" t="str">
        <v/>
      </c>
      <c r="N82" s="14"/>
      <c r="O82" s="15" t="str" cm="1">
        <f t="array" ref="O82">IFERROR(_xlfn.LET(
_xlpm.clean,TRIM(SUBSTITUTE(SUBSTITUTE(P82,CHAR(160),"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" s="15"/>
      <c r="R82" t="str">
        <v/>
      </c>
      <c r="S82" t="str">
        <f t="shared" si="2"/>
        <v/>
      </c>
    </row>
    <row r="83" spans="1:19" ht="12.75">
      <c r="A83" s="15" t="str">
        <v/>
      </c>
      <c r="B83" s="15" t="str">
        <v/>
      </c>
      <c r="C83" s="15" t="str" cm="1">
        <f t="array" ref="C83">IFERROR(_xlfn.TEXTJOIN("",TRUE,_xlfn._xlws.FILTER(MID(S83,_xlfn.SEQUENCE(LEN(S83)),1),ISNUMBER(SEARCH(MID(S83,_xlfn.SEQUENCE(LEN(S83)),1),"ABCDEFGHIJKLMNOPQRSTUVWXYZabcdefghijklmnopqrstuvwxyz0123456789,")))),"")</f>
        <v/>
      </c>
      <c r="D83" s="15" t="str">
        <v/>
      </c>
      <c r="E83" s="16" t="str">
        <v/>
      </c>
      <c r="F83" s="15" t="str">
        <v/>
      </c>
      <c r="G83" s="20" t="str" cm="1">
        <f t="array" ref="G83">IF(TRIM(P83)="","",IF(SUM(COUNTIF(P83,{"*NLGD*","*FWG*"}))&gt;0,P83,IF(SUM(COUNTIF(P83,{"*GL*","*DGB*","*DGI*","*GT*","*CS*","*PWU*","*DBI*","*SWU*"}))=0,P83,IF(IFERROR(VALUE(SUBSTITUTE(SUBSTITUTE(O83,"W",""),"""","")),0)&gt;52,P83&amp;"-OVRSIZE-",P83))))</f>
        <v/>
      </c>
      <c r="H83" s="15" t="str">
        <v/>
      </c>
      <c r="I83" s="15" t="str">
        <v/>
      </c>
      <c r="J83" s="15" t="str">
        <v/>
      </c>
      <c r="K83" s="15" t="str">
        <v/>
      </c>
      <c r="L83" s="15" t="str">
        <v/>
      </c>
      <c r="M83" s="10" t="str">
        <v/>
      </c>
      <c r="N83" s="14"/>
      <c r="O83" s="15" t="str" cm="1">
        <f t="array" ref="O83">IFERROR(_xlfn.LET(
_xlpm.clean,TRIM(SUBSTITUTE(SUBSTITUTE(P83,CHAR(160),"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" s="15"/>
      <c r="R83" t="str">
        <v/>
      </c>
      <c r="S83" t="str">
        <f t="shared" si="2"/>
        <v/>
      </c>
    </row>
    <row r="84" spans="1:19" ht="12.75">
      <c r="A84" s="15" t="str">
        <v/>
      </c>
      <c r="B84" s="15" t="str">
        <v/>
      </c>
      <c r="C84" s="15" t="str" cm="1">
        <f t="array" ref="C84">IFERROR(_xlfn.TEXTJOIN("",TRUE,_xlfn._xlws.FILTER(MID(S84,_xlfn.SEQUENCE(LEN(S84)),1),ISNUMBER(SEARCH(MID(S84,_xlfn.SEQUENCE(LEN(S84)),1),"ABCDEFGHIJKLMNOPQRSTUVWXYZabcdefghijklmnopqrstuvwxyz0123456789,")))),"")</f>
        <v/>
      </c>
      <c r="D84" s="15" t="str">
        <v/>
      </c>
      <c r="E84" s="16" t="str">
        <v/>
      </c>
      <c r="F84" s="15" t="str">
        <v/>
      </c>
      <c r="G84" s="20" t="str" cm="1">
        <f t="array" ref="G84">IF(TRIM(P84)="","",IF(SUM(COUNTIF(P84,{"*NLGD*","*FWG*"}))&gt;0,P84,IF(SUM(COUNTIF(P84,{"*GL*","*DGB*","*DGI*","*GT*","*CS*","*PWU*","*DBI*","*SWU*"}))=0,P84,IF(IFERROR(VALUE(SUBSTITUTE(SUBSTITUTE(O84,"W",""),"""","")),0)&gt;52,P84&amp;"-OVRSIZE-",P84))))</f>
        <v/>
      </c>
      <c r="H84" s="15" t="str">
        <v/>
      </c>
      <c r="I84" s="15" t="str">
        <v/>
      </c>
      <c r="J84" s="15" t="str">
        <v/>
      </c>
      <c r="K84" s="15" t="str">
        <v/>
      </c>
      <c r="L84" s="15" t="str">
        <v/>
      </c>
      <c r="M84" s="10" t="str">
        <v/>
      </c>
      <c r="N84" s="14"/>
      <c r="O84" s="15" t="str" cm="1">
        <f t="array" ref="O84">IFERROR(_xlfn.LET(
_xlpm.clean,TRIM(SUBSTITUTE(SUBSTITUTE(P84,CHAR(160),"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" s="15"/>
      <c r="R84" t="str">
        <v/>
      </c>
      <c r="S84" t="str">
        <f t="shared" si="2"/>
        <v/>
      </c>
    </row>
    <row r="85" spans="1:19" ht="12.75">
      <c r="A85" s="15" t="str">
        <v/>
      </c>
      <c r="B85" s="15" t="str">
        <v/>
      </c>
      <c r="C85" s="15" t="str" cm="1">
        <f t="array" ref="C85">IFERROR(_xlfn.TEXTJOIN("",TRUE,_xlfn._xlws.FILTER(MID(S85,_xlfn.SEQUENCE(LEN(S85)),1),ISNUMBER(SEARCH(MID(S85,_xlfn.SEQUENCE(LEN(S85)),1),"ABCDEFGHIJKLMNOPQRSTUVWXYZabcdefghijklmnopqrstuvwxyz0123456789,")))),"")</f>
        <v/>
      </c>
      <c r="D85" s="15" t="str">
        <v/>
      </c>
      <c r="E85" s="16" t="str">
        <v/>
      </c>
      <c r="F85" s="15" t="str">
        <v/>
      </c>
      <c r="G85" s="20" t="str" cm="1">
        <f t="array" ref="G85">IF(TRIM(P85)="","",IF(SUM(COUNTIF(P85,{"*NLGD*","*FWG*"}))&gt;0,P85,IF(SUM(COUNTIF(P85,{"*GL*","*DGB*","*DGI*","*GT*","*CS*","*PWU*","*DBI*","*SWU*"}))=0,P85,IF(IFERROR(VALUE(SUBSTITUTE(SUBSTITUTE(O85,"W",""),"""","")),0)&gt;52,P85&amp;"-OVRSIZE-",P85))))</f>
        <v/>
      </c>
      <c r="H85" s="15" t="str">
        <v/>
      </c>
      <c r="I85" s="15" t="str">
        <v/>
      </c>
      <c r="J85" s="15" t="str">
        <v/>
      </c>
      <c r="K85" s="15" t="str">
        <v/>
      </c>
      <c r="L85" s="15" t="str">
        <v/>
      </c>
      <c r="M85" s="10" t="str">
        <v/>
      </c>
      <c r="N85" s="14"/>
      <c r="O85" s="15" t="str" cm="1">
        <f t="array" ref="O85">IFERROR(_xlfn.LET(
_xlpm.clean,TRIM(SUBSTITUTE(SUBSTITUTE(P85,CHAR(160),"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" s="15"/>
      <c r="R85" t="str">
        <v/>
      </c>
      <c r="S85" t="str">
        <f t="shared" si="2"/>
        <v/>
      </c>
    </row>
    <row r="86" spans="1:19" ht="12.75">
      <c r="A86" s="15" t="str">
        <v/>
      </c>
      <c r="B86" s="15" t="str">
        <v/>
      </c>
      <c r="C86" s="15" t="str" cm="1">
        <f t="array" ref="C86">IFERROR(_xlfn.TEXTJOIN("",TRUE,_xlfn._xlws.FILTER(MID(S86,_xlfn.SEQUENCE(LEN(S86)),1),ISNUMBER(SEARCH(MID(S86,_xlfn.SEQUENCE(LEN(S86)),1),"ABCDEFGHIJKLMNOPQRSTUVWXYZabcdefghijklmnopqrstuvwxyz0123456789,")))),"")</f>
        <v/>
      </c>
      <c r="D86" s="15" t="str">
        <v/>
      </c>
      <c r="E86" s="16" t="str">
        <v/>
      </c>
      <c r="F86" s="15" t="str">
        <v/>
      </c>
      <c r="G86" s="20" t="str" cm="1">
        <f t="array" ref="G86">IF(TRIM(P86)="","",IF(SUM(COUNTIF(P86,{"*NLGD*","*FWG*"}))&gt;0,P86,IF(SUM(COUNTIF(P86,{"*GL*","*DGB*","*DGI*","*GT*","*CS*","*PWU*","*DBI*","*SWU*"}))=0,P86,IF(IFERROR(VALUE(SUBSTITUTE(SUBSTITUTE(O86,"W",""),"""","")),0)&gt;52,P86&amp;"-OVRSIZE-",P86))))</f>
        <v/>
      </c>
      <c r="H86" s="15" t="str">
        <v/>
      </c>
      <c r="I86" s="15" t="str">
        <v/>
      </c>
      <c r="J86" s="15" t="str">
        <v/>
      </c>
      <c r="K86" s="15" t="str">
        <v/>
      </c>
      <c r="L86" s="15" t="str">
        <v/>
      </c>
      <c r="M86" s="10" t="str">
        <v/>
      </c>
      <c r="N86" s="14"/>
      <c r="O86" s="15" t="str" cm="1">
        <f t="array" ref="O86">IFERROR(_xlfn.LET(
_xlpm.clean,TRIM(SUBSTITUTE(SUBSTITUTE(P86,CHAR(160),"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" s="15"/>
      <c r="R86" t="str">
        <v/>
      </c>
      <c r="S86" t="str">
        <f t="shared" si="2"/>
        <v/>
      </c>
    </row>
    <row r="87" spans="1:19" ht="12.75">
      <c r="A87" s="15" t="str">
        <v/>
      </c>
      <c r="B87" s="15" t="str">
        <v/>
      </c>
      <c r="C87" s="15" t="str" cm="1">
        <f t="array" ref="C87">IFERROR(_xlfn.TEXTJOIN("",TRUE,_xlfn._xlws.FILTER(MID(S87,_xlfn.SEQUENCE(LEN(S87)),1),ISNUMBER(SEARCH(MID(S87,_xlfn.SEQUENCE(LEN(S87)),1),"ABCDEFGHIJKLMNOPQRSTUVWXYZabcdefghijklmnopqrstuvwxyz0123456789,")))),"")</f>
        <v/>
      </c>
      <c r="D87" s="15" t="str">
        <v/>
      </c>
      <c r="E87" s="16" t="str">
        <v/>
      </c>
      <c r="F87" s="15" t="str">
        <v/>
      </c>
      <c r="G87" s="20" t="str" cm="1">
        <f t="array" ref="G87">IF(TRIM(P87)="","",IF(SUM(COUNTIF(P87,{"*NLGD*","*FWG*"}))&gt;0,P87,IF(SUM(COUNTIF(P87,{"*GL*","*DGB*","*DGI*","*GT*","*CS*","*PWU*","*DBI*","*SWU*"}))=0,P87,IF(IFERROR(VALUE(SUBSTITUTE(SUBSTITUTE(O87,"W",""),"""","")),0)&gt;52,P87&amp;"-OVRSIZE-",P87))))</f>
        <v/>
      </c>
      <c r="H87" s="15" t="str">
        <v/>
      </c>
      <c r="I87" s="15" t="str">
        <v/>
      </c>
      <c r="J87" s="15" t="str">
        <v/>
      </c>
      <c r="K87" s="15" t="str">
        <v/>
      </c>
      <c r="L87" s="15" t="str">
        <v/>
      </c>
      <c r="M87" s="10" t="str">
        <v/>
      </c>
      <c r="N87" s="14"/>
      <c r="O87" s="15" t="str" cm="1">
        <f t="array" ref="O87">IFERROR(_xlfn.LET(
_xlpm.clean,TRIM(SUBSTITUTE(SUBSTITUTE(P87,CHAR(160),"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" s="15"/>
      <c r="R87" t="str">
        <v/>
      </c>
      <c r="S87" t="str">
        <f t="shared" si="2"/>
        <v/>
      </c>
    </row>
    <row r="88" spans="1:19" ht="12.75">
      <c r="A88" s="15" t="str">
        <v/>
      </c>
      <c r="B88" s="15" t="str">
        <v/>
      </c>
      <c r="C88" s="15" t="str" cm="1">
        <f t="array" ref="C88">IFERROR(_xlfn.TEXTJOIN("",TRUE,_xlfn._xlws.FILTER(MID(S88,_xlfn.SEQUENCE(LEN(S88)),1),ISNUMBER(SEARCH(MID(S88,_xlfn.SEQUENCE(LEN(S88)),1),"ABCDEFGHIJKLMNOPQRSTUVWXYZabcdefghijklmnopqrstuvwxyz0123456789,")))),"")</f>
        <v/>
      </c>
      <c r="D88" s="15" t="str">
        <v/>
      </c>
      <c r="E88" s="16" t="str">
        <v/>
      </c>
      <c r="F88" s="15" t="str">
        <v/>
      </c>
      <c r="G88" s="20" t="str" cm="1">
        <f t="array" ref="G88">IF(TRIM(P88)="","",IF(SUM(COUNTIF(P88,{"*NLGD*","*FWG*"}))&gt;0,P88,IF(SUM(COUNTIF(P88,{"*GL*","*DGB*","*DGI*","*GT*","*CS*","*PWU*","*DBI*","*SWU*"}))=0,P88,IF(IFERROR(VALUE(SUBSTITUTE(SUBSTITUTE(O88,"W",""),"""","")),0)&gt;52,P88&amp;"-OVRSIZE-",P88))))</f>
        <v/>
      </c>
      <c r="H88" s="15" t="str">
        <v/>
      </c>
      <c r="I88" s="15" t="str">
        <v/>
      </c>
      <c r="J88" s="15" t="str">
        <v/>
      </c>
      <c r="K88" s="15" t="str">
        <v/>
      </c>
      <c r="L88" s="15" t="str">
        <v/>
      </c>
      <c r="M88" s="10" t="str">
        <v/>
      </c>
      <c r="N88" s="14"/>
      <c r="O88" s="15" t="str" cm="1">
        <f t="array" ref="O88">IFERROR(_xlfn.LET(
_xlpm.clean,TRIM(SUBSTITUTE(SUBSTITUTE(P88,CHAR(160),"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" s="15"/>
      <c r="R88" t="str">
        <v/>
      </c>
      <c r="S88" t="str">
        <f t="shared" si="2"/>
        <v/>
      </c>
    </row>
    <row r="89" spans="1:19" ht="12.75">
      <c r="A89" s="15" t="str">
        <v/>
      </c>
      <c r="B89" s="15" t="str">
        <v/>
      </c>
      <c r="C89" s="15" t="str" cm="1">
        <f t="array" ref="C89">IFERROR(_xlfn.TEXTJOIN("",TRUE,_xlfn._xlws.FILTER(MID(S89,_xlfn.SEQUENCE(LEN(S89)),1),ISNUMBER(SEARCH(MID(S89,_xlfn.SEQUENCE(LEN(S89)),1),"ABCDEFGHIJKLMNOPQRSTUVWXYZabcdefghijklmnopqrstuvwxyz0123456789,")))),"")</f>
        <v/>
      </c>
      <c r="D89" s="15" t="str">
        <v/>
      </c>
      <c r="E89" s="16" t="str">
        <v/>
      </c>
      <c r="F89" s="15" t="str">
        <v/>
      </c>
      <c r="G89" s="20" t="str" cm="1">
        <f t="array" ref="G89">IF(TRIM(P89)="","",IF(SUM(COUNTIF(P89,{"*NLGD*","*FWG*"}))&gt;0,P89,IF(SUM(COUNTIF(P89,{"*GL*","*DGB*","*DGI*","*GT*","*CS*","*PWU*","*DBI*","*SWU*"}))=0,P89,IF(IFERROR(VALUE(SUBSTITUTE(SUBSTITUTE(O89,"W",""),"""","")),0)&gt;52,P89&amp;"-OVRSIZE-",P89))))</f>
        <v/>
      </c>
      <c r="H89" s="15" t="str">
        <v/>
      </c>
      <c r="I89" s="15" t="str">
        <v/>
      </c>
      <c r="J89" s="15" t="str">
        <v/>
      </c>
      <c r="K89" s="15" t="str">
        <v/>
      </c>
      <c r="L89" s="15" t="str">
        <v/>
      </c>
      <c r="M89" s="10" t="str">
        <v/>
      </c>
      <c r="N89" s="14"/>
      <c r="O89" s="15" t="str" cm="1">
        <f t="array" ref="O89">IFERROR(_xlfn.LET(
_xlpm.clean,TRIM(SUBSTITUTE(SUBSTITUTE(P89,CHAR(160),"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" s="15"/>
      <c r="R89" t="str">
        <v/>
      </c>
      <c r="S89" t="str">
        <f t="shared" si="2"/>
        <v/>
      </c>
    </row>
    <row r="90" spans="1:19" ht="12.75">
      <c r="A90" s="15" t="str">
        <v/>
      </c>
      <c r="B90" s="15" t="str">
        <v/>
      </c>
      <c r="C90" s="15" t="str" cm="1">
        <f t="array" ref="C90">IFERROR(_xlfn.TEXTJOIN("",TRUE,_xlfn._xlws.FILTER(MID(S90,_xlfn.SEQUENCE(LEN(S90)),1),ISNUMBER(SEARCH(MID(S90,_xlfn.SEQUENCE(LEN(S90)),1),"ABCDEFGHIJKLMNOPQRSTUVWXYZabcdefghijklmnopqrstuvwxyz0123456789,")))),"")</f>
        <v/>
      </c>
      <c r="D90" s="15" t="str">
        <v/>
      </c>
      <c r="E90" s="16" t="str">
        <v/>
      </c>
      <c r="F90" s="15" t="str">
        <v/>
      </c>
      <c r="G90" s="20" t="str" cm="1">
        <f t="array" ref="G90">IF(TRIM(P90)="","",IF(SUM(COUNTIF(P90,{"*NLGD*","*FWG*"}))&gt;0,P90,IF(SUM(COUNTIF(P90,{"*GL*","*DGB*","*DGI*","*GT*","*CS*","*PWU*","*DBI*","*SWU*"}))=0,P90,IF(IFERROR(VALUE(SUBSTITUTE(SUBSTITUTE(O90,"W",""),"""","")),0)&gt;52,P90&amp;"-OVRSIZE-",P90))))</f>
        <v/>
      </c>
      <c r="H90" s="15" t="str">
        <v/>
      </c>
      <c r="I90" s="15" t="str">
        <v/>
      </c>
      <c r="J90" s="15" t="str">
        <v/>
      </c>
      <c r="K90" s="15" t="str">
        <v/>
      </c>
      <c r="L90" s="15" t="str">
        <v/>
      </c>
      <c r="M90" s="10" t="str">
        <v/>
      </c>
      <c r="N90" s="14"/>
      <c r="O90" s="15" t="str" cm="1">
        <f t="array" ref="O90">IFERROR(_xlfn.LET(
_xlpm.clean,TRIM(SUBSTITUTE(SUBSTITUTE(P90,CHAR(160),"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" s="15"/>
      <c r="R90" t="str">
        <v/>
      </c>
      <c r="S90" t="str">
        <f t="shared" si="2"/>
        <v/>
      </c>
    </row>
    <row r="91" spans="1:19" ht="12.75">
      <c r="A91" s="15" t="str">
        <v/>
      </c>
      <c r="B91" s="15" t="str">
        <v/>
      </c>
      <c r="C91" s="15" t="str" cm="1">
        <f t="array" ref="C91">IFERROR(_xlfn.TEXTJOIN("",TRUE,_xlfn._xlws.FILTER(MID(S91,_xlfn.SEQUENCE(LEN(S91)),1),ISNUMBER(SEARCH(MID(S91,_xlfn.SEQUENCE(LEN(S91)),1),"ABCDEFGHIJKLMNOPQRSTUVWXYZabcdefghijklmnopqrstuvwxyz0123456789,")))),"")</f>
        <v/>
      </c>
      <c r="D91" s="15" t="str">
        <v/>
      </c>
      <c r="E91" s="16" t="str">
        <v/>
      </c>
      <c r="F91" s="15" t="str">
        <v/>
      </c>
      <c r="G91" s="20" t="str" cm="1">
        <f t="array" ref="G91">IF(TRIM(P91)="","",IF(SUM(COUNTIF(P91,{"*NLGD*","*FWG*"}))&gt;0,P91,IF(SUM(COUNTIF(P91,{"*GL*","*DGB*","*DGI*","*GT*","*CS*","*PWU*","*DBI*","*SWU*"}))=0,P91,IF(IFERROR(VALUE(SUBSTITUTE(SUBSTITUTE(O91,"W",""),"""","")),0)&gt;52,P91&amp;"-OVRSIZE-",P91))))</f>
        <v/>
      </c>
      <c r="H91" s="15" t="str">
        <v/>
      </c>
      <c r="I91" s="15" t="str">
        <v/>
      </c>
      <c r="J91" s="15" t="str">
        <v/>
      </c>
      <c r="K91" s="15" t="str">
        <v/>
      </c>
      <c r="L91" s="15" t="str">
        <v/>
      </c>
      <c r="M91" s="10" t="str">
        <v/>
      </c>
      <c r="N91" s="14"/>
      <c r="O91" s="15" t="str" cm="1">
        <f t="array" ref="O91">IFERROR(_xlfn.LET(
_xlpm.clean,TRIM(SUBSTITUTE(SUBSTITUTE(P91,CHAR(160),"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" s="15"/>
      <c r="R91" t="str">
        <v/>
      </c>
      <c r="S91" t="str">
        <f t="shared" si="2"/>
        <v/>
      </c>
    </row>
    <row r="92" spans="1:19" ht="12.75">
      <c r="A92" s="15" t="str">
        <v/>
      </c>
      <c r="B92" s="15" t="str">
        <v/>
      </c>
      <c r="C92" s="15" t="str" cm="1">
        <f t="array" ref="C92">IFERROR(_xlfn.TEXTJOIN("",TRUE,_xlfn._xlws.FILTER(MID(S92,_xlfn.SEQUENCE(LEN(S92)),1),ISNUMBER(SEARCH(MID(S92,_xlfn.SEQUENCE(LEN(S92)),1),"ABCDEFGHIJKLMNOPQRSTUVWXYZabcdefghijklmnopqrstuvwxyz0123456789,")))),"")</f>
        <v/>
      </c>
      <c r="D92" s="15" t="str">
        <v/>
      </c>
      <c r="E92" s="16" t="str">
        <v/>
      </c>
      <c r="F92" s="15" t="str">
        <v/>
      </c>
      <c r="G92" s="20" t="str" cm="1">
        <f t="array" ref="G92">IF(TRIM(P92)="","",IF(SUM(COUNTIF(P92,{"*NLGD*","*FWG*"}))&gt;0,P92,IF(SUM(COUNTIF(P92,{"*GL*","*DGB*","*DGI*","*GT*","*CS*","*PWU*","*DBI*","*SWU*"}))=0,P92,IF(IFERROR(VALUE(SUBSTITUTE(SUBSTITUTE(O92,"W",""),"""","")),0)&gt;52,P92&amp;"-OVRSIZE-",P92))))</f>
        <v/>
      </c>
      <c r="H92" s="15" t="str">
        <v/>
      </c>
      <c r="I92" s="15" t="str">
        <v/>
      </c>
      <c r="J92" s="15" t="str">
        <v/>
      </c>
      <c r="K92" s="15" t="str">
        <v/>
      </c>
      <c r="L92" s="15" t="str">
        <v/>
      </c>
      <c r="M92" s="10" t="str">
        <v/>
      </c>
      <c r="N92" s="14"/>
      <c r="O92" s="15" t="str" cm="1">
        <f t="array" ref="O92">IFERROR(_xlfn.LET(
_xlpm.clean,TRIM(SUBSTITUTE(SUBSTITUTE(P92,CHAR(160),"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" s="15"/>
      <c r="R92" t="str">
        <v/>
      </c>
      <c r="S92" t="str">
        <f t="shared" si="2"/>
        <v/>
      </c>
    </row>
    <row r="93" spans="1:19" ht="12.75">
      <c r="A93" s="15" t="str">
        <v/>
      </c>
      <c r="B93" s="15" t="str">
        <v/>
      </c>
      <c r="C93" s="15" t="str" cm="1">
        <f t="array" ref="C93">IFERROR(_xlfn.TEXTJOIN("",TRUE,_xlfn._xlws.FILTER(MID(S93,_xlfn.SEQUENCE(LEN(S93)),1),ISNUMBER(SEARCH(MID(S93,_xlfn.SEQUENCE(LEN(S93)),1),"ABCDEFGHIJKLMNOPQRSTUVWXYZabcdefghijklmnopqrstuvwxyz0123456789,")))),"")</f>
        <v/>
      </c>
      <c r="D93" s="15" t="str">
        <v/>
      </c>
      <c r="E93" s="16" t="str">
        <v/>
      </c>
      <c r="F93" s="15" t="str">
        <v/>
      </c>
      <c r="G93" s="20" t="str" cm="1">
        <f t="array" ref="G93">IF(TRIM(P93)="","",IF(SUM(COUNTIF(P93,{"*NLGD*","*FWG*"}))&gt;0,P93,IF(SUM(COUNTIF(P93,{"*GL*","*DGB*","*DGI*","*GT*","*CS*","*PWU*","*DBI*","*SWU*"}))=0,P93,IF(IFERROR(VALUE(SUBSTITUTE(SUBSTITUTE(O93,"W",""),"""","")),0)&gt;52,P93&amp;"-OVRSIZE-",P93))))</f>
        <v/>
      </c>
      <c r="H93" s="15" t="str">
        <v/>
      </c>
      <c r="I93" s="15" t="str">
        <v/>
      </c>
      <c r="J93" s="15" t="str">
        <v/>
      </c>
      <c r="K93" s="15" t="str">
        <v/>
      </c>
      <c r="L93" s="15" t="str">
        <v/>
      </c>
      <c r="M93" s="10" t="str">
        <v/>
      </c>
      <c r="N93" s="14"/>
      <c r="O93" s="15" t="str" cm="1">
        <f t="array" ref="O93">IFERROR(_xlfn.LET(
_xlpm.clean,TRIM(SUBSTITUTE(SUBSTITUTE(P93,CHAR(160),"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" s="15"/>
      <c r="R93" t="str">
        <v/>
      </c>
      <c r="S93" t="str">
        <f t="shared" si="2"/>
        <v/>
      </c>
    </row>
    <row r="94" spans="1:19" ht="12.75">
      <c r="A94" s="15" t="str">
        <v/>
      </c>
      <c r="B94" s="15" t="str">
        <v/>
      </c>
      <c r="C94" s="15" t="str" cm="1">
        <f t="array" ref="C94">IFERROR(_xlfn.TEXTJOIN("",TRUE,_xlfn._xlws.FILTER(MID(S94,_xlfn.SEQUENCE(LEN(S94)),1),ISNUMBER(SEARCH(MID(S94,_xlfn.SEQUENCE(LEN(S94)),1),"ABCDEFGHIJKLMNOPQRSTUVWXYZabcdefghijklmnopqrstuvwxyz0123456789,")))),"")</f>
        <v/>
      </c>
      <c r="D94" s="15" t="str">
        <v/>
      </c>
      <c r="E94" s="16" t="str">
        <v/>
      </c>
      <c r="F94" s="15" t="str">
        <v/>
      </c>
      <c r="G94" s="20" t="str" cm="1">
        <f t="array" ref="G94">IF(TRIM(P94)="","",IF(SUM(COUNTIF(P94,{"*NLGD*","*FWG*"}))&gt;0,P94,IF(SUM(COUNTIF(P94,{"*GL*","*DGB*","*DGI*","*GT*","*CS*","*PWU*","*DBI*","*SWU*"}))=0,P94,IF(IFERROR(VALUE(SUBSTITUTE(SUBSTITUTE(O94,"W",""),"""","")),0)&gt;52,P94&amp;"-OVRSIZE-",P94))))</f>
        <v/>
      </c>
      <c r="H94" s="15" t="str">
        <v/>
      </c>
      <c r="I94" s="15" t="str">
        <v/>
      </c>
      <c r="J94" s="15" t="str">
        <v/>
      </c>
      <c r="K94" s="15" t="str">
        <v/>
      </c>
      <c r="L94" s="15" t="str">
        <v/>
      </c>
      <c r="M94" s="10" t="str">
        <v/>
      </c>
      <c r="N94" s="14"/>
      <c r="O94" s="15" t="str" cm="1">
        <f t="array" ref="O94">IFERROR(_xlfn.LET(
_xlpm.clean,TRIM(SUBSTITUTE(SUBSTITUTE(P94,CHAR(160),"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" s="15"/>
      <c r="R94" t="str">
        <v/>
      </c>
      <c r="S94" t="str">
        <f t="shared" si="2"/>
        <v/>
      </c>
    </row>
    <row r="95" spans="1:19" ht="12.75">
      <c r="A95" s="15" t="str">
        <v/>
      </c>
      <c r="B95" s="15" t="str">
        <v/>
      </c>
      <c r="C95" s="15" t="str" cm="1">
        <f t="array" ref="C95">IFERROR(_xlfn.TEXTJOIN("",TRUE,_xlfn._xlws.FILTER(MID(S95,_xlfn.SEQUENCE(LEN(S95)),1),ISNUMBER(SEARCH(MID(S95,_xlfn.SEQUENCE(LEN(S95)),1),"ABCDEFGHIJKLMNOPQRSTUVWXYZabcdefghijklmnopqrstuvwxyz0123456789,")))),"")</f>
        <v/>
      </c>
      <c r="D95" s="15" t="str">
        <v/>
      </c>
      <c r="E95" s="16" t="str">
        <v/>
      </c>
      <c r="F95" s="15" t="str">
        <v/>
      </c>
      <c r="G95" s="20" t="str" cm="1">
        <f t="array" ref="G95">IF(TRIM(P95)="","",IF(SUM(COUNTIF(P95,{"*NLGD*","*FWG*"}))&gt;0,P95,IF(SUM(COUNTIF(P95,{"*GL*","*DGB*","*DGI*","*GT*","*CS*","*PWU*","*DBI*","*SWU*"}))=0,P95,IF(IFERROR(VALUE(SUBSTITUTE(SUBSTITUTE(O95,"W",""),"""","")),0)&gt;52,P95&amp;"-OVRSIZE-",P95))))</f>
        <v/>
      </c>
      <c r="H95" s="15" t="str">
        <v/>
      </c>
      <c r="I95" s="15" t="str">
        <v/>
      </c>
      <c r="J95" s="15" t="str">
        <v/>
      </c>
      <c r="K95" s="15" t="str">
        <v/>
      </c>
      <c r="L95" s="15" t="str">
        <v/>
      </c>
      <c r="M95" s="10" t="str">
        <v/>
      </c>
      <c r="N95" s="14"/>
      <c r="O95" s="15" t="str" cm="1">
        <f t="array" ref="O95">IFERROR(_xlfn.LET(
_xlpm.clean,TRIM(SUBSTITUTE(SUBSTITUTE(P95,CHAR(160),"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" s="15"/>
      <c r="R95" t="str">
        <v/>
      </c>
      <c r="S95" t="str">
        <f t="shared" si="2"/>
        <v/>
      </c>
    </row>
    <row r="96" spans="1:19" ht="12.75">
      <c r="A96" s="15" t="str">
        <v/>
      </c>
      <c r="B96" s="15" t="str">
        <v/>
      </c>
      <c r="C96" s="15" t="str" cm="1">
        <f t="array" ref="C96">IFERROR(_xlfn.TEXTJOIN("",TRUE,_xlfn._xlws.FILTER(MID(S96,_xlfn.SEQUENCE(LEN(S96)),1),ISNUMBER(SEARCH(MID(S96,_xlfn.SEQUENCE(LEN(S96)),1),"ABCDEFGHIJKLMNOPQRSTUVWXYZabcdefghijklmnopqrstuvwxyz0123456789,")))),"")</f>
        <v/>
      </c>
      <c r="D96" s="15" t="str">
        <v/>
      </c>
      <c r="E96" s="16" t="str">
        <v/>
      </c>
      <c r="F96" s="15" t="str">
        <v/>
      </c>
      <c r="G96" s="20" t="str" cm="1">
        <f t="array" ref="G96">IF(TRIM(P96)="","",IF(SUM(COUNTIF(P96,{"*NLGD*","*FWG*"}))&gt;0,P96,IF(SUM(COUNTIF(P96,{"*GL*","*DGB*","*DGI*","*GT*","*CS*","*PWU*","*DBI*","*SWU*"}))=0,P96,IF(IFERROR(VALUE(SUBSTITUTE(SUBSTITUTE(O96,"W",""),"""","")),0)&gt;52,P96&amp;"-OVRSIZE-",P96))))</f>
        <v/>
      </c>
      <c r="H96" s="15" t="str">
        <v/>
      </c>
      <c r="I96" s="15" t="str">
        <v/>
      </c>
      <c r="J96" s="15" t="str">
        <v/>
      </c>
      <c r="K96" s="15" t="str">
        <v/>
      </c>
      <c r="L96" s="15" t="str">
        <v/>
      </c>
      <c r="M96" s="10" t="str">
        <v/>
      </c>
      <c r="N96" s="14"/>
      <c r="O96" s="15" t="str" cm="1">
        <f t="array" ref="O96">IFERROR(_xlfn.LET(
_xlpm.clean,TRIM(SUBSTITUTE(SUBSTITUTE(P96,CHAR(160),"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" s="15"/>
      <c r="R96" t="str">
        <v/>
      </c>
      <c r="S96" t="str">
        <f t="shared" si="2"/>
        <v/>
      </c>
    </row>
    <row r="97" spans="1:19" ht="12.75">
      <c r="A97" s="15" t="str">
        <v/>
      </c>
      <c r="B97" s="15" t="str">
        <v/>
      </c>
      <c r="C97" s="15" t="str" cm="1">
        <f t="array" ref="C97">IFERROR(_xlfn.TEXTJOIN("",TRUE,_xlfn._xlws.FILTER(MID(S97,_xlfn.SEQUENCE(LEN(S97)),1),ISNUMBER(SEARCH(MID(S97,_xlfn.SEQUENCE(LEN(S97)),1),"ABCDEFGHIJKLMNOPQRSTUVWXYZabcdefghijklmnopqrstuvwxyz0123456789,")))),"")</f>
        <v/>
      </c>
      <c r="D97" s="15" t="str">
        <v/>
      </c>
      <c r="E97" s="16" t="str">
        <v/>
      </c>
      <c r="F97" s="15" t="str">
        <v/>
      </c>
      <c r="G97" s="20" t="str" cm="1">
        <f t="array" ref="G97">IF(TRIM(P97)="","",IF(SUM(COUNTIF(P97,{"*NLGD*","*FWG*"}))&gt;0,P97,IF(SUM(COUNTIF(P97,{"*GL*","*DGB*","*DGI*","*GT*","*CS*","*PWU*","*DBI*","*SWU*"}))=0,P97,IF(IFERROR(VALUE(SUBSTITUTE(SUBSTITUTE(O97,"W",""),"""","")),0)&gt;52,P97&amp;"-OVRSIZE-",P97))))</f>
        <v/>
      </c>
      <c r="H97" s="15" t="str">
        <v/>
      </c>
      <c r="I97" s="15" t="str">
        <v/>
      </c>
      <c r="J97" s="15" t="str">
        <v/>
      </c>
      <c r="K97" s="15" t="str">
        <v/>
      </c>
      <c r="L97" s="15" t="str">
        <v/>
      </c>
      <c r="M97" s="10" t="str">
        <v/>
      </c>
      <c r="N97" s="14"/>
      <c r="O97" s="15" t="str" cm="1">
        <f t="array" ref="O97">IFERROR(_xlfn.LET(
_xlpm.clean,TRIM(SUBSTITUTE(SUBSTITUTE(P97,CHAR(160),"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" s="15"/>
      <c r="R97" t="str">
        <v/>
      </c>
      <c r="S97" t="str">
        <f t="shared" si="2"/>
        <v/>
      </c>
    </row>
    <row r="98" spans="1:19" ht="12.75">
      <c r="A98" s="15" t="str">
        <v/>
      </c>
      <c r="B98" s="15" t="str">
        <v/>
      </c>
      <c r="C98" s="15" t="str" cm="1">
        <f t="array" ref="C98">IFERROR(_xlfn.TEXTJOIN("",TRUE,_xlfn._xlws.FILTER(MID(S98,_xlfn.SEQUENCE(LEN(S98)),1),ISNUMBER(SEARCH(MID(S98,_xlfn.SEQUENCE(LEN(S98)),1),"ABCDEFGHIJKLMNOPQRSTUVWXYZabcdefghijklmnopqrstuvwxyz0123456789,")))),"")</f>
        <v/>
      </c>
      <c r="D98" s="15" t="str">
        <v/>
      </c>
      <c r="E98" s="16" t="str">
        <v/>
      </c>
      <c r="F98" s="15" t="str">
        <v/>
      </c>
      <c r="G98" s="20" t="str" cm="1">
        <f t="array" ref="G98">IF(TRIM(P98)="","",IF(SUM(COUNTIF(P98,{"*NLGD*","*FWG*"}))&gt;0,P98,IF(SUM(COUNTIF(P98,{"*GL*","*DGB*","*DGI*","*GT*","*CS*","*PWU*","*DBI*","*SWU*"}))=0,P98,IF(IFERROR(VALUE(SUBSTITUTE(SUBSTITUTE(O98,"W",""),"""","")),0)&gt;52,P98&amp;"-OVRSIZE-",P98))))</f>
        <v/>
      </c>
      <c r="H98" s="15" t="str">
        <v/>
      </c>
      <c r="I98" s="15" t="str">
        <v/>
      </c>
      <c r="J98" s="15" t="str">
        <v/>
      </c>
      <c r="K98" s="15" t="str">
        <v/>
      </c>
      <c r="L98" s="15" t="str">
        <v/>
      </c>
      <c r="M98" s="10" t="str">
        <v/>
      </c>
      <c r="N98" s="14"/>
      <c r="O98" s="15" t="str" cm="1">
        <f t="array" ref="O98">IFERROR(_xlfn.LET(
_xlpm.clean,TRIM(SUBSTITUTE(SUBSTITUTE(P98,CHAR(160),"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" s="15"/>
      <c r="R98" t="str">
        <v/>
      </c>
      <c r="S98" t="str">
        <f t="shared" si="2"/>
        <v/>
      </c>
    </row>
    <row r="99" spans="1:19" ht="12.75">
      <c r="A99" s="15" t="str">
        <v/>
      </c>
      <c r="B99" s="15" t="str">
        <v/>
      </c>
      <c r="C99" s="15" t="str" cm="1">
        <f t="array" ref="C99">IFERROR(_xlfn.TEXTJOIN("",TRUE,_xlfn._xlws.FILTER(MID(S99,_xlfn.SEQUENCE(LEN(S99)),1),ISNUMBER(SEARCH(MID(S99,_xlfn.SEQUENCE(LEN(S99)),1),"ABCDEFGHIJKLMNOPQRSTUVWXYZabcdefghijklmnopqrstuvwxyz0123456789,")))),"")</f>
        <v/>
      </c>
      <c r="D99" s="15" t="str">
        <v/>
      </c>
      <c r="E99" s="16" t="str">
        <v/>
      </c>
      <c r="F99" s="15" t="str">
        <v/>
      </c>
      <c r="G99" s="20" t="str" cm="1">
        <f t="array" ref="G99">IF(TRIM(P99)="","",IF(SUM(COUNTIF(P99,{"*NLGD*","*FWG*"}))&gt;0,P99,IF(SUM(COUNTIF(P99,{"*GL*","*DGB*","*DGI*","*GT*","*CS*","*PWU*","*DBI*","*SWU*"}))=0,P99,IF(IFERROR(VALUE(SUBSTITUTE(SUBSTITUTE(O99,"W",""),"""","")),0)&gt;52,P99&amp;"-OVRSIZE-",P99))))</f>
        <v/>
      </c>
      <c r="H99" s="15" t="str">
        <v/>
      </c>
      <c r="I99" s="15" t="str">
        <v/>
      </c>
      <c r="J99" s="15" t="str">
        <v/>
      </c>
      <c r="K99" s="15" t="str">
        <v/>
      </c>
      <c r="L99" s="15" t="str">
        <v/>
      </c>
      <c r="M99" s="10" t="str">
        <v/>
      </c>
      <c r="N99" s="14"/>
      <c r="O99" s="15" t="str" cm="1">
        <f t="array" ref="O99">IFERROR(_xlfn.LET(
_xlpm.clean,TRIM(SUBSTITUTE(SUBSTITUTE(P99,CHAR(160),"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" s="15"/>
      <c r="R99" t="str">
        <v/>
      </c>
      <c r="S99" t="str">
        <f t="shared" si="2"/>
        <v/>
      </c>
    </row>
    <row r="100" spans="1:19" ht="12.75">
      <c r="A100" s="15" t="str">
        <v/>
      </c>
      <c r="B100" s="15" t="str">
        <v/>
      </c>
      <c r="C100" s="15" t="str" cm="1">
        <f t="array" ref="C100">IFERROR(_xlfn.TEXTJOIN("",TRUE,_xlfn._xlws.FILTER(MID(S100,_xlfn.SEQUENCE(LEN(S100)),1),ISNUMBER(SEARCH(MID(S100,_xlfn.SEQUENCE(LEN(S100)),1),"ABCDEFGHIJKLMNOPQRSTUVWXYZabcdefghijklmnopqrstuvwxyz0123456789,")))),"")</f>
        <v/>
      </c>
      <c r="D100" s="15" t="str">
        <v/>
      </c>
      <c r="E100" s="16" t="str">
        <v/>
      </c>
      <c r="F100" s="15" t="str">
        <v/>
      </c>
      <c r="G100" s="20" t="str" cm="1">
        <f t="array" ref="G100">IF(TRIM(P100)="","",IF(SUM(COUNTIF(P100,{"*NLGD*","*FWG*"}))&gt;0,P100,IF(SUM(COUNTIF(P100,{"*GL*","*DGB*","*DGI*","*GT*","*CS*","*PWU*","*DBI*","*SWU*"}))=0,P100,IF(IFERROR(VALUE(SUBSTITUTE(SUBSTITUTE(O100,"W",""),"""","")),0)&gt;52,P100&amp;"-OVRSIZE-",P100))))</f>
        <v/>
      </c>
      <c r="H100" s="15" t="str">
        <v/>
      </c>
      <c r="I100" s="15" t="str">
        <v/>
      </c>
      <c r="J100" s="15" t="str">
        <v/>
      </c>
      <c r="K100" s="15" t="str">
        <v/>
      </c>
      <c r="L100" s="15" t="str">
        <v/>
      </c>
      <c r="M100" s="10" t="str">
        <v/>
      </c>
      <c r="N100" s="14"/>
      <c r="O100" s="15" t="str" cm="1">
        <f t="array" ref="O100">IFERROR(_xlfn.LET(
_xlpm.clean,TRIM(SUBSTITUTE(SUBSTITUTE(P100,CHAR(160),"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0" s="15"/>
      <c r="R100" t="str">
        <v/>
      </c>
      <c r="S100" t="str">
        <f t="shared" si="2"/>
        <v/>
      </c>
    </row>
    <row r="101" spans="1:19" ht="12.75">
      <c r="A101" s="15" t="str">
        <v/>
      </c>
      <c r="B101" s="15" t="str">
        <v/>
      </c>
      <c r="C101" s="15" t="str" cm="1">
        <f t="array" ref="C101">IFERROR(_xlfn.TEXTJOIN("",TRUE,_xlfn._xlws.FILTER(MID(S101,_xlfn.SEQUENCE(LEN(S101)),1),ISNUMBER(SEARCH(MID(S101,_xlfn.SEQUENCE(LEN(S101)),1),"ABCDEFGHIJKLMNOPQRSTUVWXYZabcdefghijklmnopqrstuvwxyz0123456789,")))),"")</f>
        <v/>
      </c>
      <c r="D101" s="15" t="str">
        <v/>
      </c>
      <c r="E101" s="16" t="str">
        <v/>
      </c>
      <c r="F101" s="15" t="str">
        <v/>
      </c>
      <c r="G101" s="20" t="str" cm="1">
        <f t="array" ref="G101">IF(TRIM(P101)="","",IF(SUM(COUNTIF(P101,{"*NLGD*","*FWG*"}))&gt;0,P101,IF(SUM(COUNTIF(P101,{"*GL*","*DGB*","*DGI*","*GT*","*CS*","*PWU*","*DBI*","*SWU*"}))=0,P101,IF(IFERROR(VALUE(SUBSTITUTE(SUBSTITUTE(O101,"W",""),"""","")),0)&gt;52,P101&amp;"-OVRSIZE-",P101))))</f>
        <v/>
      </c>
      <c r="H101" s="15" t="str">
        <v/>
      </c>
      <c r="I101" s="15" t="str">
        <v/>
      </c>
      <c r="J101" s="15" t="str">
        <v/>
      </c>
      <c r="K101" s="15" t="str">
        <v/>
      </c>
      <c r="L101" s="15" t="str">
        <v/>
      </c>
      <c r="M101" s="10" t="str">
        <v/>
      </c>
      <c r="N101" s="14"/>
      <c r="O101" s="15" t="str" cm="1">
        <f t="array" ref="O101">IFERROR(_xlfn.LET(
_xlpm.clean,TRIM(SUBSTITUTE(SUBSTITUTE(P101,CHAR(160),"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1" s="15"/>
      <c r="R101" t="str">
        <v/>
      </c>
      <c r="S101" t="str">
        <f t="shared" si="2"/>
        <v/>
      </c>
    </row>
    <row r="102" spans="1:19" ht="12.75">
      <c r="A102" s="15" t="str">
        <v/>
      </c>
      <c r="B102" s="15" t="str">
        <v/>
      </c>
      <c r="C102" s="15" t="str" cm="1">
        <f t="array" ref="C102">IFERROR(_xlfn.TEXTJOIN("",TRUE,_xlfn._xlws.FILTER(MID(S102,_xlfn.SEQUENCE(LEN(S102)),1),ISNUMBER(SEARCH(MID(S102,_xlfn.SEQUENCE(LEN(S102)),1),"ABCDEFGHIJKLMNOPQRSTUVWXYZabcdefghijklmnopqrstuvwxyz0123456789,")))),"")</f>
        <v/>
      </c>
      <c r="D102" s="15" t="str">
        <v/>
      </c>
      <c r="E102" s="16" t="str">
        <v/>
      </c>
      <c r="F102" s="15" t="str">
        <v/>
      </c>
      <c r="G102" s="20" t="str" cm="1">
        <f t="array" ref="G102">IF(TRIM(P102)="","",IF(SUM(COUNTIF(P102,{"*NLGD*","*FWG*"}))&gt;0,P102,IF(SUM(COUNTIF(P102,{"*GL*","*DGB*","*DGI*","*GT*","*CS*","*PWU*","*DBI*","*SWU*"}))=0,P102,IF(IFERROR(VALUE(SUBSTITUTE(SUBSTITUTE(O102,"W",""),"""","")),0)&gt;52,P102&amp;"-OVRSIZE-",P102))))</f>
        <v/>
      </c>
      <c r="H102" s="15" t="str">
        <v/>
      </c>
      <c r="I102" s="15" t="str">
        <v/>
      </c>
      <c r="J102" s="15" t="str">
        <v/>
      </c>
      <c r="K102" s="15" t="str">
        <v/>
      </c>
      <c r="L102" s="15" t="str">
        <v/>
      </c>
      <c r="M102" s="10" t="str">
        <v/>
      </c>
      <c r="N102" s="14"/>
      <c r="O102" s="15" t="str" cm="1">
        <f t="array" ref="O102">IFERROR(_xlfn.LET(
_xlpm.clean,TRIM(SUBSTITUTE(SUBSTITUTE(P102,CHAR(160),"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2" s="15"/>
      <c r="R102" t="str">
        <v/>
      </c>
      <c r="S102" t="str">
        <f t="shared" si="2"/>
        <v/>
      </c>
    </row>
    <row r="103" spans="1:19" ht="12.75">
      <c r="A103" s="15" t="str">
        <v/>
      </c>
      <c r="B103" s="15" t="str">
        <v/>
      </c>
      <c r="C103" s="15" t="str" cm="1">
        <f t="array" ref="C103">IFERROR(_xlfn.TEXTJOIN("",TRUE,_xlfn._xlws.FILTER(MID(S103,_xlfn.SEQUENCE(LEN(S103)),1),ISNUMBER(SEARCH(MID(S103,_xlfn.SEQUENCE(LEN(S103)),1),"ABCDEFGHIJKLMNOPQRSTUVWXYZabcdefghijklmnopqrstuvwxyz0123456789,")))),"")</f>
        <v/>
      </c>
      <c r="D103" s="15" t="str">
        <v/>
      </c>
      <c r="E103" s="16" t="str">
        <v/>
      </c>
      <c r="F103" s="15" t="str">
        <v/>
      </c>
      <c r="G103" s="20" t="str" cm="1">
        <f t="array" ref="G103">IF(TRIM(P103)="","",IF(SUM(COUNTIF(P103,{"*NLGD*","*FWG*"}))&gt;0,P103,IF(SUM(COUNTIF(P103,{"*GL*","*DGB*","*DGI*","*GT*","*CS*","*PWU*","*DBI*","*SWU*"}))=0,P103,IF(IFERROR(VALUE(SUBSTITUTE(SUBSTITUTE(O103,"W",""),"""","")),0)&gt;52,P103&amp;"-OVRSIZE-",P103))))</f>
        <v/>
      </c>
      <c r="H103" s="15" t="str">
        <v/>
      </c>
      <c r="I103" s="15" t="str">
        <v/>
      </c>
      <c r="J103" s="15" t="str">
        <v/>
      </c>
      <c r="K103" s="15" t="str">
        <v/>
      </c>
      <c r="L103" s="15" t="str">
        <v/>
      </c>
      <c r="M103" s="10" t="str">
        <v/>
      </c>
      <c r="N103" s="14"/>
      <c r="O103" s="15" t="str" cm="1">
        <f t="array" ref="O103">IFERROR(_xlfn.LET(
_xlpm.clean,TRIM(SUBSTITUTE(SUBSTITUTE(P103,CHAR(160),"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3" s="15"/>
      <c r="R103" t="str">
        <v/>
      </c>
      <c r="S103" t="str">
        <f t="shared" si="2"/>
        <v/>
      </c>
    </row>
    <row r="104" spans="1:19" ht="12.75">
      <c r="A104" s="15" t="str">
        <v/>
      </c>
      <c r="B104" s="15" t="str">
        <v/>
      </c>
      <c r="C104" s="15" t="str" cm="1">
        <f t="array" ref="C104">IFERROR(_xlfn.TEXTJOIN("",TRUE,_xlfn._xlws.FILTER(MID(S104,_xlfn.SEQUENCE(LEN(S104)),1),ISNUMBER(SEARCH(MID(S104,_xlfn.SEQUENCE(LEN(S104)),1),"ABCDEFGHIJKLMNOPQRSTUVWXYZabcdefghijklmnopqrstuvwxyz0123456789,")))),"")</f>
        <v/>
      </c>
      <c r="D104" s="15" t="str">
        <v/>
      </c>
      <c r="E104" s="16" t="str">
        <v/>
      </c>
      <c r="F104" s="15" t="str">
        <v/>
      </c>
      <c r="G104" s="20" t="str" cm="1">
        <f t="array" ref="G104">IF(TRIM(P104)="","",IF(SUM(COUNTIF(P104,{"*NLGD*","*FWG*"}))&gt;0,P104,IF(SUM(COUNTIF(P104,{"*GL*","*DGB*","*DGI*","*GT*","*CS*","*PWU*","*DBI*","*SWU*"}))=0,P104,IF(IFERROR(VALUE(SUBSTITUTE(SUBSTITUTE(O104,"W",""),"""","")),0)&gt;52,P104&amp;"-OVRSIZE-",P104))))</f>
        <v/>
      </c>
      <c r="H104" s="15" t="str">
        <v/>
      </c>
      <c r="I104" s="15" t="str">
        <v/>
      </c>
      <c r="J104" s="15" t="str">
        <v/>
      </c>
      <c r="K104" s="15" t="str">
        <v/>
      </c>
      <c r="L104" s="15" t="str">
        <v/>
      </c>
      <c r="M104" s="10" t="str">
        <v/>
      </c>
      <c r="N104" s="14"/>
      <c r="O104" s="15" t="str" cm="1">
        <f t="array" ref="O104">IFERROR(_xlfn.LET(
_xlpm.clean,TRIM(SUBSTITUTE(SUBSTITUTE(P104,CHAR(160),"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4" s="15"/>
      <c r="R104" t="str">
        <v/>
      </c>
      <c r="S104" t="str">
        <f t="shared" si="2"/>
        <v/>
      </c>
    </row>
    <row r="105" spans="1:19" ht="12.75">
      <c r="A105" s="15" t="str">
        <v/>
      </c>
      <c r="B105" s="15" t="str">
        <v/>
      </c>
      <c r="C105" s="15" t="str" cm="1">
        <f t="array" ref="C105">IFERROR(_xlfn.TEXTJOIN("",TRUE,_xlfn._xlws.FILTER(MID(S105,_xlfn.SEQUENCE(LEN(S105)),1),ISNUMBER(SEARCH(MID(S105,_xlfn.SEQUENCE(LEN(S105)),1),"ABCDEFGHIJKLMNOPQRSTUVWXYZabcdefghijklmnopqrstuvwxyz0123456789,")))),"")</f>
        <v/>
      </c>
      <c r="D105" s="15" t="str">
        <v/>
      </c>
      <c r="E105" s="16" t="str">
        <v/>
      </c>
      <c r="F105" s="15" t="str">
        <v/>
      </c>
      <c r="G105" s="20" t="str" cm="1">
        <f t="array" ref="G105">IF(TRIM(P105)="","",IF(SUM(COUNTIF(P105,{"*NLGD*","*FWG*"}))&gt;0,P105,IF(SUM(COUNTIF(P105,{"*GL*","*DGB*","*DGI*","*GT*","*CS*","*PWU*","*DBI*","*SWU*"}))=0,P105,IF(IFERROR(VALUE(SUBSTITUTE(SUBSTITUTE(O105,"W",""),"""","")),0)&gt;52,P105&amp;"-OVRSIZE-",P105))))</f>
        <v/>
      </c>
      <c r="H105" s="15" t="str">
        <v/>
      </c>
      <c r="I105" s="15" t="str">
        <v/>
      </c>
      <c r="J105" s="15" t="str">
        <v/>
      </c>
      <c r="K105" s="15" t="str">
        <v/>
      </c>
      <c r="L105" s="15" t="str">
        <v/>
      </c>
      <c r="M105" s="10" t="str">
        <v/>
      </c>
      <c r="N105" s="14"/>
      <c r="O105" s="15" t="str" cm="1">
        <f t="array" ref="O105">IFERROR(_xlfn.LET(
_xlpm.clean,TRIM(SUBSTITUTE(SUBSTITUTE(P105,CHAR(160),"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5" s="15"/>
      <c r="R105" t="str">
        <v/>
      </c>
      <c r="S105" t="str">
        <f t="shared" si="2"/>
        <v/>
      </c>
    </row>
    <row r="106" spans="1:19" ht="12.75">
      <c r="A106" s="15" t="str">
        <v/>
      </c>
      <c r="B106" s="15" t="str">
        <v/>
      </c>
      <c r="C106" s="15" t="str" cm="1">
        <f t="array" ref="C106">IFERROR(_xlfn.TEXTJOIN("",TRUE,_xlfn._xlws.FILTER(MID(S106,_xlfn.SEQUENCE(LEN(S106)),1),ISNUMBER(SEARCH(MID(S106,_xlfn.SEQUENCE(LEN(S106)),1),"ABCDEFGHIJKLMNOPQRSTUVWXYZabcdefghijklmnopqrstuvwxyz0123456789,")))),"")</f>
        <v/>
      </c>
      <c r="D106" s="15" t="str">
        <v/>
      </c>
      <c r="E106" s="16" t="str">
        <v/>
      </c>
      <c r="F106" s="15" t="str">
        <v/>
      </c>
      <c r="G106" s="20" t="str" cm="1">
        <f t="array" ref="G106">IF(TRIM(P106)="","",IF(SUM(COUNTIF(P106,{"*NLGD*","*FWG*"}))&gt;0,P106,IF(SUM(COUNTIF(P106,{"*GL*","*DGB*","*DGI*","*GT*","*CS*","*PWU*","*DBI*","*SWU*"}))=0,P106,IF(IFERROR(VALUE(SUBSTITUTE(SUBSTITUTE(O106,"W",""),"""","")),0)&gt;52,P106&amp;"-OVRSIZE-",P106))))</f>
        <v/>
      </c>
      <c r="H106" s="15" t="str">
        <v/>
      </c>
      <c r="I106" s="15" t="str">
        <v/>
      </c>
      <c r="J106" s="15" t="str">
        <v/>
      </c>
      <c r="K106" s="15" t="str">
        <v/>
      </c>
      <c r="L106" s="15" t="str">
        <v/>
      </c>
      <c r="M106" s="10" t="str">
        <v/>
      </c>
      <c r="N106" s="14"/>
      <c r="O106" s="15" t="str" cm="1">
        <f t="array" ref="O106">IFERROR(_xlfn.LET(
_xlpm.clean,TRIM(SUBSTITUTE(SUBSTITUTE(P106,CHAR(160),"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6" s="15"/>
      <c r="R106" t="str">
        <v/>
      </c>
      <c r="S106" t="str">
        <f t="shared" si="2"/>
        <v/>
      </c>
    </row>
    <row r="107" spans="1:19" ht="12.75">
      <c r="A107" s="15" t="str">
        <v/>
      </c>
      <c r="B107" s="15" t="str">
        <v/>
      </c>
      <c r="C107" s="15" t="str" cm="1">
        <f t="array" ref="C107">IFERROR(_xlfn.TEXTJOIN("",TRUE,_xlfn._xlws.FILTER(MID(S107,_xlfn.SEQUENCE(LEN(S107)),1),ISNUMBER(SEARCH(MID(S107,_xlfn.SEQUENCE(LEN(S107)),1),"ABCDEFGHIJKLMNOPQRSTUVWXYZabcdefghijklmnopqrstuvwxyz0123456789,")))),"")</f>
        <v/>
      </c>
      <c r="D107" s="15" t="str">
        <v/>
      </c>
      <c r="E107" s="16" t="str">
        <v/>
      </c>
      <c r="F107" s="15" t="str">
        <v/>
      </c>
      <c r="G107" s="20" t="str" cm="1">
        <f t="array" ref="G107">IF(TRIM(P107)="","",IF(SUM(COUNTIF(P107,{"*NLGD*","*FWG*"}))&gt;0,P107,IF(SUM(COUNTIF(P107,{"*GL*","*DGB*","*DGI*","*GT*","*CS*","*PWU*","*DBI*","*SWU*"}))=0,P107,IF(IFERROR(VALUE(SUBSTITUTE(SUBSTITUTE(O107,"W",""),"""","")),0)&gt;52,P107&amp;"-OVRSIZE-",P107))))</f>
        <v/>
      </c>
      <c r="H107" s="15" t="str">
        <v/>
      </c>
      <c r="I107" s="15" t="str">
        <v/>
      </c>
      <c r="J107" s="15" t="str">
        <v/>
      </c>
      <c r="K107" s="15" t="str">
        <v/>
      </c>
      <c r="L107" s="15" t="str">
        <v/>
      </c>
      <c r="M107" s="10" t="str">
        <v/>
      </c>
      <c r="N107" s="14"/>
      <c r="O107" s="15" t="str" cm="1">
        <f t="array" ref="O107">IFERROR(_xlfn.LET(
_xlpm.clean,TRIM(SUBSTITUTE(SUBSTITUTE(P107,CHAR(160),"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7" s="15"/>
      <c r="R107" t="str">
        <v/>
      </c>
      <c r="S107" t="str">
        <f t="shared" si="2"/>
        <v/>
      </c>
    </row>
    <row r="108" spans="1:19" ht="12.75">
      <c r="A108" s="15" t="str">
        <v/>
      </c>
      <c r="B108" s="15" t="str">
        <v/>
      </c>
      <c r="C108" s="15" t="str" cm="1">
        <f t="array" ref="C108">IFERROR(_xlfn.TEXTJOIN("",TRUE,_xlfn._xlws.FILTER(MID(S108,_xlfn.SEQUENCE(LEN(S108)),1),ISNUMBER(SEARCH(MID(S108,_xlfn.SEQUENCE(LEN(S108)),1),"ABCDEFGHIJKLMNOPQRSTUVWXYZabcdefghijklmnopqrstuvwxyz0123456789,")))),"")</f>
        <v/>
      </c>
      <c r="D108" s="15" t="str">
        <v/>
      </c>
      <c r="E108" s="16" t="str">
        <v/>
      </c>
      <c r="F108" s="15" t="str">
        <v/>
      </c>
      <c r="G108" s="20" t="str" cm="1">
        <f t="array" ref="G108">IF(TRIM(P108)="","",IF(SUM(COUNTIF(P108,{"*NLGD*","*FWG*"}))&gt;0,P108,IF(SUM(COUNTIF(P108,{"*GL*","*DGB*","*DGI*","*GT*","*CS*","*PWU*","*DBI*","*SWU*"}))=0,P108,IF(IFERROR(VALUE(SUBSTITUTE(SUBSTITUTE(O108,"W",""),"""","")),0)&gt;52,P108&amp;"-OVRSIZE-",P108))))</f>
        <v/>
      </c>
      <c r="H108" s="15" t="str">
        <v/>
      </c>
      <c r="I108" s="15" t="str">
        <v/>
      </c>
      <c r="J108" s="15" t="str">
        <v/>
      </c>
      <c r="K108" s="15" t="str">
        <v/>
      </c>
      <c r="L108" s="15" t="str">
        <v/>
      </c>
      <c r="M108" s="10" t="str">
        <v/>
      </c>
      <c r="N108" s="14"/>
      <c r="O108" s="15" t="str" cm="1">
        <f t="array" ref="O108">IFERROR(_xlfn.LET(
_xlpm.clean,TRIM(SUBSTITUTE(SUBSTITUTE(P108,CHAR(160),"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8" s="15"/>
      <c r="R108" t="str">
        <v/>
      </c>
      <c r="S108" t="str">
        <f t="shared" si="2"/>
        <v/>
      </c>
    </row>
    <row r="109" spans="1:19" ht="12.75">
      <c r="A109" s="15" t="str">
        <v/>
      </c>
      <c r="B109" s="15" t="str">
        <v/>
      </c>
      <c r="C109" s="15" t="str" cm="1">
        <f t="array" ref="C109">IFERROR(_xlfn.TEXTJOIN("",TRUE,_xlfn._xlws.FILTER(MID(S109,_xlfn.SEQUENCE(LEN(S109)),1),ISNUMBER(SEARCH(MID(S109,_xlfn.SEQUENCE(LEN(S109)),1),"ABCDEFGHIJKLMNOPQRSTUVWXYZabcdefghijklmnopqrstuvwxyz0123456789,")))),"")</f>
        <v/>
      </c>
      <c r="D109" s="15" t="str">
        <v/>
      </c>
      <c r="E109" s="16" t="str">
        <v/>
      </c>
      <c r="F109" s="15" t="str">
        <v/>
      </c>
      <c r="G109" s="20" t="str" cm="1">
        <f t="array" ref="G109">IF(TRIM(P109)="","",IF(SUM(COUNTIF(P109,{"*NLGD*","*FWG*"}))&gt;0,P109,IF(SUM(COUNTIF(P109,{"*GL*","*DGB*","*DGI*","*GT*","*CS*","*PWU*","*DBI*","*SWU*"}))=0,P109,IF(IFERROR(VALUE(SUBSTITUTE(SUBSTITUTE(O109,"W",""),"""","")),0)&gt;52,P109&amp;"-OVRSIZE-",P109))))</f>
        <v/>
      </c>
      <c r="H109" s="15" t="str">
        <v/>
      </c>
      <c r="I109" s="15" t="str">
        <v/>
      </c>
      <c r="J109" s="15" t="str">
        <v/>
      </c>
      <c r="K109" s="15" t="str">
        <v/>
      </c>
      <c r="L109" s="15" t="str">
        <v/>
      </c>
      <c r="M109" s="10" t="str">
        <v/>
      </c>
      <c r="N109" s="14"/>
      <c r="O109" s="15" t="str" cm="1">
        <f t="array" ref="O109">IFERROR(_xlfn.LET(
_xlpm.clean,TRIM(SUBSTITUTE(SUBSTITUTE(P109,CHAR(160),"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9" s="15"/>
      <c r="R109" t="str">
        <v/>
      </c>
      <c r="S109" t="str">
        <f t="shared" si="2"/>
        <v/>
      </c>
    </row>
    <row r="110" spans="1:19" ht="12.75">
      <c r="A110" s="15" t="str">
        <v/>
      </c>
      <c r="B110" s="15" t="str">
        <v/>
      </c>
      <c r="C110" s="15" t="str" cm="1">
        <f t="array" ref="C110">IFERROR(_xlfn.TEXTJOIN("",TRUE,_xlfn._xlws.FILTER(MID(S110,_xlfn.SEQUENCE(LEN(S110)),1),ISNUMBER(SEARCH(MID(S110,_xlfn.SEQUENCE(LEN(S110)),1),"ABCDEFGHIJKLMNOPQRSTUVWXYZabcdefghijklmnopqrstuvwxyz0123456789,")))),"")</f>
        <v/>
      </c>
      <c r="D110" s="15" t="str">
        <v/>
      </c>
      <c r="E110" s="16" t="str">
        <v/>
      </c>
      <c r="F110" s="15" t="str">
        <v/>
      </c>
      <c r="G110" s="20" t="str" cm="1">
        <f t="array" ref="G110">IF(TRIM(P110)="","",IF(SUM(COUNTIF(P110,{"*NLGD*","*FWG*"}))&gt;0,P110,IF(SUM(COUNTIF(P110,{"*GL*","*DGB*","*DGI*","*GT*","*CS*","*PWU*","*DBI*","*SWU*"}))=0,P110,IF(IFERROR(VALUE(SUBSTITUTE(SUBSTITUTE(O110,"W",""),"""","")),0)&gt;52,P110&amp;"-OVRSIZE-",P110))))</f>
        <v/>
      </c>
      <c r="H110" s="15" t="str">
        <v/>
      </c>
      <c r="I110" s="15" t="str">
        <v/>
      </c>
      <c r="J110" s="15" t="str">
        <v/>
      </c>
      <c r="K110" s="15" t="str">
        <v/>
      </c>
      <c r="L110" s="15" t="str">
        <v/>
      </c>
      <c r="M110" s="10" t="str">
        <v/>
      </c>
      <c r="N110" s="14"/>
      <c r="O110" s="15" t="str" cm="1">
        <f t="array" ref="O110">IFERROR(_xlfn.LET(
_xlpm.clean,TRIM(SUBSTITUTE(SUBSTITUTE(P110,CHAR(160),"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0" s="15"/>
      <c r="R110" t="str">
        <v/>
      </c>
      <c r="S110" t="str">
        <f t="shared" si="2"/>
        <v/>
      </c>
    </row>
    <row r="111" spans="1:19" ht="12.75">
      <c r="A111" s="15" t="str">
        <v/>
      </c>
      <c r="B111" s="15" t="str">
        <v/>
      </c>
      <c r="C111" s="15" t="str" cm="1">
        <f t="array" ref="C111">IFERROR(_xlfn.TEXTJOIN("",TRUE,_xlfn._xlws.FILTER(MID(S111,_xlfn.SEQUENCE(LEN(S111)),1),ISNUMBER(SEARCH(MID(S111,_xlfn.SEQUENCE(LEN(S111)),1),"ABCDEFGHIJKLMNOPQRSTUVWXYZabcdefghijklmnopqrstuvwxyz0123456789,")))),"")</f>
        <v/>
      </c>
      <c r="D111" s="15" t="str">
        <v/>
      </c>
      <c r="E111" s="16" t="str">
        <v/>
      </c>
      <c r="F111" s="15" t="str">
        <v/>
      </c>
      <c r="G111" s="20" t="str" cm="1">
        <f t="array" ref="G111">IF(TRIM(P111)="","",IF(SUM(COUNTIF(P111,{"*NLGD*","*FWG*"}))&gt;0,P111,IF(SUM(COUNTIF(P111,{"*GL*","*DGB*","*DGI*","*GT*","*CS*","*PWU*","*DBI*","*SWU*"}))=0,P111,IF(IFERROR(VALUE(SUBSTITUTE(SUBSTITUTE(O111,"W",""),"""","")),0)&gt;52,P111&amp;"-OVRSIZE-",P111))))</f>
        <v/>
      </c>
      <c r="H111" s="15" t="str">
        <v/>
      </c>
      <c r="I111" s="15" t="str">
        <v/>
      </c>
      <c r="J111" s="15" t="str">
        <v/>
      </c>
      <c r="K111" s="15" t="str">
        <v/>
      </c>
      <c r="L111" s="15" t="str">
        <v/>
      </c>
      <c r="M111" s="10" t="str">
        <v/>
      </c>
      <c r="N111" s="14"/>
      <c r="O111" s="15" t="str" cm="1">
        <f t="array" ref="O111">IFERROR(_xlfn.LET(
_xlpm.clean,TRIM(SUBSTITUTE(SUBSTITUTE(P111,CHAR(160),"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1" s="15"/>
      <c r="R111" t="str">
        <v/>
      </c>
      <c r="S111" t="str">
        <f t="shared" si="2"/>
        <v/>
      </c>
    </row>
    <row r="112" spans="1:19" ht="12.75">
      <c r="A112" s="15" t="str">
        <v/>
      </c>
      <c r="B112" s="15" t="str">
        <v/>
      </c>
      <c r="C112" s="15" t="str" cm="1">
        <f t="array" ref="C112">IFERROR(_xlfn.TEXTJOIN("",TRUE,_xlfn._xlws.FILTER(MID(S112,_xlfn.SEQUENCE(LEN(S112)),1),ISNUMBER(SEARCH(MID(S112,_xlfn.SEQUENCE(LEN(S112)),1),"ABCDEFGHIJKLMNOPQRSTUVWXYZabcdefghijklmnopqrstuvwxyz0123456789,")))),"")</f>
        <v/>
      </c>
      <c r="D112" s="15" t="str">
        <v/>
      </c>
      <c r="E112" s="16" t="str">
        <v/>
      </c>
      <c r="F112" s="15" t="str">
        <v/>
      </c>
      <c r="G112" s="20" t="str" cm="1">
        <f t="array" ref="G112">IF(TRIM(P112)="","",IF(SUM(COUNTIF(P112,{"*NLGD*","*FWG*"}))&gt;0,P112,IF(SUM(COUNTIF(P112,{"*GL*","*DGB*","*DGI*","*GT*","*CS*","*PWU*","*DBI*","*SWU*"}))=0,P112,IF(IFERROR(VALUE(SUBSTITUTE(SUBSTITUTE(O112,"W",""),"""","")),0)&gt;52,P112&amp;"-OVRSIZE-",P112))))</f>
        <v/>
      </c>
      <c r="H112" s="15" t="str">
        <v/>
      </c>
      <c r="I112" s="15" t="str">
        <v/>
      </c>
      <c r="J112" s="15" t="str">
        <v/>
      </c>
      <c r="K112" s="15" t="str">
        <v/>
      </c>
      <c r="L112" s="15" t="str">
        <v/>
      </c>
      <c r="M112" s="10" t="str">
        <v/>
      </c>
      <c r="N112" s="14"/>
      <c r="O112" s="15" t="str" cm="1">
        <f t="array" ref="O112">IFERROR(_xlfn.LET(
_xlpm.clean,TRIM(SUBSTITUTE(SUBSTITUTE(P112,CHAR(160),"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2" s="15"/>
      <c r="R112" t="str">
        <v/>
      </c>
      <c r="S112" t="str">
        <f t="shared" si="2"/>
        <v/>
      </c>
    </row>
    <row r="113" spans="1:19" ht="12.75">
      <c r="A113" s="15" t="str">
        <v/>
      </c>
      <c r="B113" s="15" t="str">
        <v/>
      </c>
      <c r="C113" s="15" t="str" cm="1">
        <f t="array" ref="C113">IFERROR(_xlfn.TEXTJOIN("",TRUE,_xlfn._xlws.FILTER(MID(S113,_xlfn.SEQUENCE(LEN(S113)),1),ISNUMBER(SEARCH(MID(S113,_xlfn.SEQUENCE(LEN(S113)),1),"ABCDEFGHIJKLMNOPQRSTUVWXYZabcdefghijklmnopqrstuvwxyz0123456789,")))),"")</f>
        <v/>
      </c>
      <c r="D113" s="15" t="str">
        <v/>
      </c>
      <c r="E113" s="16" t="str">
        <v/>
      </c>
      <c r="F113" s="15" t="str">
        <v/>
      </c>
      <c r="G113" s="20" t="str" cm="1">
        <f t="array" ref="G113">IF(TRIM(P113)="","",IF(SUM(COUNTIF(P113,{"*NLGD*","*FWG*"}))&gt;0,P113,IF(SUM(COUNTIF(P113,{"*GL*","*DGB*","*DGI*","*GT*","*CS*","*PWU*","*DBI*","*SWU*"}))=0,P113,IF(IFERROR(VALUE(SUBSTITUTE(SUBSTITUTE(O113,"W",""),"""","")),0)&gt;52,P113&amp;"-OVRSIZE-",P113))))</f>
        <v/>
      </c>
      <c r="H113" s="15" t="str">
        <v/>
      </c>
      <c r="I113" s="15" t="str">
        <v/>
      </c>
      <c r="J113" s="15" t="str">
        <v/>
      </c>
      <c r="K113" s="15" t="str">
        <v/>
      </c>
      <c r="L113" s="15" t="str">
        <v/>
      </c>
      <c r="M113" s="10" t="str">
        <v/>
      </c>
      <c r="N113" s="14"/>
      <c r="O113" s="15" t="str" cm="1">
        <f t="array" ref="O113">IFERROR(_xlfn.LET(
_xlpm.clean,TRIM(SUBSTITUTE(SUBSTITUTE(P113,CHAR(160),"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3" s="15"/>
      <c r="R113" t="str">
        <v/>
      </c>
      <c r="S113" t="str">
        <f t="shared" si="2"/>
        <v/>
      </c>
    </row>
    <row r="114" spans="1:19" ht="12.75">
      <c r="A114" s="15" t="str">
        <v/>
      </c>
      <c r="B114" s="15" t="str">
        <v/>
      </c>
      <c r="C114" s="15" t="str" cm="1">
        <f t="array" ref="C114">IFERROR(_xlfn.TEXTJOIN("",TRUE,_xlfn._xlws.FILTER(MID(S114,_xlfn.SEQUENCE(LEN(S114)),1),ISNUMBER(SEARCH(MID(S114,_xlfn.SEQUENCE(LEN(S114)),1),"ABCDEFGHIJKLMNOPQRSTUVWXYZabcdefghijklmnopqrstuvwxyz0123456789,")))),"")</f>
        <v/>
      </c>
      <c r="D114" s="15" t="str">
        <v/>
      </c>
      <c r="E114" s="16" t="str">
        <v/>
      </c>
      <c r="F114" s="15" t="str">
        <v/>
      </c>
      <c r="G114" s="20" t="str" cm="1">
        <f t="array" ref="G114">IF(TRIM(P114)="","",IF(SUM(COUNTIF(P114,{"*NLGD*","*FWG*"}))&gt;0,P114,IF(SUM(COUNTIF(P114,{"*GL*","*DGB*","*DGI*","*GT*","*CS*","*PWU*","*DBI*","*SWU*"}))=0,P114,IF(IFERROR(VALUE(SUBSTITUTE(SUBSTITUTE(O114,"W",""),"""","")),0)&gt;52,P114&amp;"-OVRSIZE-",P114))))</f>
        <v/>
      </c>
      <c r="H114" s="15" t="str">
        <v/>
      </c>
      <c r="I114" s="15" t="str">
        <v/>
      </c>
      <c r="J114" s="15" t="str">
        <v/>
      </c>
      <c r="K114" s="15" t="str">
        <v/>
      </c>
      <c r="L114" s="15" t="str">
        <v/>
      </c>
      <c r="M114" s="10" t="str">
        <v/>
      </c>
      <c r="N114" s="14"/>
      <c r="O114" s="15" t="str" cm="1">
        <f t="array" ref="O114">IFERROR(_xlfn.LET(
_xlpm.clean,TRIM(SUBSTITUTE(SUBSTITUTE(P114,CHAR(160),"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4" s="15"/>
      <c r="R114" t="str">
        <v/>
      </c>
      <c r="S114" t="str">
        <f t="shared" si="2"/>
        <v/>
      </c>
    </row>
    <row r="115" spans="1:19" ht="12.75">
      <c r="A115" s="15" t="str">
        <v/>
      </c>
      <c r="B115" s="15" t="str">
        <v/>
      </c>
      <c r="C115" s="15" t="str" cm="1">
        <f t="array" ref="C115">IFERROR(_xlfn.TEXTJOIN("",TRUE,_xlfn._xlws.FILTER(MID(S115,_xlfn.SEQUENCE(LEN(S115)),1),ISNUMBER(SEARCH(MID(S115,_xlfn.SEQUENCE(LEN(S115)),1),"ABCDEFGHIJKLMNOPQRSTUVWXYZabcdefghijklmnopqrstuvwxyz0123456789,")))),"")</f>
        <v/>
      </c>
      <c r="D115" s="15" t="str">
        <v/>
      </c>
      <c r="E115" s="16" t="str">
        <v/>
      </c>
      <c r="F115" s="15" t="str">
        <v/>
      </c>
      <c r="G115" s="20" t="str" cm="1">
        <f t="array" ref="G115">IF(TRIM(P115)="","",IF(SUM(COUNTIF(P115,{"*NLGD*","*FWG*"}))&gt;0,P115,IF(SUM(COUNTIF(P115,{"*GL*","*DGB*","*DGI*","*GT*","*CS*","*PWU*","*DBI*","*SWU*"}))=0,P115,IF(IFERROR(VALUE(SUBSTITUTE(SUBSTITUTE(O115,"W",""),"""","")),0)&gt;52,P115&amp;"-OVRSIZE-",P115))))</f>
        <v/>
      </c>
      <c r="H115" s="15" t="str">
        <v/>
      </c>
      <c r="I115" s="15" t="str">
        <v/>
      </c>
      <c r="J115" s="15" t="str">
        <v/>
      </c>
      <c r="K115" s="15" t="str">
        <v/>
      </c>
      <c r="L115" s="15" t="str">
        <v/>
      </c>
      <c r="M115" s="10" t="str">
        <v/>
      </c>
      <c r="N115" s="14"/>
      <c r="O115" s="15" t="str" cm="1">
        <f t="array" ref="O115">IFERROR(_xlfn.LET(
_xlpm.clean,TRIM(SUBSTITUTE(SUBSTITUTE(P115,CHAR(160),"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5" s="15"/>
      <c r="R115" t="str">
        <v/>
      </c>
      <c r="S115" t="str">
        <f t="shared" si="2"/>
        <v/>
      </c>
    </row>
    <row r="116" spans="1:19" ht="12.75">
      <c r="A116" s="15" t="str">
        <v/>
      </c>
      <c r="B116" s="15" t="str">
        <v/>
      </c>
      <c r="C116" s="15" t="str" cm="1">
        <f t="array" ref="C116">IFERROR(_xlfn.TEXTJOIN("",TRUE,_xlfn._xlws.FILTER(MID(S116,_xlfn.SEQUENCE(LEN(S116)),1),ISNUMBER(SEARCH(MID(S116,_xlfn.SEQUENCE(LEN(S116)),1),"ABCDEFGHIJKLMNOPQRSTUVWXYZabcdefghijklmnopqrstuvwxyz0123456789,")))),"")</f>
        <v/>
      </c>
      <c r="D116" s="15" t="str">
        <v/>
      </c>
      <c r="E116" s="16" t="str">
        <v/>
      </c>
      <c r="F116" s="15" t="str">
        <v/>
      </c>
      <c r="G116" s="20" t="str" cm="1">
        <f t="array" ref="G116">IF(TRIM(P116)="","",IF(SUM(COUNTIF(P116,{"*NLGD*","*FWG*"}))&gt;0,P116,IF(SUM(COUNTIF(P116,{"*GL*","*DGB*","*DGI*","*GT*","*CS*","*PWU*","*DBI*","*SWU*"}))=0,P116,IF(IFERROR(VALUE(SUBSTITUTE(SUBSTITUTE(O116,"W",""),"""","")),0)&gt;52,P116&amp;"-OVRSIZE-",P116))))</f>
        <v/>
      </c>
      <c r="H116" s="15" t="str">
        <v/>
      </c>
      <c r="I116" s="15" t="str">
        <v/>
      </c>
      <c r="J116" s="15" t="str">
        <v/>
      </c>
      <c r="K116" s="15" t="str">
        <v/>
      </c>
      <c r="L116" s="15" t="str">
        <v/>
      </c>
      <c r="M116" s="10" t="str">
        <v/>
      </c>
      <c r="N116" s="14"/>
      <c r="O116" s="15" t="str" cm="1">
        <f t="array" ref="O116">IFERROR(_xlfn.LET(
_xlpm.clean,TRIM(SUBSTITUTE(SUBSTITUTE(P116,CHAR(160),"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6" s="15"/>
      <c r="R116" t="str">
        <v/>
      </c>
      <c r="S116" t="str">
        <f t="shared" si="2"/>
        <v/>
      </c>
    </row>
    <row r="117" spans="1:19" ht="12.75">
      <c r="A117" s="15" t="str">
        <v/>
      </c>
      <c r="B117" s="15" t="str">
        <v/>
      </c>
      <c r="C117" s="15" t="str" cm="1">
        <f t="array" ref="C117">IFERROR(_xlfn.TEXTJOIN("",TRUE,_xlfn._xlws.FILTER(MID(S117,_xlfn.SEQUENCE(LEN(S117)),1),ISNUMBER(SEARCH(MID(S117,_xlfn.SEQUENCE(LEN(S117)),1),"ABCDEFGHIJKLMNOPQRSTUVWXYZabcdefghijklmnopqrstuvwxyz0123456789,")))),"")</f>
        <v/>
      </c>
      <c r="D117" s="15" t="str">
        <v/>
      </c>
      <c r="E117" s="16" t="str">
        <v/>
      </c>
      <c r="F117" s="15" t="str">
        <v/>
      </c>
      <c r="G117" s="20" t="str" cm="1">
        <f t="array" ref="G117">IF(TRIM(P117)="","",IF(SUM(COUNTIF(P117,{"*NLGD*","*FWG*"}))&gt;0,P117,IF(SUM(COUNTIF(P117,{"*GL*","*DGB*","*DGI*","*GT*","*CS*","*PWU*","*DBI*","*SWU*"}))=0,P117,IF(IFERROR(VALUE(SUBSTITUTE(SUBSTITUTE(O117,"W",""),"""","")),0)&gt;52,P117&amp;"-OVRSIZE-",P117))))</f>
        <v/>
      </c>
      <c r="H117" s="15" t="str">
        <v/>
      </c>
      <c r="I117" s="15" t="str">
        <v/>
      </c>
      <c r="J117" s="15" t="str">
        <v/>
      </c>
      <c r="K117" s="15" t="str">
        <v/>
      </c>
      <c r="L117" s="15" t="str">
        <v/>
      </c>
      <c r="M117" s="10" t="str">
        <v/>
      </c>
      <c r="N117" s="14"/>
      <c r="O117" s="15" t="str" cm="1">
        <f t="array" ref="O117">IFERROR(_xlfn.LET(
_xlpm.clean,TRIM(SUBSTITUTE(SUBSTITUTE(P117,CHAR(160),"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7" s="15"/>
      <c r="R117" t="str">
        <v/>
      </c>
      <c r="S117" t="str">
        <f t="shared" si="2"/>
        <v/>
      </c>
    </row>
    <row r="118" spans="1:19" ht="12.75">
      <c r="A118" s="15" t="str">
        <v/>
      </c>
      <c r="B118" s="15" t="str">
        <v/>
      </c>
      <c r="C118" s="15" t="str" cm="1">
        <f t="array" ref="C118">IFERROR(_xlfn.TEXTJOIN("",TRUE,_xlfn._xlws.FILTER(MID(S118,_xlfn.SEQUENCE(LEN(S118)),1),ISNUMBER(SEARCH(MID(S118,_xlfn.SEQUENCE(LEN(S118)),1),"ABCDEFGHIJKLMNOPQRSTUVWXYZabcdefghijklmnopqrstuvwxyz0123456789,")))),"")</f>
        <v/>
      </c>
      <c r="D118" s="15" t="str">
        <v/>
      </c>
      <c r="E118" s="16" t="str">
        <v/>
      </c>
      <c r="F118" s="15" t="str">
        <v/>
      </c>
      <c r="G118" s="20" t="str" cm="1">
        <f t="array" ref="G118">IF(TRIM(P118)="","",IF(SUM(COUNTIF(P118,{"*NLGD*","*FWG*"}))&gt;0,P118,IF(SUM(COUNTIF(P118,{"*GL*","*DGB*","*DGI*","*GT*","*CS*","*PWU*","*DBI*","*SWU*"}))=0,P118,IF(IFERROR(VALUE(SUBSTITUTE(SUBSTITUTE(O118,"W",""),"""","")),0)&gt;52,P118&amp;"-OVRSIZE-",P118))))</f>
        <v/>
      </c>
      <c r="H118" s="15" t="str">
        <v/>
      </c>
      <c r="I118" s="15" t="str">
        <v/>
      </c>
      <c r="J118" s="15" t="str">
        <v/>
      </c>
      <c r="K118" s="15" t="str">
        <v/>
      </c>
      <c r="L118" s="15" t="str">
        <v/>
      </c>
      <c r="M118" s="10" t="str">
        <v/>
      </c>
      <c r="N118" s="14"/>
      <c r="O118" s="15" t="str" cm="1">
        <f t="array" ref="O118">IFERROR(_xlfn.LET(
_xlpm.clean,TRIM(SUBSTITUTE(SUBSTITUTE(P118,CHAR(160),"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8" s="15"/>
      <c r="R118" t="str">
        <v/>
      </c>
      <c r="S118" t="str">
        <f t="shared" si="2"/>
        <v/>
      </c>
    </row>
    <row r="119" spans="1:19" ht="12.75">
      <c r="A119" s="15" t="str">
        <v/>
      </c>
      <c r="B119" s="15" t="str">
        <v/>
      </c>
      <c r="C119" s="15" t="str" cm="1">
        <f t="array" ref="C119">IFERROR(_xlfn.TEXTJOIN("",TRUE,_xlfn._xlws.FILTER(MID(S119,_xlfn.SEQUENCE(LEN(S119)),1),ISNUMBER(SEARCH(MID(S119,_xlfn.SEQUENCE(LEN(S119)),1),"ABCDEFGHIJKLMNOPQRSTUVWXYZabcdefghijklmnopqrstuvwxyz0123456789,")))),"")</f>
        <v/>
      </c>
      <c r="D119" s="15" t="str">
        <v/>
      </c>
      <c r="E119" s="16" t="str">
        <v/>
      </c>
      <c r="F119" s="15" t="str">
        <v/>
      </c>
      <c r="G119" s="20" t="str" cm="1">
        <f t="array" ref="G119">IF(TRIM(P119)="","",IF(SUM(COUNTIF(P119,{"*NLGD*","*FWG*"}))&gt;0,P119,IF(SUM(COUNTIF(P119,{"*GL*","*DGB*","*DGI*","*GT*","*CS*","*PWU*","*DBI*","*SWU*"}))=0,P119,IF(IFERROR(VALUE(SUBSTITUTE(SUBSTITUTE(O119,"W",""),"""","")),0)&gt;52,P119&amp;"-OVRSIZE-",P119))))</f>
        <v/>
      </c>
      <c r="H119" s="15" t="str">
        <v/>
      </c>
      <c r="I119" s="15" t="str">
        <v/>
      </c>
      <c r="J119" s="15" t="str">
        <v/>
      </c>
      <c r="K119" s="15" t="str">
        <v/>
      </c>
      <c r="L119" s="15" t="str">
        <v/>
      </c>
      <c r="M119" s="10" t="str">
        <v/>
      </c>
      <c r="N119" s="14"/>
      <c r="O119" s="15" t="str" cm="1">
        <f t="array" ref="O119">IFERROR(_xlfn.LET(
_xlpm.clean,TRIM(SUBSTITUTE(SUBSTITUTE(P119,CHAR(160),"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9" s="15"/>
      <c r="R119" t="str">
        <v/>
      </c>
      <c r="S119" t="str">
        <f t="shared" si="2"/>
        <v/>
      </c>
    </row>
    <row r="120" spans="1:19" ht="12.75">
      <c r="A120" s="15" t="str">
        <v/>
      </c>
      <c r="B120" s="15" t="str">
        <v/>
      </c>
      <c r="C120" s="15" t="str" cm="1">
        <f t="array" ref="C120">IFERROR(_xlfn.TEXTJOIN("",TRUE,_xlfn._xlws.FILTER(MID(S120,_xlfn.SEQUENCE(LEN(S120)),1),ISNUMBER(SEARCH(MID(S120,_xlfn.SEQUENCE(LEN(S120)),1),"ABCDEFGHIJKLMNOPQRSTUVWXYZabcdefghijklmnopqrstuvwxyz0123456789,")))),"")</f>
        <v/>
      </c>
      <c r="D120" s="15" t="str">
        <v/>
      </c>
      <c r="E120" s="16" t="str">
        <v/>
      </c>
      <c r="F120" s="15" t="str">
        <v/>
      </c>
      <c r="G120" s="20" t="str" cm="1">
        <f t="array" ref="G120">IF(TRIM(P120)="","",IF(SUM(COUNTIF(P120,{"*NLGD*","*FWG*"}))&gt;0,P120,IF(SUM(COUNTIF(P120,{"*GL*","*DGB*","*DGI*","*GT*","*CS*","*PWU*","*DBI*","*SWU*"}))=0,P120,IF(IFERROR(VALUE(SUBSTITUTE(SUBSTITUTE(O120,"W",""),"""","")),0)&gt;52,P120&amp;"-OVRSIZE-",P120))))</f>
        <v/>
      </c>
      <c r="H120" s="15" t="str">
        <v/>
      </c>
      <c r="I120" s="15" t="str">
        <v/>
      </c>
      <c r="J120" s="15" t="str">
        <v/>
      </c>
      <c r="K120" s="15" t="str">
        <v/>
      </c>
      <c r="L120" s="15" t="str">
        <v/>
      </c>
      <c r="M120" s="10" t="str">
        <v/>
      </c>
      <c r="N120" s="14"/>
      <c r="O120" s="15" t="str" cm="1">
        <f t="array" ref="O120">IFERROR(_xlfn.LET(
_xlpm.clean,TRIM(SUBSTITUTE(SUBSTITUTE(P120,CHAR(160),"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0" s="15"/>
      <c r="R120" t="str">
        <v/>
      </c>
      <c r="S120" t="str">
        <f t="shared" si="2"/>
        <v/>
      </c>
    </row>
    <row r="121" spans="1:19" ht="12.75">
      <c r="A121" s="15" t="str">
        <v/>
      </c>
      <c r="B121" s="15" t="str">
        <v/>
      </c>
      <c r="C121" s="15" t="str" cm="1">
        <f t="array" ref="C121">IFERROR(_xlfn.TEXTJOIN("",TRUE,_xlfn._xlws.FILTER(MID(S121,_xlfn.SEQUENCE(LEN(S121)),1),ISNUMBER(SEARCH(MID(S121,_xlfn.SEQUENCE(LEN(S121)),1),"ABCDEFGHIJKLMNOPQRSTUVWXYZabcdefghijklmnopqrstuvwxyz0123456789,")))),"")</f>
        <v/>
      </c>
      <c r="D121" s="15" t="str">
        <v/>
      </c>
      <c r="E121" s="16" t="str">
        <v/>
      </c>
      <c r="F121" s="15" t="str">
        <v/>
      </c>
      <c r="G121" s="20" t="str" cm="1">
        <f t="array" ref="G121">IF(TRIM(P121)="","",IF(SUM(COUNTIF(P121,{"*NLGD*","*FWG*"}))&gt;0,P121,IF(SUM(COUNTIF(P121,{"*GL*","*DGB*","*DGI*","*GT*","*CS*","*PWU*","*DBI*","*SWU*"}))=0,P121,IF(IFERROR(VALUE(SUBSTITUTE(SUBSTITUTE(O121,"W",""),"""","")),0)&gt;52,P121&amp;"-OVRSIZE-",P121))))</f>
        <v/>
      </c>
      <c r="H121" s="15" t="str">
        <v/>
      </c>
      <c r="I121" s="15" t="str">
        <v/>
      </c>
      <c r="J121" s="15" t="str">
        <v/>
      </c>
      <c r="K121" s="15" t="str">
        <v/>
      </c>
      <c r="L121" s="15" t="str">
        <v/>
      </c>
      <c r="M121" s="10" t="str">
        <v/>
      </c>
      <c r="N121" s="14"/>
      <c r="O121" s="15" t="str" cm="1">
        <f t="array" ref="O121">IFERROR(_xlfn.LET(
_xlpm.clean,TRIM(SUBSTITUTE(SUBSTITUTE(P121,CHAR(160),"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1" s="15"/>
      <c r="R121" t="str">
        <v/>
      </c>
      <c r="S121" t="str">
        <f t="shared" si="2"/>
        <v/>
      </c>
    </row>
    <row r="122" spans="1:19" ht="12.75">
      <c r="A122" s="15" t="str">
        <v/>
      </c>
      <c r="B122" s="15" t="str">
        <v/>
      </c>
      <c r="C122" s="15" t="str" cm="1">
        <f t="array" ref="C122">IFERROR(_xlfn.TEXTJOIN("",TRUE,_xlfn._xlws.FILTER(MID(S122,_xlfn.SEQUENCE(LEN(S122)),1),ISNUMBER(SEARCH(MID(S122,_xlfn.SEQUENCE(LEN(S122)),1),"ABCDEFGHIJKLMNOPQRSTUVWXYZabcdefghijklmnopqrstuvwxyz0123456789,")))),"")</f>
        <v/>
      </c>
      <c r="D122" s="15" t="str">
        <v/>
      </c>
      <c r="E122" s="16" t="str">
        <v/>
      </c>
      <c r="F122" s="15" t="str">
        <v/>
      </c>
      <c r="G122" s="20" t="str" cm="1">
        <f t="array" ref="G122">IF(TRIM(P122)="","",IF(SUM(COUNTIF(P122,{"*NLGD*","*FWG*"}))&gt;0,P122,IF(SUM(COUNTIF(P122,{"*GL*","*DGB*","*DGI*","*GT*","*CS*","*PWU*","*DBI*","*SWU*"}))=0,P122,IF(IFERROR(VALUE(SUBSTITUTE(SUBSTITUTE(O122,"W",""),"""","")),0)&gt;52,P122&amp;"-OVRSIZE-",P122))))</f>
        <v/>
      </c>
      <c r="H122" s="15" t="str">
        <v/>
      </c>
      <c r="I122" s="15" t="str">
        <v/>
      </c>
      <c r="J122" s="15" t="str">
        <v/>
      </c>
      <c r="K122" s="15" t="str">
        <v/>
      </c>
      <c r="L122" s="15" t="str">
        <v/>
      </c>
      <c r="M122" s="10" t="str">
        <v/>
      </c>
      <c r="N122" s="14"/>
      <c r="O122" s="15" t="str" cm="1">
        <f t="array" ref="O122">IFERROR(_xlfn.LET(
_xlpm.clean,TRIM(SUBSTITUTE(SUBSTITUTE(P122,CHAR(160),"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2" s="15"/>
      <c r="R122" t="str">
        <v/>
      </c>
      <c r="S122" t="str">
        <f t="shared" si="2"/>
        <v/>
      </c>
    </row>
    <row r="123" spans="1:19" ht="12.75">
      <c r="A123" s="15" t="str">
        <v/>
      </c>
      <c r="B123" s="15" t="str">
        <v/>
      </c>
      <c r="C123" s="15" t="str" cm="1">
        <f t="array" ref="C123">IFERROR(_xlfn.TEXTJOIN("",TRUE,_xlfn._xlws.FILTER(MID(S123,_xlfn.SEQUENCE(LEN(S123)),1),ISNUMBER(SEARCH(MID(S123,_xlfn.SEQUENCE(LEN(S123)),1),"ABCDEFGHIJKLMNOPQRSTUVWXYZabcdefghijklmnopqrstuvwxyz0123456789,")))),"")</f>
        <v/>
      </c>
      <c r="D123" s="15" t="str">
        <v/>
      </c>
      <c r="E123" s="16" t="str">
        <v/>
      </c>
      <c r="F123" s="15" t="str">
        <v/>
      </c>
      <c r="G123" s="20" t="str" cm="1">
        <f t="array" ref="G123">IF(TRIM(P123)="","",IF(SUM(COUNTIF(P123,{"*NLGD*","*FWG*"}))&gt;0,P123,IF(SUM(COUNTIF(P123,{"*GL*","*DGB*","*DGI*","*GT*","*CS*","*PWU*","*DBI*","*SWU*"}))=0,P123,IF(IFERROR(VALUE(SUBSTITUTE(SUBSTITUTE(O123,"W",""),"""","")),0)&gt;52,P123&amp;"-OVRSIZE-",P123))))</f>
        <v/>
      </c>
      <c r="H123" s="15" t="str">
        <v/>
      </c>
      <c r="I123" s="15" t="str">
        <v/>
      </c>
      <c r="J123" s="15" t="str">
        <v/>
      </c>
      <c r="K123" s="15" t="str">
        <v/>
      </c>
      <c r="L123" s="15" t="str">
        <v/>
      </c>
      <c r="M123" s="10" t="str">
        <v/>
      </c>
      <c r="N123" s="14"/>
      <c r="O123" s="15" t="str" cm="1">
        <f t="array" ref="O123">IFERROR(_xlfn.LET(
_xlpm.clean,TRIM(SUBSTITUTE(SUBSTITUTE(P123,CHAR(160),"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3" s="15"/>
      <c r="R123" t="str">
        <v/>
      </c>
      <c r="S123" t="str">
        <f t="shared" si="2"/>
        <v/>
      </c>
    </row>
    <row r="124" spans="1:19" ht="12.75">
      <c r="A124" s="15" t="str">
        <v/>
      </c>
      <c r="B124" s="15" t="str">
        <v/>
      </c>
      <c r="C124" s="15" t="str" cm="1">
        <f t="array" ref="C124">IFERROR(_xlfn.TEXTJOIN("",TRUE,_xlfn._xlws.FILTER(MID(S124,_xlfn.SEQUENCE(LEN(S124)),1),ISNUMBER(SEARCH(MID(S124,_xlfn.SEQUENCE(LEN(S124)),1),"ABCDEFGHIJKLMNOPQRSTUVWXYZabcdefghijklmnopqrstuvwxyz0123456789,")))),"")</f>
        <v/>
      </c>
      <c r="D124" s="15" t="str">
        <v/>
      </c>
      <c r="E124" s="16" t="str">
        <v/>
      </c>
      <c r="F124" s="15" t="str">
        <v/>
      </c>
      <c r="G124" s="20" t="str" cm="1">
        <f t="array" ref="G124">IF(TRIM(P124)="","",IF(SUM(COUNTIF(P124,{"*NLGD*","*FWG*"}))&gt;0,P124,IF(SUM(COUNTIF(P124,{"*GL*","*DGB*","*DGI*","*GT*","*CS*","*PWU*","*DBI*","*SWU*"}))=0,P124,IF(IFERROR(VALUE(SUBSTITUTE(SUBSTITUTE(O124,"W",""),"""","")),0)&gt;52,P124&amp;"-OVRSIZE-",P124))))</f>
        <v/>
      </c>
      <c r="H124" s="15" t="str">
        <v/>
      </c>
      <c r="I124" s="15" t="str">
        <v/>
      </c>
      <c r="J124" s="15" t="str">
        <v/>
      </c>
      <c r="K124" s="15" t="str">
        <v/>
      </c>
      <c r="L124" s="15" t="str">
        <v/>
      </c>
      <c r="M124" s="10" t="str">
        <v/>
      </c>
      <c r="N124" s="14"/>
      <c r="O124" s="15" t="str" cm="1">
        <f t="array" ref="O124">IFERROR(_xlfn.LET(
_xlpm.clean,TRIM(SUBSTITUTE(SUBSTITUTE(P124,CHAR(160),"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4" s="15"/>
      <c r="R124" t="str">
        <v/>
      </c>
      <c r="S124" t="str">
        <f t="shared" si="2"/>
        <v/>
      </c>
    </row>
    <row r="125" spans="1:19" ht="12.75">
      <c r="A125" s="15" t="str">
        <v/>
      </c>
      <c r="B125" s="15" t="str">
        <v/>
      </c>
      <c r="C125" s="15" t="str" cm="1">
        <f t="array" ref="C125">IFERROR(_xlfn.TEXTJOIN("",TRUE,_xlfn._xlws.FILTER(MID(S125,_xlfn.SEQUENCE(LEN(S125)),1),ISNUMBER(SEARCH(MID(S125,_xlfn.SEQUENCE(LEN(S125)),1),"ABCDEFGHIJKLMNOPQRSTUVWXYZabcdefghijklmnopqrstuvwxyz0123456789,")))),"")</f>
        <v/>
      </c>
      <c r="D125" s="15" t="str">
        <v/>
      </c>
      <c r="E125" s="16" t="str">
        <v/>
      </c>
      <c r="F125" s="15" t="str">
        <v/>
      </c>
      <c r="G125" s="20" t="str" cm="1">
        <f t="array" ref="G125">IF(TRIM(P125)="","",IF(SUM(COUNTIF(P125,{"*NLGD*","*FWG*"}))&gt;0,P125,IF(SUM(COUNTIF(P125,{"*GL*","*DGB*","*DGI*","*GT*","*CS*","*PWU*","*DBI*","*SWU*"}))=0,P125,IF(IFERROR(VALUE(SUBSTITUTE(SUBSTITUTE(O125,"W",""),"""","")),0)&gt;52,P125&amp;"-OVRSIZE-",P125))))</f>
        <v/>
      </c>
      <c r="H125" s="15" t="str">
        <v/>
      </c>
      <c r="I125" s="15" t="str">
        <v/>
      </c>
      <c r="J125" s="15" t="str">
        <v/>
      </c>
      <c r="K125" s="15" t="str">
        <v/>
      </c>
      <c r="L125" s="15" t="str">
        <v/>
      </c>
      <c r="M125" s="10" t="str">
        <v/>
      </c>
      <c r="N125" s="14"/>
      <c r="O125" s="15" t="str" cm="1">
        <f t="array" ref="O125">IFERROR(_xlfn.LET(
_xlpm.clean,TRIM(SUBSTITUTE(SUBSTITUTE(P125,CHAR(160),"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5" s="15"/>
      <c r="R125" t="str">
        <v/>
      </c>
      <c r="S125" t="str">
        <f t="shared" si="2"/>
        <v/>
      </c>
    </row>
    <row r="126" spans="1:19" ht="12.75">
      <c r="A126" s="15" t="str">
        <v/>
      </c>
      <c r="B126" s="15" t="str">
        <v/>
      </c>
      <c r="C126" s="15" t="str" cm="1">
        <f t="array" ref="C126">IFERROR(_xlfn.TEXTJOIN("",TRUE,_xlfn._xlws.FILTER(MID(S126,_xlfn.SEQUENCE(LEN(S126)),1),ISNUMBER(SEARCH(MID(S126,_xlfn.SEQUENCE(LEN(S126)),1),"ABCDEFGHIJKLMNOPQRSTUVWXYZabcdefghijklmnopqrstuvwxyz0123456789,")))),"")</f>
        <v/>
      </c>
      <c r="D126" s="15" t="str">
        <v/>
      </c>
      <c r="E126" s="16" t="str">
        <v/>
      </c>
      <c r="F126" s="15" t="str">
        <v/>
      </c>
      <c r="G126" s="20" t="str" cm="1">
        <f t="array" ref="G126">IF(TRIM(P126)="","",IF(SUM(COUNTIF(P126,{"*NLGD*","*FWG*"}))&gt;0,P126,IF(SUM(COUNTIF(P126,{"*GL*","*DGB*","*DGI*","*GT*","*CS*","*PWU*","*DBI*","*SWU*"}))=0,P126,IF(IFERROR(VALUE(SUBSTITUTE(SUBSTITUTE(O126,"W",""),"""","")),0)&gt;52,P126&amp;"-OVRSIZE-",P126))))</f>
        <v/>
      </c>
      <c r="H126" s="15" t="str">
        <v/>
      </c>
      <c r="I126" s="15" t="str">
        <v/>
      </c>
      <c r="J126" s="15" t="str">
        <v/>
      </c>
      <c r="K126" s="15" t="str">
        <v/>
      </c>
      <c r="L126" s="15" t="str">
        <v/>
      </c>
      <c r="M126" s="10" t="str">
        <v/>
      </c>
      <c r="N126" s="14"/>
      <c r="O126" s="15" t="str" cm="1">
        <f t="array" ref="O126">IFERROR(_xlfn.LET(
_xlpm.clean,TRIM(SUBSTITUTE(SUBSTITUTE(P126,CHAR(160),"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6" s="15"/>
      <c r="R126" t="str">
        <v/>
      </c>
      <c r="S126" t="str">
        <f t="shared" si="2"/>
        <v/>
      </c>
    </row>
    <row r="127" spans="1:19" ht="12.75">
      <c r="A127" s="15" t="str">
        <v/>
      </c>
      <c r="B127" s="15" t="str">
        <v/>
      </c>
      <c r="C127" s="15" t="str" cm="1">
        <f t="array" ref="C127">IFERROR(_xlfn.TEXTJOIN("",TRUE,_xlfn._xlws.FILTER(MID(S127,_xlfn.SEQUENCE(LEN(S127)),1),ISNUMBER(SEARCH(MID(S127,_xlfn.SEQUENCE(LEN(S127)),1),"ABCDEFGHIJKLMNOPQRSTUVWXYZabcdefghijklmnopqrstuvwxyz0123456789,")))),"")</f>
        <v/>
      </c>
      <c r="D127" s="15" t="str">
        <v/>
      </c>
      <c r="E127" s="16" t="str">
        <v/>
      </c>
      <c r="F127" s="15" t="str">
        <v/>
      </c>
      <c r="G127" s="20" t="str" cm="1">
        <f t="array" ref="G127">IF(TRIM(P127)="","",IF(SUM(COUNTIF(P127,{"*NLGD*","*FWG*"}))&gt;0,P127,IF(SUM(COUNTIF(P127,{"*GL*","*DGB*","*DGI*","*GT*","*CS*","*PWU*","*DBI*","*SWU*"}))=0,P127,IF(IFERROR(VALUE(SUBSTITUTE(SUBSTITUTE(O127,"W",""),"""","")),0)&gt;52,P127&amp;"-OVRSIZE-",P127))))</f>
        <v/>
      </c>
      <c r="H127" s="15" t="str">
        <v/>
      </c>
      <c r="I127" s="15" t="str">
        <v/>
      </c>
      <c r="J127" s="15" t="str">
        <v/>
      </c>
      <c r="K127" s="15" t="str">
        <v/>
      </c>
      <c r="L127" s="15" t="str">
        <v/>
      </c>
      <c r="M127" s="10" t="str">
        <v/>
      </c>
      <c r="N127" s="14"/>
      <c r="O127" s="15" t="str" cm="1">
        <f t="array" ref="O127">IFERROR(_xlfn.LET(
_xlpm.clean,TRIM(SUBSTITUTE(SUBSTITUTE(P127,CHAR(160),"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7" s="15"/>
      <c r="R127" t="str">
        <v/>
      </c>
      <c r="S127" t="str">
        <f t="shared" si="2"/>
        <v/>
      </c>
    </row>
    <row r="128" spans="1:19" ht="12.75">
      <c r="A128" s="15" t="str">
        <v/>
      </c>
      <c r="B128" s="15" t="str">
        <v/>
      </c>
      <c r="C128" s="15" t="str" cm="1">
        <f t="array" ref="C128">IFERROR(_xlfn.TEXTJOIN("",TRUE,_xlfn._xlws.FILTER(MID(S128,_xlfn.SEQUENCE(LEN(S128)),1),ISNUMBER(SEARCH(MID(S128,_xlfn.SEQUENCE(LEN(S128)),1),"ABCDEFGHIJKLMNOPQRSTUVWXYZabcdefghijklmnopqrstuvwxyz0123456789,")))),"")</f>
        <v/>
      </c>
      <c r="D128" s="15" t="str">
        <v/>
      </c>
      <c r="E128" s="16" t="str">
        <v/>
      </c>
      <c r="F128" s="15" t="str">
        <v/>
      </c>
      <c r="G128" s="20" t="str" cm="1">
        <f t="array" ref="G128">IF(TRIM(P128)="","",IF(SUM(COUNTIF(P128,{"*NLGD*","*FWG*"}))&gt;0,P128,IF(SUM(COUNTIF(P128,{"*GL*","*DGB*","*DGI*","*GT*","*CS*","*PWU*","*DBI*","*SWU*"}))=0,P128,IF(IFERROR(VALUE(SUBSTITUTE(SUBSTITUTE(O128,"W",""),"""","")),0)&gt;52,P128&amp;"-OVRSIZE-",P128))))</f>
        <v/>
      </c>
      <c r="H128" s="15" t="str">
        <v/>
      </c>
      <c r="I128" s="15" t="str">
        <v/>
      </c>
      <c r="J128" s="15" t="str">
        <v/>
      </c>
      <c r="K128" s="15" t="str">
        <v/>
      </c>
      <c r="L128" s="15" t="str">
        <v/>
      </c>
      <c r="M128" s="10" t="str">
        <v/>
      </c>
      <c r="N128" s="14"/>
      <c r="O128" s="15" t="str" cm="1">
        <f t="array" ref="O128">IFERROR(_xlfn.LET(
_xlpm.clean,TRIM(SUBSTITUTE(SUBSTITUTE(P128,CHAR(160),"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8" s="15"/>
      <c r="R128" t="str">
        <v/>
      </c>
      <c r="S128" t="str">
        <f t="shared" si="2"/>
        <v/>
      </c>
    </row>
    <row r="129" spans="1:19" ht="12.75">
      <c r="A129" s="15" t="str">
        <v/>
      </c>
      <c r="B129" s="15" t="str">
        <v/>
      </c>
      <c r="C129" s="15" t="str" cm="1">
        <f t="array" ref="C129">IFERROR(_xlfn.TEXTJOIN("",TRUE,_xlfn._xlws.FILTER(MID(S129,_xlfn.SEQUENCE(LEN(S129)),1),ISNUMBER(SEARCH(MID(S129,_xlfn.SEQUENCE(LEN(S129)),1),"ABCDEFGHIJKLMNOPQRSTUVWXYZabcdefghijklmnopqrstuvwxyz0123456789,")))),"")</f>
        <v/>
      </c>
      <c r="D129" s="15" t="str">
        <v/>
      </c>
      <c r="E129" s="16" t="str">
        <v/>
      </c>
      <c r="F129" s="15" t="str">
        <v/>
      </c>
      <c r="G129" s="20" t="str" cm="1">
        <f t="array" ref="G129">IF(TRIM(P129)="","",IF(SUM(COUNTIF(P129,{"*NLGD*","*FWG*"}))&gt;0,P129,IF(SUM(COUNTIF(P129,{"*GL*","*DGB*","*DGI*","*GT*","*CS*","*PWU*","*DBI*","*SWU*"}))=0,P129,IF(IFERROR(VALUE(SUBSTITUTE(SUBSTITUTE(O129,"W",""),"""","")),0)&gt;52,P129&amp;"-OVRSIZE-",P129))))</f>
        <v/>
      </c>
      <c r="H129" s="15" t="str">
        <v/>
      </c>
      <c r="I129" s="15" t="str">
        <v/>
      </c>
      <c r="J129" s="15" t="str">
        <v/>
      </c>
      <c r="K129" s="15" t="str">
        <v/>
      </c>
      <c r="L129" s="15" t="str">
        <v/>
      </c>
      <c r="M129" s="10" t="str">
        <v/>
      </c>
      <c r="N129" s="14"/>
      <c r="O129" s="15" t="str" cm="1">
        <f t="array" ref="O129">IFERROR(_xlfn.LET(
_xlpm.clean,TRIM(SUBSTITUTE(SUBSTITUTE(P129,CHAR(160),"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9" s="15"/>
      <c r="R129" t="str">
        <v/>
      </c>
      <c r="S129" t="str">
        <f t="shared" si="2"/>
        <v/>
      </c>
    </row>
    <row r="130" spans="1:19" ht="12.75">
      <c r="A130" s="15" t="str">
        <v/>
      </c>
      <c r="B130" s="15" t="str">
        <v/>
      </c>
      <c r="C130" s="15" t="str" cm="1">
        <f t="array" ref="C130">IFERROR(_xlfn.TEXTJOIN("",TRUE,_xlfn._xlws.FILTER(MID(S130,_xlfn.SEQUENCE(LEN(S130)),1),ISNUMBER(SEARCH(MID(S130,_xlfn.SEQUENCE(LEN(S130)),1),"ABCDEFGHIJKLMNOPQRSTUVWXYZabcdefghijklmnopqrstuvwxyz0123456789,")))),"")</f>
        <v/>
      </c>
      <c r="D130" s="15" t="str">
        <v/>
      </c>
      <c r="E130" s="16" t="str">
        <v/>
      </c>
      <c r="F130" s="15" t="str">
        <v/>
      </c>
      <c r="G130" s="20" t="str" cm="1">
        <f t="array" ref="G130">IF(TRIM(P130)="","",IF(SUM(COUNTIF(P130,{"*NLGD*","*FWG*"}))&gt;0,P130,IF(SUM(COUNTIF(P130,{"*GL*","*DGB*","*DGI*","*GT*","*CS*","*PWU*","*DBI*","*SWU*"}))=0,P130,IF(IFERROR(VALUE(SUBSTITUTE(SUBSTITUTE(O130,"W",""),"""","")),0)&gt;52,P130&amp;"-OVRSIZE-",P130))))</f>
        <v/>
      </c>
      <c r="H130" s="15" t="str">
        <v/>
      </c>
      <c r="I130" s="15" t="str">
        <v/>
      </c>
      <c r="J130" s="15" t="str">
        <v/>
      </c>
      <c r="K130" s="15" t="str">
        <v/>
      </c>
      <c r="L130" s="15" t="str">
        <v/>
      </c>
      <c r="M130" s="10" t="str">
        <v/>
      </c>
      <c r="N130" s="14"/>
      <c r="O130" s="15" t="str" cm="1">
        <f t="array" ref="O130">IFERROR(_xlfn.LET(
_xlpm.clean,TRIM(SUBSTITUTE(SUBSTITUTE(P130,CHAR(160),"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0" s="15"/>
      <c r="R130" t="str">
        <v/>
      </c>
      <c r="S130" t="str">
        <f t="shared" si="2"/>
        <v/>
      </c>
    </row>
    <row r="131" spans="1:19" ht="12.75">
      <c r="A131" s="15" t="str">
        <v/>
      </c>
      <c r="B131" s="15" t="str">
        <v/>
      </c>
      <c r="C131" s="15" t="str" cm="1">
        <f t="array" ref="C131">IFERROR(_xlfn.TEXTJOIN("",TRUE,_xlfn._xlws.FILTER(MID(S131,_xlfn.SEQUENCE(LEN(S131)),1),ISNUMBER(SEARCH(MID(S131,_xlfn.SEQUENCE(LEN(S131)),1),"ABCDEFGHIJKLMNOPQRSTUVWXYZabcdefghijklmnopqrstuvwxyz0123456789,")))),"")</f>
        <v/>
      </c>
      <c r="D131" s="15" t="str">
        <v/>
      </c>
      <c r="E131" s="16" t="str">
        <v/>
      </c>
      <c r="F131" s="15" t="str">
        <v/>
      </c>
      <c r="G131" s="20" t="str" cm="1">
        <f t="array" ref="G131">IF(TRIM(P131)="","",IF(SUM(COUNTIF(P131,{"*NLGD*","*FWG*"}))&gt;0,P131,IF(SUM(COUNTIF(P131,{"*GL*","*DGB*","*DGI*","*GT*","*CS*","*PWU*","*DBI*","*SWU*"}))=0,P131,IF(IFERROR(VALUE(SUBSTITUTE(SUBSTITUTE(O131,"W",""),"""","")),0)&gt;52,P131&amp;"-OVRSIZE-",P131))))</f>
        <v/>
      </c>
      <c r="H131" s="15" t="str">
        <v/>
      </c>
      <c r="I131" s="15" t="str">
        <v/>
      </c>
      <c r="J131" s="15" t="str">
        <v/>
      </c>
      <c r="K131" s="15" t="str">
        <v/>
      </c>
      <c r="L131" s="15" t="str">
        <v/>
      </c>
      <c r="M131" s="10" t="str">
        <v/>
      </c>
      <c r="N131" s="14"/>
      <c r="O131" s="15" t="str" cm="1">
        <f t="array" ref="O131">IFERROR(_xlfn.LET(
_xlpm.clean,TRIM(SUBSTITUTE(SUBSTITUTE(P131,CHAR(160),"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1" s="15"/>
      <c r="R131" t="str">
        <v/>
      </c>
      <c r="S131" t="str">
        <f t="shared" si="2"/>
        <v/>
      </c>
    </row>
    <row r="132" spans="1:19" ht="12.75">
      <c r="A132" s="15" t="str">
        <v/>
      </c>
      <c r="B132" s="15" t="str">
        <v/>
      </c>
      <c r="C132" s="15" t="str" cm="1">
        <f t="array" ref="C132">IFERROR(_xlfn.TEXTJOIN("",TRUE,_xlfn._xlws.FILTER(MID(S132,_xlfn.SEQUENCE(LEN(S132)),1),ISNUMBER(SEARCH(MID(S132,_xlfn.SEQUENCE(LEN(S132)),1),"ABCDEFGHIJKLMNOPQRSTUVWXYZabcdefghijklmnopqrstuvwxyz0123456789,")))),"")</f>
        <v/>
      </c>
      <c r="D132" s="15" t="str">
        <v/>
      </c>
      <c r="E132" s="16" t="str">
        <v/>
      </c>
      <c r="F132" s="15" t="str">
        <v/>
      </c>
      <c r="G132" s="20" t="str" cm="1">
        <f t="array" ref="G132">IF(TRIM(P132)="","",IF(SUM(COUNTIF(P132,{"*NLGD*","*FWG*"}))&gt;0,P132,IF(SUM(COUNTIF(P132,{"*GL*","*DGB*","*DGI*","*GT*","*CS*","*PWU*","*DBI*","*SWU*"}))=0,P132,IF(IFERROR(VALUE(SUBSTITUTE(SUBSTITUTE(O132,"W",""),"""","")),0)&gt;52,P132&amp;"-OVRSIZE-",P132))))</f>
        <v/>
      </c>
      <c r="H132" s="15" t="str">
        <v/>
      </c>
      <c r="I132" s="15" t="str">
        <v/>
      </c>
      <c r="J132" s="15" t="str">
        <v/>
      </c>
      <c r="K132" s="15" t="str">
        <v/>
      </c>
      <c r="L132" s="15" t="str">
        <v/>
      </c>
      <c r="M132" s="10" t="str">
        <v/>
      </c>
      <c r="N132" s="14"/>
      <c r="O132" s="15" t="str" cm="1">
        <f t="array" ref="O132">IFERROR(_xlfn.LET(
_xlpm.clean,TRIM(SUBSTITUTE(SUBSTITUTE(P132,CHAR(160),"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2" s="15"/>
      <c r="R132" t="str">
        <v/>
      </c>
      <c r="S132" t="str">
        <f t="shared" si="2"/>
        <v/>
      </c>
    </row>
    <row r="133" spans="1:19" ht="12.75">
      <c r="A133" s="15" t="str">
        <v/>
      </c>
      <c r="B133" s="15" t="str">
        <v/>
      </c>
      <c r="C133" s="15" t="str" cm="1">
        <f t="array" ref="C133">IFERROR(_xlfn.TEXTJOIN("",TRUE,_xlfn._xlws.FILTER(MID(S133,_xlfn.SEQUENCE(LEN(S133)),1),ISNUMBER(SEARCH(MID(S133,_xlfn.SEQUENCE(LEN(S133)),1),"ABCDEFGHIJKLMNOPQRSTUVWXYZabcdefghijklmnopqrstuvwxyz0123456789,")))),"")</f>
        <v/>
      </c>
      <c r="D133" s="15" t="str">
        <v/>
      </c>
      <c r="E133" s="16" t="str">
        <v/>
      </c>
      <c r="F133" s="15" t="str">
        <v/>
      </c>
      <c r="G133" s="20" t="str" cm="1">
        <f t="array" ref="G133">IF(TRIM(P133)="","",IF(SUM(COUNTIF(P133,{"*NLGD*","*FWG*"}))&gt;0,P133,IF(SUM(COUNTIF(P133,{"*GL*","*DGB*","*DGI*","*GT*","*CS*","*PWU*","*DBI*","*SWU*"}))=0,P133,IF(IFERROR(VALUE(SUBSTITUTE(SUBSTITUTE(O133,"W",""),"""","")),0)&gt;52,P133&amp;"-OVRSIZE-",P133))))</f>
        <v/>
      </c>
      <c r="H133" s="15" t="str">
        <v/>
      </c>
      <c r="I133" s="15" t="str">
        <v/>
      </c>
      <c r="J133" s="15" t="str">
        <v/>
      </c>
      <c r="K133" s="15" t="str">
        <v/>
      </c>
      <c r="L133" s="15" t="str">
        <v/>
      </c>
      <c r="M133" s="10" t="str">
        <v/>
      </c>
      <c r="N133" s="14"/>
      <c r="O133" s="15" t="str" cm="1">
        <f t="array" ref="O133">IFERROR(_xlfn.LET(
_xlpm.clean,TRIM(SUBSTITUTE(SUBSTITUTE(P133,CHAR(160),"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3" s="15"/>
      <c r="R133" t="str">
        <v/>
      </c>
      <c r="S133" t="str">
        <f t="shared" si="2"/>
        <v/>
      </c>
    </row>
    <row r="134" spans="1:19" ht="12.75">
      <c r="A134" s="15" t="str">
        <v/>
      </c>
      <c r="B134" s="15" t="str">
        <v/>
      </c>
      <c r="C134" s="15" t="str" cm="1">
        <f t="array" ref="C134">IFERROR(_xlfn.TEXTJOIN("",TRUE,_xlfn._xlws.FILTER(MID(S134,_xlfn.SEQUENCE(LEN(S134)),1),ISNUMBER(SEARCH(MID(S134,_xlfn.SEQUENCE(LEN(S134)),1),"ABCDEFGHIJKLMNOPQRSTUVWXYZabcdefghijklmnopqrstuvwxyz0123456789,")))),"")</f>
        <v/>
      </c>
      <c r="D134" s="15" t="str">
        <v/>
      </c>
      <c r="E134" s="16" t="str">
        <v/>
      </c>
      <c r="F134" s="15" t="str">
        <v/>
      </c>
      <c r="G134" s="20" t="str" cm="1">
        <f t="array" ref="G134">IF(TRIM(P134)="","",IF(SUM(COUNTIF(P134,{"*NLGD*","*FWG*"}))&gt;0,P134,IF(SUM(COUNTIF(P134,{"*GL*","*DGB*","*DGI*","*GT*","*CS*","*PWU*","*DBI*","*SWU*"}))=0,P134,IF(IFERROR(VALUE(SUBSTITUTE(SUBSTITUTE(O134,"W",""),"""","")),0)&gt;52,P134&amp;"-OVRSIZE-",P134))))</f>
        <v/>
      </c>
      <c r="H134" s="15" t="str">
        <v/>
      </c>
      <c r="I134" s="15" t="str">
        <v/>
      </c>
      <c r="J134" s="15" t="str">
        <v/>
      </c>
      <c r="K134" s="15" t="str">
        <v/>
      </c>
      <c r="L134" s="15" t="str">
        <v/>
      </c>
      <c r="M134" s="10" t="str">
        <v/>
      </c>
      <c r="N134" s="14"/>
      <c r="O134" s="15" t="str" cm="1">
        <f t="array" ref="O134">IFERROR(_xlfn.LET(
_xlpm.clean,TRIM(SUBSTITUTE(SUBSTITUTE(P134,CHAR(160),"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4" s="15"/>
      <c r="R134" t="str">
        <v/>
      </c>
      <c r="S134" t="str">
        <f t="shared" si="2"/>
        <v/>
      </c>
    </row>
    <row r="135" spans="1:19" ht="12.75">
      <c r="A135" s="15" t="str">
        <v/>
      </c>
      <c r="B135" s="15" t="str">
        <v/>
      </c>
      <c r="C135" s="15" t="str" cm="1">
        <f t="array" ref="C135">IFERROR(_xlfn.TEXTJOIN("",TRUE,_xlfn._xlws.FILTER(MID(S135,_xlfn.SEQUENCE(LEN(S135)),1),ISNUMBER(SEARCH(MID(S135,_xlfn.SEQUENCE(LEN(S135)),1),"ABCDEFGHIJKLMNOPQRSTUVWXYZabcdefghijklmnopqrstuvwxyz0123456789,")))),"")</f>
        <v/>
      </c>
      <c r="D135" s="15" t="str">
        <v/>
      </c>
      <c r="E135" s="16" t="str">
        <v/>
      </c>
      <c r="F135" s="15" t="str">
        <v/>
      </c>
      <c r="G135" s="20" t="str" cm="1">
        <f t="array" ref="G135">IF(TRIM(P135)="","",IF(SUM(COUNTIF(P135,{"*NLGD*","*FWG*"}))&gt;0,P135,IF(SUM(COUNTIF(P135,{"*GL*","*DGB*","*DGI*","*GT*","*CS*","*PWU*","*DBI*","*SWU*"}))=0,P135,IF(IFERROR(VALUE(SUBSTITUTE(SUBSTITUTE(O135,"W",""),"""","")),0)&gt;52,P135&amp;"-OVRSIZE-",P135))))</f>
        <v/>
      </c>
      <c r="H135" s="15" t="str">
        <v/>
      </c>
      <c r="I135" s="15" t="str">
        <v/>
      </c>
      <c r="J135" s="15" t="str">
        <v/>
      </c>
      <c r="K135" s="15" t="str">
        <v/>
      </c>
      <c r="L135" s="15" t="str">
        <v/>
      </c>
      <c r="M135" s="10" t="str">
        <v/>
      </c>
      <c r="N135" s="14"/>
      <c r="O135" s="15" t="str" cm="1">
        <f t="array" ref="O135">IFERROR(_xlfn.LET(
_xlpm.clean,TRIM(SUBSTITUTE(SUBSTITUTE(P135,CHAR(160),"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5" s="15"/>
      <c r="R135" t="str">
        <v/>
      </c>
      <c r="S135" t="str">
        <f t="shared" si="2"/>
        <v/>
      </c>
    </row>
    <row r="136" spans="1:19" ht="12.75">
      <c r="A136" s="15" t="str">
        <v/>
      </c>
      <c r="B136" s="15" t="str">
        <v/>
      </c>
      <c r="C136" s="15" t="str" cm="1">
        <f t="array" ref="C136">IFERROR(_xlfn.TEXTJOIN("",TRUE,_xlfn._xlws.FILTER(MID(S136,_xlfn.SEQUENCE(LEN(S136)),1),ISNUMBER(SEARCH(MID(S136,_xlfn.SEQUENCE(LEN(S136)),1),"ABCDEFGHIJKLMNOPQRSTUVWXYZabcdefghijklmnopqrstuvwxyz0123456789,")))),"")</f>
        <v/>
      </c>
      <c r="D136" s="15" t="str">
        <v/>
      </c>
      <c r="E136" s="16" t="str">
        <v/>
      </c>
      <c r="F136" s="15" t="str">
        <v/>
      </c>
      <c r="G136" s="20" t="str" cm="1">
        <f t="array" ref="G136">IF(TRIM(P136)="","",IF(SUM(COUNTIF(P136,{"*NLGD*","*FWG*"}))&gt;0,P136,IF(SUM(COUNTIF(P136,{"*GL*","*DGB*","*DGI*","*GT*","*CS*","*PWU*","*DBI*","*SWU*"}))=0,P136,IF(IFERROR(VALUE(SUBSTITUTE(SUBSTITUTE(O136,"W",""),"""","")),0)&gt;52,P136&amp;"-OVRSIZE-",P136))))</f>
        <v/>
      </c>
      <c r="H136" s="15" t="str">
        <v/>
      </c>
      <c r="I136" s="15" t="str">
        <v/>
      </c>
      <c r="J136" s="15" t="str">
        <v/>
      </c>
      <c r="K136" s="15" t="str">
        <v/>
      </c>
      <c r="L136" s="15" t="str">
        <v/>
      </c>
      <c r="M136" s="10" t="str">
        <v/>
      </c>
      <c r="N136" s="14"/>
      <c r="O136" s="15" t="str" cm="1">
        <f t="array" ref="O136">IFERROR(_xlfn.LET(
_xlpm.clean,TRIM(SUBSTITUTE(SUBSTITUTE(P136,CHAR(160),"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6" s="15"/>
      <c r="R136" t="str">
        <v/>
      </c>
      <c r="S136" t="str">
        <f t="shared" ref="S136:S199" si="3">IF(R136="","",_xlfn.LET(
_xlpm.x,TRIM(SUBSTITUTE(SUBSTITUTE(SUBSTITUTE(SUBSTITUTE(R136,":","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37" spans="1:19" ht="12.75">
      <c r="A137" s="15" t="str">
        <v/>
      </c>
      <c r="B137" s="15" t="str">
        <v/>
      </c>
      <c r="C137" s="15" t="str" cm="1">
        <f t="array" ref="C137">IFERROR(_xlfn.TEXTJOIN("",TRUE,_xlfn._xlws.FILTER(MID(S137,_xlfn.SEQUENCE(LEN(S137)),1),ISNUMBER(SEARCH(MID(S137,_xlfn.SEQUENCE(LEN(S137)),1),"ABCDEFGHIJKLMNOPQRSTUVWXYZabcdefghijklmnopqrstuvwxyz0123456789,")))),"")</f>
        <v/>
      </c>
      <c r="D137" s="15" t="str">
        <v/>
      </c>
      <c r="E137" s="16" t="str">
        <v/>
      </c>
      <c r="F137" s="15" t="str">
        <v/>
      </c>
      <c r="G137" s="20" t="str" cm="1">
        <f t="array" ref="G137">IF(TRIM(P137)="","",IF(SUM(COUNTIF(P137,{"*NLGD*","*FWG*"}))&gt;0,P137,IF(SUM(COUNTIF(P137,{"*GL*","*DGB*","*DGI*","*GT*","*CS*","*PWU*","*DBI*","*SWU*"}))=0,P137,IF(IFERROR(VALUE(SUBSTITUTE(SUBSTITUTE(O137,"W",""),"""","")),0)&gt;52,P137&amp;"-OVRSIZE-",P137))))</f>
        <v/>
      </c>
      <c r="H137" s="15" t="str">
        <v/>
      </c>
      <c r="I137" s="15" t="str">
        <v/>
      </c>
      <c r="J137" s="15" t="str">
        <v/>
      </c>
      <c r="K137" s="15" t="str">
        <v/>
      </c>
      <c r="L137" s="15" t="str">
        <v/>
      </c>
      <c r="M137" s="10" t="str">
        <v/>
      </c>
      <c r="N137" s="14"/>
      <c r="O137" s="15" t="str" cm="1">
        <f t="array" ref="O137">IFERROR(_xlfn.LET(
_xlpm.clean,TRIM(SUBSTITUTE(SUBSTITUTE(P137,CHAR(160),"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7" s="15"/>
      <c r="R137" t="str">
        <v/>
      </c>
      <c r="S137" t="str">
        <f t="shared" si="3"/>
        <v/>
      </c>
    </row>
    <row r="138" spans="1:19" ht="12.75">
      <c r="A138" s="15" t="str">
        <v/>
      </c>
      <c r="B138" s="15" t="str">
        <v/>
      </c>
      <c r="C138" s="15" t="str" cm="1">
        <f t="array" ref="C138">IFERROR(_xlfn.TEXTJOIN("",TRUE,_xlfn._xlws.FILTER(MID(S138,_xlfn.SEQUENCE(LEN(S138)),1),ISNUMBER(SEARCH(MID(S138,_xlfn.SEQUENCE(LEN(S138)),1),"ABCDEFGHIJKLMNOPQRSTUVWXYZabcdefghijklmnopqrstuvwxyz0123456789,")))),"")</f>
        <v/>
      </c>
      <c r="D138" s="15" t="str">
        <v/>
      </c>
      <c r="E138" s="16" t="str">
        <v/>
      </c>
      <c r="F138" s="15" t="str">
        <v/>
      </c>
      <c r="G138" s="20" t="str" cm="1">
        <f t="array" ref="G138">IF(TRIM(P138)="","",IF(SUM(COUNTIF(P138,{"*NLGD*","*FWG*"}))&gt;0,P138,IF(SUM(COUNTIF(P138,{"*GL*","*DGB*","*DGI*","*GT*","*CS*","*PWU*","*DBI*","*SWU*"}))=0,P138,IF(IFERROR(VALUE(SUBSTITUTE(SUBSTITUTE(O138,"W",""),"""","")),0)&gt;52,P138&amp;"-OVRSIZE-",P138))))</f>
        <v/>
      </c>
      <c r="H138" s="15" t="str">
        <v/>
      </c>
      <c r="I138" s="15" t="str">
        <v/>
      </c>
      <c r="J138" s="15" t="str">
        <v/>
      </c>
      <c r="K138" s="15" t="str">
        <v/>
      </c>
      <c r="L138" s="15" t="str">
        <v/>
      </c>
      <c r="M138" s="10" t="str">
        <v/>
      </c>
      <c r="N138" s="14"/>
      <c r="O138" s="15" t="str" cm="1">
        <f t="array" ref="O138">IFERROR(_xlfn.LET(
_xlpm.clean,TRIM(SUBSTITUTE(SUBSTITUTE(P138,CHAR(160),"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8" s="15"/>
      <c r="R138" t="str">
        <v/>
      </c>
      <c r="S138" t="str">
        <f t="shared" si="3"/>
        <v/>
      </c>
    </row>
    <row r="139" spans="1:19" ht="12.75">
      <c r="A139" s="15" t="str">
        <v/>
      </c>
      <c r="B139" s="15" t="str">
        <v/>
      </c>
      <c r="C139" s="15" t="str" cm="1">
        <f t="array" ref="C139">IFERROR(_xlfn.TEXTJOIN("",TRUE,_xlfn._xlws.FILTER(MID(S139,_xlfn.SEQUENCE(LEN(S139)),1),ISNUMBER(SEARCH(MID(S139,_xlfn.SEQUENCE(LEN(S139)),1),"ABCDEFGHIJKLMNOPQRSTUVWXYZabcdefghijklmnopqrstuvwxyz0123456789,")))),"")</f>
        <v/>
      </c>
      <c r="D139" s="15" t="str">
        <v/>
      </c>
      <c r="E139" s="16" t="str">
        <v/>
      </c>
      <c r="F139" s="15" t="str">
        <v/>
      </c>
      <c r="G139" s="20" t="str" cm="1">
        <f t="array" ref="G139">IF(TRIM(P139)="","",IF(SUM(COUNTIF(P139,{"*NLGD*","*FWG*"}))&gt;0,P139,IF(SUM(COUNTIF(P139,{"*GL*","*DGB*","*DGI*","*GT*","*CS*","*PWU*","*DBI*","*SWU*"}))=0,P139,IF(IFERROR(VALUE(SUBSTITUTE(SUBSTITUTE(O139,"W",""),"""","")),0)&gt;52,P139&amp;"-OVRSIZE-",P139))))</f>
        <v/>
      </c>
      <c r="H139" s="15" t="str">
        <v/>
      </c>
      <c r="I139" s="15" t="str">
        <v/>
      </c>
      <c r="J139" s="15" t="str">
        <v/>
      </c>
      <c r="K139" s="15" t="str">
        <v/>
      </c>
      <c r="L139" s="15" t="str">
        <v/>
      </c>
      <c r="M139" s="10" t="str">
        <v/>
      </c>
      <c r="N139" s="14"/>
      <c r="O139" s="15" t="str" cm="1">
        <f t="array" ref="O139">IFERROR(_xlfn.LET(
_xlpm.clean,TRIM(SUBSTITUTE(SUBSTITUTE(P139,CHAR(160),"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39" s="15"/>
      <c r="R139" t="str">
        <v/>
      </c>
      <c r="S139" t="str">
        <f t="shared" si="3"/>
        <v/>
      </c>
    </row>
    <row r="140" spans="1:19" ht="12.75">
      <c r="A140" s="15" t="str">
        <v/>
      </c>
      <c r="B140" s="15" t="str">
        <v/>
      </c>
      <c r="C140" s="15" t="str" cm="1">
        <f t="array" ref="C140">IFERROR(_xlfn.TEXTJOIN("",TRUE,_xlfn._xlws.FILTER(MID(S140,_xlfn.SEQUENCE(LEN(S140)),1),ISNUMBER(SEARCH(MID(S140,_xlfn.SEQUENCE(LEN(S140)),1),"ABCDEFGHIJKLMNOPQRSTUVWXYZabcdefghijklmnopqrstuvwxyz0123456789,")))),"")</f>
        <v/>
      </c>
      <c r="D140" s="15" t="str">
        <v/>
      </c>
      <c r="E140" s="16" t="str">
        <v/>
      </c>
      <c r="F140" s="15" t="str">
        <v/>
      </c>
      <c r="G140" s="20" t="str" cm="1">
        <f t="array" ref="G140">IF(TRIM(P140)="","",IF(SUM(COUNTIF(P140,{"*NLGD*","*FWG*"}))&gt;0,P140,IF(SUM(COUNTIF(P140,{"*GL*","*DGB*","*DGI*","*GT*","*CS*","*PWU*","*DBI*","*SWU*"}))=0,P140,IF(IFERROR(VALUE(SUBSTITUTE(SUBSTITUTE(O140,"W",""),"""","")),0)&gt;52,P140&amp;"-OVRSIZE-",P140))))</f>
        <v/>
      </c>
      <c r="H140" s="15" t="str">
        <v/>
      </c>
      <c r="I140" s="15" t="str">
        <v/>
      </c>
      <c r="J140" s="15" t="str">
        <v/>
      </c>
      <c r="K140" s="15" t="str">
        <v/>
      </c>
      <c r="L140" s="15" t="str">
        <v/>
      </c>
      <c r="M140" s="10" t="str">
        <v/>
      </c>
      <c r="N140" s="14"/>
      <c r="O140" s="15" t="str" cm="1">
        <f t="array" ref="O140">IFERROR(_xlfn.LET(
_xlpm.clean,TRIM(SUBSTITUTE(SUBSTITUTE(P140,CHAR(160),"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0" s="15"/>
      <c r="R140" t="str">
        <v/>
      </c>
      <c r="S140" t="str">
        <f t="shared" si="3"/>
        <v/>
      </c>
    </row>
    <row r="141" spans="1:19" ht="12.75">
      <c r="A141" s="15" t="str">
        <v/>
      </c>
      <c r="B141" s="15" t="str">
        <v/>
      </c>
      <c r="C141" s="15" t="str" cm="1">
        <f t="array" ref="C141">IFERROR(_xlfn.TEXTJOIN("",TRUE,_xlfn._xlws.FILTER(MID(S141,_xlfn.SEQUENCE(LEN(S141)),1),ISNUMBER(SEARCH(MID(S141,_xlfn.SEQUENCE(LEN(S141)),1),"ABCDEFGHIJKLMNOPQRSTUVWXYZabcdefghijklmnopqrstuvwxyz0123456789,")))),"")</f>
        <v/>
      </c>
      <c r="D141" s="15" t="str">
        <v/>
      </c>
      <c r="E141" s="16" t="str">
        <v/>
      </c>
      <c r="F141" s="15" t="str">
        <v/>
      </c>
      <c r="G141" s="20" t="str" cm="1">
        <f t="array" ref="G141">IF(TRIM(P141)="","",IF(SUM(COUNTIF(P141,{"*NLGD*","*FWG*"}))&gt;0,P141,IF(SUM(COUNTIF(P141,{"*GL*","*DGB*","*DGI*","*GT*","*CS*","*PWU*","*DBI*","*SWU*"}))=0,P141,IF(IFERROR(VALUE(SUBSTITUTE(SUBSTITUTE(O141,"W",""),"""","")),0)&gt;52,P141&amp;"-OVRSIZE-",P141))))</f>
        <v/>
      </c>
      <c r="H141" s="15" t="str">
        <v/>
      </c>
      <c r="I141" s="15" t="str">
        <v/>
      </c>
      <c r="J141" s="15" t="str">
        <v/>
      </c>
      <c r="K141" s="15" t="str">
        <v/>
      </c>
      <c r="L141" s="15" t="str">
        <v/>
      </c>
      <c r="M141" s="10" t="str">
        <v/>
      </c>
      <c r="N141" s="14"/>
      <c r="O141" s="15" t="str" cm="1">
        <f t="array" ref="O141">IFERROR(_xlfn.LET(
_xlpm.clean,TRIM(SUBSTITUTE(SUBSTITUTE(P141,CHAR(160),"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1" s="15"/>
      <c r="R141" t="str">
        <v/>
      </c>
      <c r="S141" t="str">
        <f t="shared" si="3"/>
        <v/>
      </c>
    </row>
    <row r="142" spans="1:19" ht="12.75">
      <c r="A142" s="15" t="str">
        <v/>
      </c>
      <c r="B142" s="15" t="str">
        <v/>
      </c>
      <c r="C142" s="15" t="str" cm="1">
        <f t="array" ref="C142">IFERROR(_xlfn.TEXTJOIN("",TRUE,_xlfn._xlws.FILTER(MID(S142,_xlfn.SEQUENCE(LEN(S142)),1),ISNUMBER(SEARCH(MID(S142,_xlfn.SEQUENCE(LEN(S142)),1),"ABCDEFGHIJKLMNOPQRSTUVWXYZabcdefghijklmnopqrstuvwxyz0123456789,")))),"")</f>
        <v/>
      </c>
      <c r="D142" s="15" t="str">
        <v/>
      </c>
      <c r="E142" s="16" t="str">
        <v/>
      </c>
      <c r="F142" s="15" t="str">
        <v/>
      </c>
      <c r="G142" s="20" t="str" cm="1">
        <f t="array" ref="G142">IF(TRIM(P142)="","",IF(SUM(COUNTIF(P142,{"*NLGD*","*FWG*"}))&gt;0,P142,IF(SUM(COUNTIF(P142,{"*GL*","*DGB*","*DGI*","*GT*","*CS*","*PWU*","*DBI*","*SWU*"}))=0,P142,IF(IFERROR(VALUE(SUBSTITUTE(SUBSTITUTE(O142,"W",""),"""","")),0)&gt;52,P142&amp;"-OVRSIZE-",P142))))</f>
        <v/>
      </c>
      <c r="H142" s="15" t="str">
        <v/>
      </c>
      <c r="I142" s="15" t="str">
        <v/>
      </c>
      <c r="J142" s="15" t="str">
        <v/>
      </c>
      <c r="K142" s="15" t="str">
        <v/>
      </c>
      <c r="L142" s="15" t="str">
        <v/>
      </c>
      <c r="M142" s="10" t="str">
        <v/>
      </c>
      <c r="N142" s="14"/>
      <c r="O142" s="15" t="str" cm="1">
        <f t="array" ref="O142">IFERROR(_xlfn.LET(
_xlpm.clean,TRIM(SUBSTITUTE(SUBSTITUTE(P142,CHAR(160),"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2" s="15"/>
      <c r="R142" t="str">
        <v/>
      </c>
      <c r="S142" t="str">
        <f t="shared" si="3"/>
        <v/>
      </c>
    </row>
    <row r="143" spans="1:19" ht="12.75">
      <c r="A143" s="15" t="str">
        <v/>
      </c>
      <c r="B143" s="15" t="str">
        <v/>
      </c>
      <c r="C143" s="15" t="str" cm="1">
        <f t="array" ref="C143">IFERROR(_xlfn.TEXTJOIN("",TRUE,_xlfn._xlws.FILTER(MID(S143,_xlfn.SEQUENCE(LEN(S143)),1),ISNUMBER(SEARCH(MID(S143,_xlfn.SEQUENCE(LEN(S143)),1),"ABCDEFGHIJKLMNOPQRSTUVWXYZabcdefghijklmnopqrstuvwxyz0123456789,")))),"")</f>
        <v/>
      </c>
      <c r="D143" s="15" t="str">
        <v/>
      </c>
      <c r="E143" s="16" t="str">
        <v/>
      </c>
      <c r="F143" s="15" t="str">
        <v/>
      </c>
      <c r="G143" s="20" t="str" cm="1">
        <f t="array" ref="G143">IF(TRIM(P143)="","",IF(SUM(COUNTIF(P143,{"*NLGD*","*FWG*"}))&gt;0,P143,IF(SUM(COUNTIF(P143,{"*GL*","*DGB*","*DGI*","*GT*","*CS*","*PWU*","*DBI*","*SWU*"}))=0,P143,IF(IFERROR(VALUE(SUBSTITUTE(SUBSTITUTE(O143,"W",""),"""","")),0)&gt;52,P143&amp;"-OVRSIZE-",P143))))</f>
        <v/>
      </c>
      <c r="H143" s="15" t="str">
        <v/>
      </c>
      <c r="I143" s="15" t="str">
        <v/>
      </c>
      <c r="J143" s="15" t="str">
        <v/>
      </c>
      <c r="K143" s="15" t="str">
        <v/>
      </c>
      <c r="L143" s="15" t="str">
        <v/>
      </c>
      <c r="M143" s="10" t="str">
        <v/>
      </c>
      <c r="N143" s="14"/>
      <c r="O143" s="15" t="str" cm="1">
        <f t="array" ref="O143">IFERROR(_xlfn.LET(
_xlpm.clean,TRIM(SUBSTITUTE(SUBSTITUTE(P143,CHAR(160),"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3" s="15"/>
      <c r="R143" t="str">
        <v/>
      </c>
      <c r="S143" t="str">
        <f t="shared" si="3"/>
        <v/>
      </c>
    </row>
    <row r="144" spans="1:19" ht="12.75">
      <c r="A144" s="15" t="str">
        <v/>
      </c>
      <c r="B144" s="15" t="str">
        <v/>
      </c>
      <c r="C144" s="15" t="str" cm="1">
        <f t="array" ref="C144">IFERROR(_xlfn.TEXTJOIN("",TRUE,_xlfn._xlws.FILTER(MID(S144,_xlfn.SEQUENCE(LEN(S144)),1),ISNUMBER(SEARCH(MID(S144,_xlfn.SEQUENCE(LEN(S144)),1),"ABCDEFGHIJKLMNOPQRSTUVWXYZabcdefghijklmnopqrstuvwxyz0123456789,")))),"")</f>
        <v/>
      </c>
      <c r="D144" s="15" t="str">
        <v/>
      </c>
      <c r="E144" s="16" t="str">
        <v/>
      </c>
      <c r="F144" s="15" t="str">
        <v/>
      </c>
      <c r="G144" s="20" t="str" cm="1">
        <f t="array" ref="G144">IF(TRIM(P144)="","",IF(SUM(COUNTIF(P144,{"*NLGD*","*FWG*"}))&gt;0,P144,IF(SUM(COUNTIF(P144,{"*GL*","*DGB*","*DGI*","*GT*","*CS*","*PWU*","*DBI*","*SWU*"}))=0,P144,IF(IFERROR(VALUE(SUBSTITUTE(SUBSTITUTE(O144,"W",""),"""","")),0)&gt;52,P144&amp;"-OVRSIZE-",P144))))</f>
        <v/>
      </c>
      <c r="H144" s="15" t="str">
        <v/>
      </c>
      <c r="I144" s="15" t="str">
        <v/>
      </c>
      <c r="J144" s="15" t="str">
        <v/>
      </c>
      <c r="K144" s="15" t="str">
        <v/>
      </c>
      <c r="L144" s="15" t="str">
        <v/>
      </c>
      <c r="M144" s="10" t="str">
        <v/>
      </c>
      <c r="N144" s="14"/>
      <c r="O144" s="15" t="str" cm="1">
        <f t="array" ref="O144">IFERROR(_xlfn.LET(
_xlpm.clean,TRIM(SUBSTITUTE(SUBSTITUTE(P144,CHAR(160),"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4" s="15"/>
      <c r="R144" t="str">
        <v/>
      </c>
      <c r="S144" t="str">
        <f t="shared" si="3"/>
        <v/>
      </c>
    </row>
    <row r="145" spans="1:19" ht="12.75">
      <c r="A145" s="15" t="str">
        <v/>
      </c>
      <c r="B145" s="15" t="str">
        <v/>
      </c>
      <c r="C145" s="15" t="str" cm="1">
        <f t="array" ref="C145">IFERROR(_xlfn.TEXTJOIN("",TRUE,_xlfn._xlws.FILTER(MID(S145,_xlfn.SEQUENCE(LEN(S145)),1),ISNUMBER(SEARCH(MID(S145,_xlfn.SEQUENCE(LEN(S145)),1),"ABCDEFGHIJKLMNOPQRSTUVWXYZabcdefghijklmnopqrstuvwxyz0123456789,")))),"")</f>
        <v/>
      </c>
      <c r="D145" s="15" t="str">
        <v/>
      </c>
      <c r="E145" s="16" t="str">
        <v/>
      </c>
      <c r="F145" s="15" t="str">
        <v/>
      </c>
      <c r="G145" s="20" t="str" cm="1">
        <f t="array" ref="G145">IF(TRIM(P145)="","",IF(SUM(COUNTIF(P145,{"*NLGD*","*FWG*"}))&gt;0,P145,IF(SUM(COUNTIF(P145,{"*GL*","*DGB*","*DGI*","*GT*","*CS*","*PWU*","*DBI*","*SWU*"}))=0,P145,IF(IFERROR(VALUE(SUBSTITUTE(SUBSTITUTE(O145,"W",""),"""","")),0)&gt;52,P145&amp;"-OVRSIZE-",P145))))</f>
        <v/>
      </c>
      <c r="H145" s="15" t="str">
        <v/>
      </c>
      <c r="I145" s="15" t="str">
        <v/>
      </c>
      <c r="J145" s="15" t="str">
        <v/>
      </c>
      <c r="K145" s="15" t="str">
        <v/>
      </c>
      <c r="L145" s="15" t="str">
        <v/>
      </c>
      <c r="M145" s="10" t="str">
        <v/>
      </c>
      <c r="N145" s="14"/>
      <c r="O145" s="15" t="str" cm="1">
        <f t="array" ref="O145">IFERROR(_xlfn.LET(
_xlpm.clean,TRIM(SUBSTITUTE(SUBSTITUTE(P145,CHAR(160),"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5" s="15"/>
      <c r="R145" t="str">
        <v/>
      </c>
      <c r="S145" t="str">
        <f t="shared" si="3"/>
        <v/>
      </c>
    </row>
    <row r="146" spans="1:19" ht="12.75">
      <c r="A146" s="15" t="str">
        <v/>
      </c>
      <c r="B146" s="15" t="str">
        <v/>
      </c>
      <c r="C146" s="15" t="str" cm="1">
        <f t="array" ref="C146">IFERROR(_xlfn.TEXTJOIN("",TRUE,_xlfn._xlws.FILTER(MID(S146,_xlfn.SEQUENCE(LEN(S146)),1),ISNUMBER(SEARCH(MID(S146,_xlfn.SEQUENCE(LEN(S146)),1),"ABCDEFGHIJKLMNOPQRSTUVWXYZabcdefghijklmnopqrstuvwxyz0123456789,")))),"")</f>
        <v/>
      </c>
      <c r="D146" s="15" t="str">
        <v/>
      </c>
      <c r="E146" s="16" t="str">
        <v/>
      </c>
      <c r="F146" s="15" t="str">
        <v/>
      </c>
      <c r="G146" s="20" t="str" cm="1">
        <f t="array" ref="G146">IF(TRIM(P146)="","",IF(SUM(COUNTIF(P146,{"*NLGD*","*FWG*"}))&gt;0,P146,IF(SUM(COUNTIF(P146,{"*GL*","*DGB*","*DGI*","*GT*","*CS*","*PWU*","*DBI*","*SWU*"}))=0,P146,IF(IFERROR(VALUE(SUBSTITUTE(SUBSTITUTE(O146,"W",""),"""","")),0)&gt;52,P146&amp;"-OVRSIZE-",P146))))</f>
        <v/>
      </c>
      <c r="H146" s="15" t="str">
        <v/>
      </c>
      <c r="I146" s="15" t="str">
        <v/>
      </c>
      <c r="J146" s="15" t="str">
        <v/>
      </c>
      <c r="K146" s="15" t="str">
        <v/>
      </c>
      <c r="L146" s="15" t="str">
        <v/>
      </c>
      <c r="M146" s="10" t="str">
        <v/>
      </c>
      <c r="N146" s="14"/>
      <c r="O146" s="15" t="str" cm="1">
        <f t="array" ref="O146">IFERROR(_xlfn.LET(
_xlpm.clean,TRIM(SUBSTITUTE(SUBSTITUTE(P146,CHAR(160),"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6" s="15"/>
      <c r="R146" t="str">
        <v/>
      </c>
      <c r="S146" t="str">
        <f t="shared" si="3"/>
        <v/>
      </c>
    </row>
    <row r="147" spans="1:19" ht="12.75">
      <c r="A147" s="15" t="str">
        <v/>
      </c>
      <c r="B147" s="15" t="str">
        <v/>
      </c>
      <c r="C147" s="15" t="str" cm="1">
        <f t="array" ref="C147">IFERROR(_xlfn.TEXTJOIN("",TRUE,_xlfn._xlws.FILTER(MID(S147,_xlfn.SEQUENCE(LEN(S147)),1),ISNUMBER(SEARCH(MID(S147,_xlfn.SEQUENCE(LEN(S147)),1),"ABCDEFGHIJKLMNOPQRSTUVWXYZabcdefghijklmnopqrstuvwxyz0123456789,")))),"")</f>
        <v/>
      </c>
      <c r="D147" s="15" t="str">
        <v/>
      </c>
      <c r="E147" s="16" t="str">
        <v/>
      </c>
      <c r="F147" s="15" t="str">
        <v/>
      </c>
      <c r="G147" s="20" t="str" cm="1">
        <f t="array" ref="G147">IF(TRIM(P147)="","",IF(SUM(COUNTIF(P147,{"*NLGD*","*FWG*"}))&gt;0,P147,IF(SUM(COUNTIF(P147,{"*GL*","*DGB*","*DGI*","*GT*","*CS*","*PWU*","*DBI*","*SWU*"}))=0,P147,IF(IFERROR(VALUE(SUBSTITUTE(SUBSTITUTE(O147,"W",""),"""","")),0)&gt;52,P147&amp;"-OVRSIZE-",P147))))</f>
        <v/>
      </c>
      <c r="H147" s="15" t="str">
        <v/>
      </c>
      <c r="I147" s="15" t="str">
        <v/>
      </c>
      <c r="J147" s="15" t="str">
        <v/>
      </c>
      <c r="K147" s="15" t="str">
        <v/>
      </c>
      <c r="L147" s="15" t="str">
        <v/>
      </c>
      <c r="M147" s="10" t="str">
        <v/>
      </c>
      <c r="N147" s="14"/>
      <c r="O147" s="15" t="str" cm="1">
        <f t="array" ref="O147">IFERROR(_xlfn.LET(
_xlpm.clean,TRIM(SUBSTITUTE(SUBSTITUTE(P147,CHAR(160),"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7" s="15"/>
      <c r="R147" t="str">
        <v/>
      </c>
      <c r="S147" t="str">
        <f t="shared" si="3"/>
        <v/>
      </c>
    </row>
    <row r="148" spans="1:19" ht="12.75">
      <c r="A148" s="15" t="str">
        <v/>
      </c>
      <c r="B148" s="15" t="str">
        <v/>
      </c>
      <c r="C148" s="15" t="str" cm="1">
        <f t="array" ref="C148">IFERROR(_xlfn.TEXTJOIN("",TRUE,_xlfn._xlws.FILTER(MID(S148,_xlfn.SEQUENCE(LEN(S148)),1),ISNUMBER(SEARCH(MID(S148,_xlfn.SEQUENCE(LEN(S148)),1),"ABCDEFGHIJKLMNOPQRSTUVWXYZabcdefghijklmnopqrstuvwxyz0123456789,")))),"")</f>
        <v/>
      </c>
      <c r="D148" s="15" t="str">
        <v/>
      </c>
      <c r="E148" s="16" t="str">
        <v/>
      </c>
      <c r="F148" s="15" t="str">
        <v/>
      </c>
      <c r="G148" s="20" t="str" cm="1">
        <f t="array" ref="G148">IF(TRIM(P148)="","",IF(SUM(COUNTIF(P148,{"*NLGD*","*FWG*"}))&gt;0,P148,IF(SUM(COUNTIF(P148,{"*GL*","*DGB*","*DGI*","*GT*","*CS*","*PWU*","*DBI*","*SWU*"}))=0,P148,IF(IFERROR(VALUE(SUBSTITUTE(SUBSTITUTE(O148,"W",""),"""","")),0)&gt;52,P148&amp;"-OVRSIZE-",P148))))</f>
        <v/>
      </c>
      <c r="H148" s="15" t="str">
        <v/>
      </c>
      <c r="I148" s="15" t="str">
        <v/>
      </c>
      <c r="J148" s="15" t="str">
        <v/>
      </c>
      <c r="K148" s="15" t="str">
        <v/>
      </c>
      <c r="L148" s="15" t="str">
        <v/>
      </c>
      <c r="M148" s="10" t="str">
        <v/>
      </c>
      <c r="N148" s="14"/>
      <c r="O148" s="15" t="str" cm="1">
        <f t="array" ref="O148">IFERROR(_xlfn.LET(
_xlpm.clean,TRIM(SUBSTITUTE(SUBSTITUTE(P148,CHAR(160),"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8" s="15"/>
      <c r="R148" t="str">
        <v/>
      </c>
      <c r="S148" t="str">
        <f t="shared" si="3"/>
        <v/>
      </c>
    </row>
    <row r="149" spans="1:19" ht="12.75">
      <c r="A149" s="15" t="str">
        <v/>
      </c>
      <c r="B149" s="15" t="str">
        <v/>
      </c>
      <c r="C149" s="15" t="str" cm="1">
        <f t="array" ref="C149">IFERROR(_xlfn.TEXTJOIN("",TRUE,_xlfn._xlws.FILTER(MID(S149,_xlfn.SEQUENCE(LEN(S149)),1),ISNUMBER(SEARCH(MID(S149,_xlfn.SEQUENCE(LEN(S149)),1),"ABCDEFGHIJKLMNOPQRSTUVWXYZabcdefghijklmnopqrstuvwxyz0123456789,")))),"")</f>
        <v/>
      </c>
      <c r="D149" s="15" t="str">
        <v/>
      </c>
      <c r="E149" s="16" t="str">
        <v/>
      </c>
      <c r="F149" s="15" t="str">
        <v/>
      </c>
      <c r="G149" s="20" t="str" cm="1">
        <f t="array" ref="G149">IF(TRIM(P149)="","",IF(SUM(COUNTIF(P149,{"*NLGD*","*FWG*"}))&gt;0,P149,IF(SUM(COUNTIF(P149,{"*GL*","*DGB*","*DGI*","*GT*","*CS*","*PWU*","*DBI*","*SWU*"}))=0,P149,IF(IFERROR(VALUE(SUBSTITUTE(SUBSTITUTE(O149,"W",""),"""","")),0)&gt;52,P149&amp;"-OVRSIZE-",P149))))</f>
        <v/>
      </c>
      <c r="H149" s="15" t="str">
        <v/>
      </c>
      <c r="I149" s="15" t="str">
        <v/>
      </c>
      <c r="J149" s="15" t="str">
        <v/>
      </c>
      <c r="K149" s="15" t="str">
        <v/>
      </c>
      <c r="L149" s="15" t="str">
        <v/>
      </c>
      <c r="M149" s="10" t="str">
        <v/>
      </c>
      <c r="N149" s="14"/>
      <c r="O149" s="15" t="str" cm="1">
        <f t="array" ref="O149">IFERROR(_xlfn.LET(
_xlpm.clean,TRIM(SUBSTITUTE(SUBSTITUTE(P149,CHAR(160),"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49" s="15"/>
      <c r="R149" t="str">
        <v/>
      </c>
      <c r="S149" t="str">
        <f t="shared" si="3"/>
        <v/>
      </c>
    </row>
    <row r="150" spans="1:19" ht="12.75">
      <c r="A150" s="15" t="str">
        <v/>
      </c>
      <c r="B150" s="15" t="str">
        <v/>
      </c>
      <c r="C150" s="15" t="str" cm="1">
        <f t="array" ref="C150">IFERROR(_xlfn.TEXTJOIN("",TRUE,_xlfn._xlws.FILTER(MID(S150,_xlfn.SEQUENCE(LEN(S150)),1),ISNUMBER(SEARCH(MID(S150,_xlfn.SEQUENCE(LEN(S150)),1),"ABCDEFGHIJKLMNOPQRSTUVWXYZabcdefghijklmnopqrstuvwxyz0123456789,")))),"")</f>
        <v/>
      </c>
      <c r="D150" s="15" t="str">
        <v/>
      </c>
      <c r="E150" s="16" t="str">
        <v/>
      </c>
      <c r="F150" s="15" t="str">
        <v/>
      </c>
      <c r="G150" s="20" t="str" cm="1">
        <f t="array" ref="G150">IF(TRIM(P150)="","",IF(SUM(COUNTIF(P150,{"*NLGD*","*FWG*"}))&gt;0,P150,IF(SUM(COUNTIF(P150,{"*GL*","*DGB*","*DGI*","*GT*","*CS*","*PWU*","*DBI*","*SWU*"}))=0,P150,IF(IFERROR(VALUE(SUBSTITUTE(SUBSTITUTE(O150,"W",""),"""","")),0)&gt;52,P150&amp;"-OVRSIZE-",P150))))</f>
        <v/>
      </c>
      <c r="H150" s="15" t="str">
        <v/>
      </c>
      <c r="I150" s="15" t="str">
        <v/>
      </c>
      <c r="J150" s="15" t="str">
        <v/>
      </c>
      <c r="K150" s="15" t="str">
        <v/>
      </c>
      <c r="L150" s="15" t="str">
        <v/>
      </c>
      <c r="M150" s="10" t="str">
        <v/>
      </c>
      <c r="N150" s="14"/>
      <c r="O150" s="15" t="str" cm="1">
        <f t="array" ref="O150">IFERROR(_xlfn.LET(
_xlpm.clean,TRIM(SUBSTITUTE(SUBSTITUTE(P150,CHAR(160),"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0" s="15"/>
      <c r="R150" t="str">
        <v/>
      </c>
      <c r="S150" t="str">
        <f t="shared" si="3"/>
        <v/>
      </c>
    </row>
    <row r="151" spans="1:19" ht="12.75">
      <c r="A151" s="15" t="str">
        <v/>
      </c>
      <c r="B151" s="15" t="str">
        <v/>
      </c>
      <c r="C151" s="15" t="str" cm="1">
        <f t="array" ref="C151">IFERROR(_xlfn.TEXTJOIN("",TRUE,_xlfn._xlws.FILTER(MID(S151,_xlfn.SEQUENCE(LEN(S151)),1),ISNUMBER(SEARCH(MID(S151,_xlfn.SEQUENCE(LEN(S151)),1),"ABCDEFGHIJKLMNOPQRSTUVWXYZabcdefghijklmnopqrstuvwxyz0123456789,")))),"")</f>
        <v/>
      </c>
      <c r="D151" s="15" t="str">
        <v/>
      </c>
      <c r="E151" s="16" t="str">
        <v/>
      </c>
      <c r="F151" s="15" t="str">
        <v/>
      </c>
      <c r="G151" s="20" t="str" cm="1">
        <f t="array" ref="G151">IF(TRIM(P151)="","",IF(SUM(COUNTIF(P151,{"*NLGD*","*FWG*"}))&gt;0,P151,IF(SUM(COUNTIF(P151,{"*GL*","*DGB*","*DGI*","*GT*","*CS*","*PWU*","*DBI*","*SWU*"}))=0,P151,IF(IFERROR(VALUE(SUBSTITUTE(SUBSTITUTE(O151,"W",""),"""","")),0)&gt;52,P151&amp;"-OVRSIZE-",P151))))</f>
        <v/>
      </c>
      <c r="H151" s="15" t="str">
        <v/>
      </c>
      <c r="I151" s="15" t="str">
        <v/>
      </c>
      <c r="J151" s="15" t="str">
        <v/>
      </c>
      <c r="K151" s="15" t="str">
        <v/>
      </c>
      <c r="L151" s="15" t="str">
        <v/>
      </c>
      <c r="M151" s="10" t="str">
        <v/>
      </c>
      <c r="N151" s="14"/>
      <c r="O151" s="15" t="str" cm="1">
        <f t="array" ref="O151">IFERROR(_xlfn.LET(
_xlpm.clean,TRIM(SUBSTITUTE(SUBSTITUTE(P151,CHAR(160),"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1" s="15"/>
      <c r="R151" t="str">
        <v/>
      </c>
      <c r="S151" t="str">
        <f t="shared" si="3"/>
        <v/>
      </c>
    </row>
    <row r="152" spans="1:19" ht="12.75">
      <c r="A152" s="15" t="str">
        <v/>
      </c>
      <c r="B152" s="15" t="str">
        <v/>
      </c>
      <c r="C152" s="15" t="str" cm="1">
        <f t="array" ref="C152">IFERROR(_xlfn.TEXTJOIN("",TRUE,_xlfn._xlws.FILTER(MID(S152,_xlfn.SEQUENCE(LEN(S152)),1),ISNUMBER(SEARCH(MID(S152,_xlfn.SEQUENCE(LEN(S152)),1),"ABCDEFGHIJKLMNOPQRSTUVWXYZabcdefghijklmnopqrstuvwxyz0123456789,")))),"")</f>
        <v/>
      </c>
      <c r="D152" s="15" t="str">
        <v/>
      </c>
      <c r="E152" s="16" t="str">
        <v/>
      </c>
      <c r="F152" s="15" t="str">
        <v/>
      </c>
      <c r="G152" s="20" t="str" cm="1">
        <f t="array" ref="G152">IF(TRIM(P152)="","",IF(SUM(COUNTIF(P152,{"*NLGD*","*FWG*"}))&gt;0,P152,IF(SUM(COUNTIF(P152,{"*GL*","*DGB*","*DGI*","*GT*","*CS*","*PWU*","*DBI*","*SWU*"}))=0,P152,IF(IFERROR(VALUE(SUBSTITUTE(SUBSTITUTE(O152,"W",""),"""","")),0)&gt;52,P152&amp;"-OVRSIZE-",P152))))</f>
        <v/>
      </c>
      <c r="H152" s="15" t="str">
        <v/>
      </c>
      <c r="I152" s="15" t="str">
        <v/>
      </c>
      <c r="J152" s="15" t="str">
        <v/>
      </c>
      <c r="K152" s="15" t="str">
        <v/>
      </c>
      <c r="L152" s="15" t="str">
        <v/>
      </c>
      <c r="M152" s="10" t="str">
        <v/>
      </c>
      <c r="N152" s="14"/>
      <c r="O152" s="15" t="str" cm="1">
        <f t="array" ref="O152">IFERROR(_xlfn.LET(
_xlpm.clean,TRIM(SUBSTITUTE(SUBSTITUTE(P152,CHAR(160),"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2" s="15"/>
      <c r="R152" t="str">
        <v/>
      </c>
      <c r="S152" t="str">
        <f t="shared" si="3"/>
        <v/>
      </c>
    </row>
    <row r="153" spans="1:19" ht="12.75">
      <c r="A153" s="15" t="str">
        <v/>
      </c>
      <c r="B153" s="15" t="str">
        <v/>
      </c>
      <c r="C153" s="15" t="str" cm="1">
        <f t="array" ref="C153">IFERROR(_xlfn.TEXTJOIN("",TRUE,_xlfn._xlws.FILTER(MID(S153,_xlfn.SEQUENCE(LEN(S153)),1),ISNUMBER(SEARCH(MID(S153,_xlfn.SEQUENCE(LEN(S153)),1),"ABCDEFGHIJKLMNOPQRSTUVWXYZabcdefghijklmnopqrstuvwxyz0123456789,")))),"")</f>
        <v/>
      </c>
      <c r="D153" s="15" t="str">
        <v/>
      </c>
      <c r="E153" s="16" t="str">
        <v/>
      </c>
      <c r="F153" s="15" t="str">
        <v/>
      </c>
      <c r="G153" s="20" t="str" cm="1">
        <f t="array" ref="G153">IF(TRIM(P153)="","",IF(SUM(COUNTIF(P153,{"*NLGD*","*FWG*"}))&gt;0,P153,IF(SUM(COUNTIF(P153,{"*GL*","*DGB*","*DGI*","*GT*","*CS*","*PWU*","*DBI*","*SWU*"}))=0,P153,IF(IFERROR(VALUE(SUBSTITUTE(SUBSTITUTE(O153,"W",""),"""","")),0)&gt;52,P153&amp;"-OVRSIZE-",P153))))</f>
        <v/>
      </c>
      <c r="H153" s="15" t="str">
        <v/>
      </c>
      <c r="I153" s="15" t="str">
        <v/>
      </c>
      <c r="J153" s="15" t="str">
        <v/>
      </c>
      <c r="K153" s="15" t="str">
        <v/>
      </c>
      <c r="L153" s="15" t="str">
        <v/>
      </c>
      <c r="M153" s="10" t="str">
        <v/>
      </c>
      <c r="N153" s="14"/>
      <c r="O153" s="15" t="str" cm="1">
        <f t="array" ref="O153">IFERROR(_xlfn.LET(
_xlpm.clean,TRIM(SUBSTITUTE(SUBSTITUTE(P153,CHAR(160),"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3" s="15"/>
      <c r="R153" t="str">
        <v/>
      </c>
      <c r="S153" t="str">
        <f t="shared" si="3"/>
        <v/>
      </c>
    </row>
    <row r="154" spans="1:19" ht="12.75">
      <c r="A154" s="15" t="str">
        <v/>
      </c>
      <c r="B154" s="15" t="str">
        <v/>
      </c>
      <c r="C154" s="15" t="str" cm="1">
        <f t="array" ref="C154">IFERROR(_xlfn.TEXTJOIN("",TRUE,_xlfn._xlws.FILTER(MID(S154,_xlfn.SEQUENCE(LEN(S154)),1),ISNUMBER(SEARCH(MID(S154,_xlfn.SEQUENCE(LEN(S154)),1),"ABCDEFGHIJKLMNOPQRSTUVWXYZabcdefghijklmnopqrstuvwxyz0123456789,")))),"")</f>
        <v/>
      </c>
      <c r="D154" s="15" t="str">
        <v/>
      </c>
      <c r="E154" s="16" t="str">
        <v/>
      </c>
      <c r="F154" s="15" t="str">
        <v/>
      </c>
      <c r="G154" s="20" t="str" cm="1">
        <f t="array" ref="G154">IF(TRIM(P154)="","",IF(SUM(COUNTIF(P154,{"*NLGD*","*FWG*"}))&gt;0,P154,IF(SUM(COUNTIF(P154,{"*GL*","*DGB*","*DGI*","*GT*","*CS*","*PWU*","*DBI*","*SWU*"}))=0,P154,IF(IFERROR(VALUE(SUBSTITUTE(SUBSTITUTE(O154,"W",""),"""","")),0)&gt;52,P154&amp;"-OVRSIZE-",P154))))</f>
        <v/>
      </c>
      <c r="H154" s="15" t="str">
        <v/>
      </c>
      <c r="I154" s="15" t="str">
        <v/>
      </c>
      <c r="J154" s="15" t="str">
        <v/>
      </c>
      <c r="K154" s="15" t="str">
        <v/>
      </c>
      <c r="L154" s="15" t="str">
        <v/>
      </c>
      <c r="M154" s="10" t="str">
        <v/>
      </c>
      <c r="N154" s="14"/>
      <c r="O154" s="15" t="str" cm="1">
        <f t="array" ref="O154">IFERROR(_xlfn.LET(
_xlpm.clean,TRIM(SUBSTITUTE(SUBSTITUTE(P154,CHAR(160),"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4" s="15"/>
      <c r="R154" t="str">
        <v/>
      </c>
      <c r="S154" t="str">
        <f t="shared" si="3"/>
        <v/>
      </c>
    </row>
    <row r="155" spans="1:19" ht="12.75">
      <c r="A155" s="15" t="str">
        <v/>
      </c>
      <c r="B155" s="15" t="str">
        <v/>
      </c>
      <c r="C155" s="15" t="str" cm="1">
        <f t="array" ref="C155">IFERROR(_xlfn.TEXTJOIN("",TRUE,_xlfn._xlws.FILTER(MID(S155,_xlfn.SEQUENCE(LEN(S155)),1),ISNUMBER(SEARCH(MID(S155,_xlfn.SEQUENCE(LEN(S155)),1),"ABCDEFGHIJKLMNOPQRSTUVWXYZabcdefghijklmnopqrstuvwxyz0123456789,")))),"")</f>
        <v/>
      </c>
      <c r="D155" s="15" t="str">
        <v/>
      </c>
      <c r="E155" s="16" t="str">
        <v/>
      </c>
      <c r="F155" s="15" t="str">
        <v/>
      </c>
      <c r="G155" s="20" t="str" cm="1">
        <f t="array" ref="G155">IF(TRIM(P155)="","",IF(SUM(COUNTIF(P155,{"*NLGD*","*FWG*"}))&gt;0,P155,IF(SUM(COUNTIF(P155,{"*GL*","*DGB*","*DGI*","*GT*","*CS*","*PWU*","*DBI*","*SWU*"}))=0,P155,IF(IFERROR(VALUE(SUBSTITUTE(SUBSTITUTE(O155,"W",""),"""","")),0)&gt;52,P155&amp;"-OVRSIZE-",P155))))</f>
        <v/>
      </c>
      <c r="H155" s="15" t="str">
        <v/>
      </c>
      <c r="I155" s="15" t="str">
        <v/>
      </c>
      <c r="J155" s="15" t="str">
        <v/>
      </c>
      <c r="K155" s="15" t="str">
        <v/>
      </c>
      <c r="L155" s="15" t="str">
        <v/>
      </c>
      <c r="M155" s="10" t="str">
        <v/>
      </c>
      <c r="N155" s="14"/>
      <c r="O155" s="15" t="str" cm="1">
        <f t="array" ref="O155">IFERROR(_xlfn.LET(
_xlpm.clean,TRIM(SUBSTITUTE(SUBSTITUTE(P155,CHAR(160),"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5" s="15"/>
      <c r="R155" t="str">
        <v/>
      </c>
      <c r="S155" t="str">
        <f t="shared" si="3"/>
        <v/>
      </c>
    </row>
    <row r="156" spans="1:19" ht="12.75">
      <c r="A156" s="15" t="str">
        <v/>
      </c>
      <c r="B156" s="15" t="str">
        <v/>
      </c>
      <c r="C156" s="15" t="str" cm="1">
        <f t="array" ref="C156">IFERROR(_xlfn.TEXTJOIN("",TRUE,_xlfn._xlws.FILTER(MID(S156,_xlfn.SEQUENCE(LEN(S156)),1),ISNUMBER(SEARCH(MID(S156,_xlfn.SEQUENCE(LEN(S156)),1),"ABCDEFGHIJKLMNOPQRSTUVWXYZabcdefghijklmnopqrstuvwxyz0123456789,")))),"")</f>
        <v/>
      </c>
      <c r="D156" s="15" t="str">
        <v/>
      </c>
      <c r="E156" s="16" t="str">
        <v/>
      </c>
      <c r="F156" s="15" t="str">
        <v/>
      </c>
      <c r="G156" s="20" t="str" cm="1">
        <f t="array" ref="G156">IF(TRIM(P156)="","",IF(SUM(COUNTIF(P156,{"*NLGD*","*FWG*"}))&gt;0,P156,IF(SUM(COUNTIF(P156,{"*GL*","*DGB*","*DGI*","*GT*","*CS*","*PWU*","*DBI*","*SWU*"}))=0,P156,IF(IFERROR(VALUE(SUBSTITUTE(SUBSTITUTE(O156,"W",""),"""","")),0)&gt;52,P156&amp;"-OVRSIZE-",P156))))</f>
        <v/>
      </c>
      <c r="H156" s="15" t="str">
        <v/>
      </c>
      <c r="I156" s="15" t="str">
        <v/>
      </c>
      <c r="J156" s="15" t="str">
        <v/>
      </c>
      <c r="K156" s="15" t="str">
        <v/>
      </c>
      <c r="L156" s="15" t="str">
        <v/>
      </c>
      <c r="M156" s="10" t="str">
        <v/>
      </c>
      <c r="N156" s="14"/>
      <c r="O156" s="15" t="str" cm="1">
        <f t="array" ref="O156">IFERROR(_xlfn.LET(
_xlpm.clean,TRIM(SUBSTITUTE(SUBSTITUTE(P156,CHAR(160),"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6" s="15"/>
      <c r="R156" t="str">
        <v/>
      </c>
      <c r="S156" t="str">
        <f t="shared" si="3"/>
        <v/>
      </c>
    </row>
    <row r="157" spans="1:19" ht="12.75">
      <c r="A157" s="15" t="str">
        <v/>
      </c>
      <c r="B157" s="15" t="str">
        <v/>
      </c>
      <c r="C157" s="15" t="str" cm="1">
        <f t="array" ref="C157">IFERROR(_xlfn.TEXTJOIN("",TRUE,_xlfn._xlws.FILTER(MID(S157,_xlfn.SEQUENCE(LEN(S157)),1),ISNUMBER(SEARCH(MID(S157,_xlfn.SEQUENCE(LEN(S157)),1),"ABCDEFGHIJKLMNOPQRSTUVWXYZabcdefghijklmnopqrstuvwxyz0123456789,")))),"")</f>
        <v/>
      </c>
      <c r="D157" s="15" t="str">
        <v/>
      </c>
      <c r="E157" s="16" t="str">
        <v/>
      </c>
      <c r="F157" s="15" t="str">
        <v/>
      </c>
      <c r="G157" s="20" t="str" cm="1">
        <f t="array" ref="G157">IF(TRIM(P157)="","",IF(SUM(COUNTIF(P157,{"*NLGD*","*FWG*"}))&gt;0,P157,IF(SUM(COUNTIF(P157,{"*GL*","*DGB*","*DGI*","*GT*","*CS*","*PWU*","*DBI*","*SWU*"}))=0,P157,IF(IFERROR(VALUE(SUBSTITUTE(SUBSTITUTE(O157,"W",""),"""","")),0)&gt;52,P157&amp;"-OVRSIZE-",P157))))</f>
        <v/>
      </c>
      <c r="H157" s="15" t="str">
        <v/>
      </c>
      <c r="I157" s="15" t="str">
        <v/>
      </c>
      <c r="J157" s="15" t="str">
        <v/>
      </c>
      <c r="K157" s="15" t="str">
        <v/>
      </c>
      <c r="L157" s="15" t="str">
        <v/>
      </c>
      <c r="M157" s="10" t="str">
        <v/>
      </c>
      <c r="N157" s="14"/>
      <c r="O157" s="15" t="str" cm="1">
        <f t="array" ref="O157">IFERROR(_xlfn.LET(
_xlpm.clean,TRIM(SUBSTITUTE(SUBSTITUTE(P157,CHAR(160),"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7" s="15"/>
      <c r="R157" t="str">
        <v/>
      </c>
      <c r="S157" t="str">
        <f t="shared" si="3"/>
        <v/>
      </c>
    </row>
    <row r="158" spans="1:19" ht="12.75">
      <c r="A158" s="15" t="str">
        <v/>
      </c>
      <c r="B158" s="15" t="str">
        <v/>
      </c>
      <c r="C158" s="15" t="str" cm="1">
        <f t="array" ref="C158">IFERROR(_xlfn.TEXTJOIN("",TRUE,_xlfn._xlws.FILTER(MID(S158,_xlfn.SEQUENCE(LEN(S158)),1),ISNUMBER(SEARCH(MID(S158,_xlfn.SEQUENCE(LEN(S158)),1),"ABCDEFGHIJKLMNOPQRSTUVWXYZabcdefghijklmnopqrstuvwxyz0123456789,")))),"")</f>
        <v/>
      </c>
      <c r="D158" s="15" t="str">
        <v/>
      </c>
      <c r="E158" s="16" t="str">
        <v/>
      </c>
      <c r="F158" s="15" t="str">
        <v/>
      </c>
      <c r="G158" s="20" t="str" cm="1">
        <f t="array" ref="G158">IF(TRIM(P158)="","",IF(SUM(COUNTIF(P158,{"*NLGD*","*FWG*"}))&gt;0,P158,IF(SUM(COUNTIF(P158,{"*GL*","*DGB*","*DGI*","*GT*","*CS*","*PWU*","*DBI*","*SWU*"}))=0,P158,IF(IFERROR(VALUE(SUBSTITUTE(SUBSTITUTE(O158,"W",""),"""","")),0)&gt;52,P158&amp;"-OVRSIZE-",P158))))</f>
        <v/>
      </c>
      <c r="H158" s="15" t="str">
        <v/>
      </c>
      <c r="I158" s="15" t="str">
        <v/>
      </c>
      <c r="J158" s="15" t="str">
        <v/>
      </c>
      <c r="K158" s="15" t="str">
        <v/>
      </c>
      <c r="L158" s="15" t="str">
        <v/>
      </c>
      <c r="M158" s="10" t="str">
        <v/>
      </c>
      <c r="N158" s="14"/>
      <c r="O158" s="15" t="str" cm="1">
        <f t="array" ref="O158">IFERROR(_xlfn.LET(
_xlpm.clean,TRIM(SUBSTITUTE(SUBSTITUTE(P158,CHAR(160),"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8" s="15"/>
      <c r="R158" t="str">
        <v/>
      </c>
      <c r="S158" t="str">
        <f t="shared" si="3"/>
        <v/>
      </c>
    </row>
    <row r="159" spans="1:19" ht="12.75">
      <c r="A159" s="15" t="str">
        <v/>
      </c>
      <c r="B159" s="15" t="str">
        <v/>
      </c>
      <c r="C159" s="15" t="str" cm="1">
        <f t="array" ref="C159">IFERROR(_xlfn.TEXTJOIN("",TRUE,_xlfn._xlws.FILTER(MID(S159,_xlfn.SEQUENCE(LEN(S159)),1),ISNUMBER(SEARCH(MID(S159,_xlfn.SEQUENCE(LEN(S159)),1),"ABCDEFGHIJKLMNOPQRSTUVWXYZabcdefghijklmnopqrstuvwxyz0123456789,")))),"")</f>
        <v/>
      </c>
      <c r="D159" s="15" t="str">
        <v/>
      </c>
      <c r="E159" s="16" t="str">
        <v/>
      </c>
      <c r="F159" s="15" t="str">
        <v/>
      </c>
      <c r="G159" s="20" t="str" cm="1">
        <f t="array" ref="G159">IF(TRIM(P159)="","",IF(SUM(COUNTIF(P159,{"*NLGD*","*FWG*"}))&gt;0,P159,IF(SUM(COUNTIF(P159,{"*GL*","*DGB*","*DGI*","*GT*","*CS*","*PWU*","*DBI*","*SWU*"}))=0,P159,IF(IFERROR(VALUE(SUBSTITUTE(SUBSTITUTE(O159,"W",""),"""","")),0)&gt;52,P159&amp;"-OVRSIZE-",P159))))</f>
        <v/>
      </c>
      <c r="H159" s="15" t="str">
        <v/>
      </c>
      <c r="I159" s="15" t="str">
        <v/>
      </c>
      <c r="J159" s="15" t="str">
        <v/>
      </c>
      <c r="K159" s="15" t="str">
        <v/>
      </c>
      <c r="L159" s="15" t="str">
        <v/>
      </c>
      <c r="M159" s="10" t="str">
        <v/>
      </c>
      <c r="N159" s="14"/>
      <c r="O159" s="15" t="str" cm="1">
        <f t="array" ref="O159">IFERROR(_xlfn.LET(
_xlpm.clean,TRIM(SUBSTITUTE(SUBSTITUTE(P159,CHAR(160),"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9" s="15"/>
      <c r="R159" t="str">
        <v/>
      </c>
      <c r="S159" t="str">
        <f t="shared" si="3"/>
        <v/>
      </c>
    </row>
    <row r="160" spans="1:19" ht="12.75">
      <c r="A160" s="15" t="str">
        <v/>
      </c>
      <c r="B160" s="15" t="str">
        <v/>
      </c>
      <c r="C160" s="15" t="str" cm="1">
        <f t="array" ref="C160">IFERROR(_xlfn.TEXTJOIN("",TRUE,_xlfn._xlws.FILTER(MID(S160,_xlfn.SEQUENCE(LEN(S160)),1),ISNUMBER(SEARCH(MID(S160,_xlfn.SEQUENCE(LEN(S160)),1),"ABCDEFGHIJKLMNOPQRSTUVWXYZabcdefghijklmnopqrstuvwxyz0123456789,")))),"")</f>
        <v/>
      </c>
      <c r="D160" s="15" t="str">
        <v/>
      </c>
      <c r="E160" s="16" t="str">
        <v/>
      </c>
      <c r="F160" s="15" t="str">
        <v/>
      </c>
      <c r="G160" s="20" t="str" cm="1">
        <f t="array" ref="G160">IF(TRIM(P160)="","",IF(SUM(COUNTIF(P160,{"*NLGD*","*FWG*"}))&gt;0,P160,IF(SUM(COUNTIF(P160,{"*GL*","*DGB*","*DGI*","*GT*","*CS*","*PWU*","*DBI*","*SWU*"}))=0,P160,IF(IFERROR(VALUE(SUBSTITUTE(SUBSTITUTE(O160,"W",""),"""","")),0)&gt;52,P160&amp;"-OVRSIZE-",P160))))</f>
        <v/>
      </c>
      <c r="H160" s="15" t="str">
        <v/>
      </c>
      <c r="I160" s="15" t="str">
        <v/>
      </c>
      <c r="J160" s="15" t="str">
        <v/>
      </c>
      <c r="K160" s="15" t="str">
        <v/>
      </c>
      <c r="L160" s="15" t="str">
        <v/>
      </c>
      <c r="M160" s="10" t="str">
        <v/>
      </c>
      <c r="N160" s="14"/>
      <c r="O160" s="15" t="str" cm="1">
        <f t="array" ref="O160">IFERROR(_xlfn.LET(
_xlpm.clean,TRIM(SUBSTITUTE(SUBSTITUTE(P160,CHAR(160),"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0" s="15"/>
      <c r="R160" t="str">
        <v/>
      </c>
      <c r="S160" t="str">
        <f t="shared" si="3"/>
        <v/>
      </c>
    </row>
    <row r="161" spans="1:19" ht="12.75">
      <c r="A161" s="15" t="str">
        <v/>
      </c>
      <c r="B161" s="15" t="str">
        <v/>
      </c>
      <c r="C161" s="15" t="str" cm="1">
        <f t="array" ref="C161">IFERROR(_xlfn.TEXTJOIN("",TRUE,_xlfn._xlws.FILTER(MID(S161,_xlfn.SEQUENCE(LEN(S161)),1),ISNUMBER(SEARCH(MID(S161,_xlfn.SEQUENCE(LEN(S161)),1),"ABCDEFGHIJKLMNOPQRSTUVWXYZabcdefghijklmnopqrstuvwxyz0123456789,")))),"")</f>
        <v/>
      </c>
      <c r="D161" s="15" t="str">
        <v/>
      </c>
      <c r="E161" s="16" t="str">
        <v/>
      </c>
      <c r="F161" s="15" t="str">
        <v/>
      </c>
      <c r="G161" s="20" t="str" cm="1">
        <f t="array" ref="G161">IF(TRIM(P161)="","",IF(SUM(COUNTIF(P161,{"*NLGD*","*FWG*"}))&gt;0,P161,IF(SUM(COUNTIF(P161,{"*GL*","*DGB*","*DGI*","*GT*","*CS*","*PWU*","*DBI*","*SWU*"}))=0,P161,IF(IFERROR(VALUE(SUBSTITUTE(SUBSTITUTE(O161,"W",""),"""","")),0)&gt;52,P161&amp;"-OVRSIZE-",P161))))</f>
        <v/>
      </c>
      <c r="H161" s="15" t="str">
        <v/>
      </c>
      <c r="I161" s="15" t="str">
        <v/>
      </c>
      <c r="J161" s="15" t="str">
        <v/>
      </c>
      <c r="K161" s="15" t="str">
        <v/>
      </c>
      <c r="L161" s="15" t="str">
        <v/>
      </c>
      <c r="M161" s="10" t="str">
        <v/>
      </c>
      <c r="N161" s="14"/>
      <c r="O161" s="15" t="str" cm="1">
        <f t="array" ref="O161">IFERROR(_xlfn.LET(
_xlpm.clean,TRIM(SUBSTITUTE(SUBSTITUTE(P161,CHAR(160),"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1" s="15"/>
      <c r="R161" t="str">
        <v/>
      </c>
      <c r="S161" t="str">
        <f t="shared" si="3"/>
        <v/>
      </c>
    </row>
    <row r="162" spans="1:19" ht="12.75">
      <c r="A162" s="15" t="str">
        <v/>
      </c>
      <c r="B162" s="15" t="str">
        <v/>
      </c>
      <c r="C162" s="15" t="str" cm="1">
        <f t="array" ref="C162">IFERROR(_xlfn.TEXTJOIN("",TRUE,_xlfn._xlws.FILTER(MID(S162,_xlfn.SEQUENCE(LEN(S162)),1),ISNUMBER(SEARCH(MID(S162,_xlfn.SEQUENCE(LEN(S162)),1),"ABCDEFGHIJKLMNOPQRSTUVWXYZabcdefghijklmnopqrstuvwxyz0123456789,")))),"")</f>
        <v/>
      </c>
      <c r="D162" s="15" t="str">
        <v/>
      </c>
      <c r="E162" s="16" t="str">
        <v/>
      </c>
      <c r="F162" s="15" t="str">
        <v/>
      </c>
      <c r="G162" s="20" t="str" cm="1">
        <f t="array" ref="G162">IF(TRIM(P162)="","",IF(SUM(COUNTIF(P162,{"*NLGD*","*FWG*"}))&gt;0,P162,IF(SUM(COUNTIF(P162,{"*GL*","*DGB*","*DGI*","*GT*","*CS*","*PWU*","*DBI*","*SWU*"}))=0,P162,IF(IFERROR(VALUE(SUBSTITUTE(SUBSTITUTE(O162,"W",""),"""","")),0)&gt;52,P162&amp;"-OVRSIZE-",P162))))</f>
        <v/>
      </c>
      <c r="H162" s="15" t="str">
        <v/>
      </c>
      <c r="I162" s="15" t="str">
        <v/>
      </c>
      <c r="J162" s="15" t="str">
        <v/>
      </c>
      <c r="K162" s="15" t="str">
        <v/>
      </c>
      <c r="L162" s="15" t="str">
        <v/>
      </c>
      <c r="M162" s="10" t="str">
        <v/>
      </c>
      <c r="N162" s="14"/>
      <c r="O162" s="15" t="str" cm="1">
        <f t="array" ref="O162">IFERROR(_xlfn.LET(
_xlpm.clean,TRIM(SUBSTITUTE(SUBSTITUTE(P162,CHAR(160),"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2" s="15"/>
      <c r="R162" t="str">
        <v/>
      </c>
      <c r="S162" t="str">
        <f t="shared" si="3"/>
        <v/>
      </c>
    </row>
    <row r="163" spans="1:19" ht="12.75">
      <c r="A163" s="15" t="str">
        <v/>
      </c>
      <c r="B163" s="15" t="str">
        <v/>
      </c>
      <c r="C163" s="15" t="str" cm="1">
        <f t="array" ref="C163">IFERROR(_xlfn.TEXTJOIN("",TRUE,_xlfn._xlws.FILTER(MID(S163,_xlfn.SEQUENCE(LEN(S163)),1),ISNUMBER(SEARCH(MID(S163,_xlfn.SEQUENCE(LEN(S163)),1),"ABCDEFGHIJKLMNOPQRSTUVWXYZabcdefghijklmnopqrstuvwxyz0123456789,")))),"")</f>
        <v/>
      </c>
      <c r="D163" s="15" t="str">
        <v/>
      </c>
      <c r="E163" s="16" t="str">
        <v/>
      </c>
      <c r="F163" s="15" t="str">
        <v/>
      </c>
      <c r="G163" s="20" t="str" cm="1">
        <f t="array" ref="G163">IF(TRIM(P163)="","",IF(SUM(COUNTIF(P163,{"*NLGD*","*FWG*"}))&gt;0,P163,IF(SUM(COUNTIF(P163,{"*GL*","*DGB*","*DGI*","*GT*","*CS*","*PWU*","*DBI*","*SWU*"}))=0,P163,IF(IFERROR(VALUE(SUBSTITUTE(SUBSTITUTE(O163,"W",""),"""","")),0)&gt;52,P163&amp;"-OVRSIZE-",P163))))</f>
        <v/>
      </c>
      <c r="H163" s="15" t="str">
        <v/>
      </c>
      <c r="I163" s="15" t="str">
        <v/>
      </c>
      <c r="J163" s="15" t="str">
        <v/>
      </c>
      <c r="K163" s="15" t="str">
        <v/>
      </c>
      <c r="L163" s="15" t="str">
        <v/>
      </c>
      <c r="M163" s="10" t="str">
        <v/>
      </c>
      <c r="N163" s="14"/>
      <c r="O163" s="15" t="str" cm="1">
        <f t="array" ref="O163">IFERROR(_xlfn.LET(
_xlpm.clean,TRIM(SUBSTITUTE(SUBSTITUTE(P163,CHAR(160),"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3" s="15"/>
      <c r="R163" t="str">
        <v/>
      </c>
      <c r="S163" t="str">
        <f t="shared" si="3"/>
        <v/>
      </c>
    </row>
    <row r="164" spans="1:19" ht="12.75">
      <c r="A164" s="15" t="str">
        <v/>
      </c>
      <c r="B164" s="15" t="str">
        <v/>
      </c>
      <c r="C164" s="15" t="str" cm="1">
        <f t="array" ref="C164">IFERROR(_xlfn.TEXTJOIN("",TRUE,_xlfn._xlws.FILTER(MID(S164,_xlfn.SEQUENCE(LEN(S164)),1),ISNUMBER(SEARCH(MID(S164,_xlfn.SEQUENCE(LEN(S164)),1),"ABCDEFGHIJKLMNOPQRSTUVWXYZabcdefghijklmnopqrstuvwxyz0123456789,")))),"")</f>
        <v/>
      </c>
      <c r="D164" s="15" t="str">
        <v/>
      </c>
      <c r="E164" s="16" t="str">
        <v/>
      </c>
      <c r="F164" s="15" t="str">
        <v/>
      </c>
      <c r="G164" s="20" t="str" cm="1">
        <f t="array" ref="G164">IF(TRIM(P164)="","",IF(SUM(COUNTIF(P164,{"*NLGD*","*FWG*"}))&gt;0,P164,IF(SUM(COUNTIF(P164,{"*GL*","*DGB*","*DGI*","*GT*","*CS*","*PWU*","*DBI*","*SWU*"}))=0,P164,IF(IFERROR(VALUE(SUBSTITUTE(SUBSTITUTE(O164,"W",""),"""","")),0)&gt;52,P164&amp;"-OVRSIZE-",P164))))</f>
        <v/>
      </c>
      <c r="H164" s="15" t="str">
        <v/>
      </c>
      <c r="I164" s="15" t="str">
        <v/>
      </c>
      <c r="J164" s="15" t="str">
        <v/>
      </c>
      <c r="K164" s="15" t="str">
        <v/>
      </c>
      <c r="L164" s="15" t="str">
        <v/>
      </c>
      <c r="M164" s="10" t="str">
        <v/>
      </c>
      <c r="N164" s="14"/>
      <c r="O164" s="15" t="str" cm="1">
        <f t="array" ref="O164">IFERROR(_xlfn.LET(
_xlpm.clean,TRIM(SUBSTITUTE(SUBSTITUTE(P164,CHAR(160),"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4" s="15"/>
      <c r="R164" t="str">
        <v/>
      </c>
      <c r="S164" t="str">
        <f t="shared" si="3"/>
        <v/>
      </c>
    </row>
    <row r="165" spans="1:19" ht="12.75">
      <c r="A165" s="15" t="str">
        <v/>
      </c>
      <c r="B165" s="15" t="str">
        <v/>
      </c>
      <c r="C165" s="15" t="str" cm="1">
        <f t="array" ref="C165">IFERROR(_xlfn.TEXTJOIN("",TRUE,_xlfn._xlws.FILTER(MID(S165,_xlfn.SEQUENCE(LEN(S165)),1),ISNUMBER(SEARCH(MID(S165,_xlfn.SEQUENCE(LEN(S165)),1),"ABCDEFGHIJKLMNOPQRSTUVWXYZabcdefghijklmnopqrstuvwxyz0123456789,")))),"")</f>
        <v/>
      </c>
      <c r="D165" s="15" t="str">
        <v/>
      </c>
      <c r="E165" s="16" t="str">
        <v/>
      </c>
      <c r="F165" s="15" t="str">
        <v/>
      </c>
      <c r="G165" s="20" t="str" cm="1">
        <f t="array" ref="G165">IF(TRIM(P165)="","",IF(SUM(COUNTIF(P165,{"*NLGD*","*FWG*"}))&gt;0,P165,IF(SUM(COUNTIF(P165,{"*GL*","*DGB*","*DGI*","*GT*","*CS*","*PWU*","*DBI*","*SWU*"}))=0,P165,IF(IFERROR(VALUE(SUBSTITUTE(SUBSTITUTE(O165,"W",""),"""","")),0)&gt;52,P165&amp;"-OVRSIZE-",P165))))</f>
        <v/>
      </c>
      <c r="H165" s="15" t="str">
        <v/>
      </c>
      <c r="I165" s="15" t="str">
        <v/>
      </c>
      <c r="J165" s="15" t="str">
        <v/>
      </c>
      <c r="K165" s="15" t="str">
        <v/>
      </c>
      <c r="L165" s="15" t="str">
        <v/>
      </c>
      <c r="M165" s="10" t="str">
        <v/>
      </c>
      <c r="N165" s="14"/>
      <c r="O165" s="15" t="str" cm="1">
        <f t="array" ref="O165">IFERROR(_xlfn.LET(
_xlpm.clean,TRIM(SUBSTITUTE(SUBSTITUTE(P165,CHAR(160),"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5" s="15"/>
      <c r="R165" t="str">
        <v/>
      </c>
      <c r="S165" t="str">
        <f t="shared" si="3"/>
        <v/>
      </c>
    </row>
    <row r="166" spans="1:19" ht="12.75">
      <c r="A166" s="15" t="str">
        <v/>
      </c>
      <c r="B166" s="15" t="str">
        <v/>
      </c>
      <c r="C166" s="15" t="str" cm="1">
        <f t="array" ref="C166">IFERROR(_xlfn.TEXTJOIN("",TRUE,_xlfn._xlws.FILTER(MID(S166,_xlfn.SEQUENCE(LEN(S166)),1),ISNUMBER(SEARCH(MID(S166,_xlfn.SEQUENCE(LEN(S166)),1),"ABCDEFGHIJKLMNOPQRSTUVWXYZabcdefghijklmnopqrstuvwxyz0123456789,")))),"")</f>
        <v/>
      </c>
      <c r="D166" s="15" t="str">
        <v/>
      </c>
      <c r="E166" s="16" t="str">
        <v/>
      </c>
      <c r="F166" s="15" t="str">
        <v/>
      </c>
      <c r="G166" s="20" t="str" cm="1">
        <f t="array" ref="G166">IF(TRIM(P166)="","",IF(SUM(COUNTIF(P166,{"*NLGD*","*FWG*"}))&gt;0,P166,IF(SUM(COUNTIF(P166,{"*GL*","*DGB*","*DGI*","*GT*","*CS*","*PWU*","*DBI*","*SWU*"}))=0,P166,IF(IFERROR(VALUE(SUBSTITUTE(SUBSTITUTE(O166,"W",""),"""","")),0)&gt;52,P166&amp;"-OVRSIZE-",P166))))</f>
        <v/>
      </c>
      <c r="H166" s="15" t="str">
        <v/>
      </c>
      <c r="I166" s="15" t="str">
        <v/>
      </c>
      <c r="J166" s="15" t="str">
        <v/>
      </c>
      <c r="K166" s="15" t="str">
        <v/>
      </c>
      <c r="L166" s="15" t="str">
        <v/>
      </c>
      <c r="M166" s="10" t="str">
        <v/>
      </c>
      <c r="N166" s="14"/>
      <c r="O166" s="15" t="str" cm="1">
        <f t="array" ref="O166">IFERROR(_xlfn.LET(
_xlpm.clean,TRIM(SUBSTITUTE(SUBSTITUTE(P166,CHAR(160),"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6" s="15"/>
      <c r="R166" t="str">
        <v/>
      </c>
      <c r="S166" t="str">
        <f t="shared" si="3"/>
        <v/>
      </c>
    </row>
    <row r="167" spans="1:19" ht="12.75">
      <c r="A167" s="15" t="str">
        <v/>
      </c>
      <c r="B167" s="15" t="str">
        <v/>
      </c>
      <c r="C167" s="15" t="str" cm="1">
        <f t="array" ref="C167">IFERROR(_xlfn.TEXTJOIN("",TRUE,_xlfn._xlws.FILTER(MID(S167,_xlfn.SEQUENCE(LEN(S167)),1),ISNUMBER(SEARCH(MID(S167,_xlfn.SEQUENCE(LEN(S167)),1),"ABCDEFGHIJKLMNOPQRSTUVWXYZabcdefghijklmnopqrstuvwxyz0123456789,")))),"")</f>
        <v/>
      </c>
      <c r="D167" s="15" t="str">
        <v/>
      </c>
      <c r="E167" s="16" t="str">
        <v/>
      </c>
      <c r="F167" s="15" t="str">
        <v/>
      </c>
      <c r="G167" s="20" t="str" cm="1">
        <f t="array" ref="G167">IF(TRIM(P167)="","",IF(SUM(COUNTIF(P167,{"*NLGD*","*FWG*"}))&gt;0,P167,IF(SUM(COUNTIF(P167,{"*GL*","*DGB*","*DGI*","*GT*","*CS*","*PWU*","*DBI*","*SWU*"}))=0,P167,IF(IFERROR(VALUE(SUBSTITUTE(SUBSTITUTE(O167,"W",""),"""","")),0)&gt;52,P167&amp;"-OVRSIZE-",P167))))</f>
        <v/>
      </c>
      <c r="H167" s="15" t="str">
        <v/>
      </c>
      <c r="I167" s="15" t="str">
        <v/>
      </c>
      <c r="J167" s="15" t="str">
        <v/>
      </c>
      <c r="K167" s="15" t="str">
        <v/>
      </c>
      <c r="L167" s="15" t="str">
        <v/>
      </c>
      <c r="M167" s="10" t="str">
        <v/>
      </c>
      <c r="N167" s="14"/>
      <c r="O167" s="15" t="str" cm="1">
        <f t="array" ref="O167">IFERROR(_xlfn.LET(
_xlpm.clean,TRIM(SUBSTITUTE(SUBSTITUTE(P167,CHAR(160),"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7" s="15"/>
      <c r="R167" t="str">
        <v/>
      </c>
      <c r="S167" t="str">
        <f t="shared" si="3"/>
        <v/>
      </c>
    </row>
    <row r="168" spans="1:19" ht="12.75">
      <c r="A168" s="15" t="str">
        <v/>
      </c>
      <c r="B168" s="15" t="str">
        <v/>
      </c>
      <c r="C168" s="15" t="str" cm="1">
        <f t="array" ref="C168">IFERROR(_xlfn.TEXTJOIN("",TRUE,_xlfn._xlws.FILTER(MID(S168,_xlfn.SEQUENCE(LEN(S168)),1),ISNUMBER(SEARCH(MID(S168,_xlfn.SEQUENCE(LEN(S168)),1),"ABCDEFGHIJKLMNOPQRSTUVWXYZabcdefghijklmnopqrstuvwxyz0123456789,")))),"")</f>
        <v/>
      </c>
      <c r="D168" s="15" t="str">
        <v/>
      </c>
      <c r="E168" s="16" t="str">
        <v/>
      </c>
      <c r="F168" s="15" t="str">
        <v/>
      </c>
      <c r="G168" s="20" t="str" cm="1">
        <f t="array" ref="G168">IF(TRIM(P168)="","",IF(SUM(COUNTIF(P168,{"*NLGD*","*FWG*"}))&gt;0,P168,IF(SUM(COUNTIF(P168,{"*GL*","*DGB*","*DGI*","*GT*","*CS*","*PWU*","*DBI*","*SWU*"}))=0,P168,IF(IFERROR(VALUE(SUBSTITUTE(SUBSTITUTE(O168,"W",""),"""","")),0)&gt;52,P168&amp;"-OVRSIZE-",P168))))</f>
        <v/>
      </c>
      <c r="H168" s="15" t="str">
        <v/>
      </c>
      <c r="I168" s="15" t="str">
        <v/>
      </c>
      <c r="J168" s="15" t="str">
        <v/>
      </c>
      <c r="K168" s="15" t="str">
        <v/>
      </c>
      <c r="L168" s="15" t="str">
        <v/>
      </c>
      <c r="M168" s="10" t="str">
        <v/>
      </c>
      <c r="N168" s="14"/>
      <c r="O168" s="15" t="str" cm="1">
        <f t="array" ref="O168">IFERROR(_xlfn.LET(
_xlpm.clean,TRIM(SUBSTITUTE(SUBSTITUTE(P168,CHAR(160),"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8" s="15"/>
      <c r="R168" t="str">
        <v/>
      </c>
      <c r="S168" t="str">
        <f t="shared" si="3"/>
        <v/>
      </c>
    </row>
    <row r="169" spans="1:19" ht="12.75">
      <c r="A169" s="15" t="str">
        <v/>
      </c>
      <c r="B169" s="15" t="str">
        <v/>
      </c>
      <c r="C169" s="15" t="str" cm="1">
        <f t="array" ref="C169">IFERROR(_xlfn.TEXTJOIN("",TRUE,_xlfn._xlws.FILTER(MID(S169,_xlfn.SEQUENCE(LEN(S169)),1),ISNUMBER(SEARCH(MID(S169,_xlfn.SEQUENCE(LEN(S169)),1),"ABCDEFGHIJKLMNOPQRSTUVWXYZabcdefghijklmnopqrstuvwxyz0123456789,")))),"")</f>
        <v/>
      </c>
      <c r="D169" s="15" t="str">
        <v/>
      </c>
      <c r="E169" s="16" t="str">
        <v/>
      </c>
      <c r="F169" s="15" t="str">
        <v/>
      </c>
      <c r="G169" s="20" t="str" cm="1">
        <f t="array" ref="G169">IF(TRIM(P169)="","",IF(SUM(COUNTIF(P169,{"*NLGD*","*FWG*"}))&gt;0,P169,IF(SUM(COUNTIF(P169,{"*GL*","*DGB*","*DGI*","*GT*","*CS*","*PWU*","*DBI*","*SWU*"}))=0,P169,IF(IFERROR(VALUE(SUBSTITUTE(SUBSTITUTE(O169,"W",""),"""","")),0)&gt;52,P169&amp;"-OVRSIZE-",P169))))</f>
        <v/>
      </c>
      <c r="H169" s="15" t="str">
        <v/>
      </c>
      <c r="I169" s="15" t="str">
        <v/>
      </c>
      <c r="J169" s="15" t="str">
        <v/>
      </c>
      <c r="K169" s="15" t="str">
        <v/>
      </c>
      <c r="L169" s="15" t="str">
        <v/>
      </c>
      <c r="M169" s="10" t="str">
        <v/>
      </c>
      <c r="N169" s="14"/>
      <c r="O169" s="15" t="str" cm="1">
        <f t="array" ref="O169">IFERROR(_xlfn.LET(
_xlpm.clean,TRIM(SUBSTITUTE(SUBSTITUTE(P169,CHAR(160),"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9" s="15"/>
      <c r="R169" t="str">
        <v/>
      </c>
      <c r="S169" t="str">
        <f t="shared" si="3"/>
        <v/>
      </c>
    </row>
    <row r="170" spans="1:19" ht="12.75">
      <c r="A170" s="15" t="str">
        <v/>
      </c>
      <c r="B170" s="15" t="str">
        <v/>
      </c>
      <c r="C170" s="15" t="str" cm="1">
        <f t="array" ref="C170">IFERROR(_xlfn.TEXTJOIN("",TRUE,_xlfn._xlws.FILTER(MID(S170,_xlfn.SEQUENCE(LEN(S170)),1),ISNUMBER(SEARCH(MID(S170,_xlfn.SEQUENCE(LEN(S170)),1),"ABCDEFGHIJKLMNOPQRSTUVWXYZabcdefghijklmnopqrstuvwxyz0123456789,")))),"")</f>
        <v/>
      </c>
      <c r="D170" s="15" t="str">
        <v/>
      </c>
      <c r="E170" s="16" t="str">
        <v/>
      </c>
      <c r="F170" s="15" t="str">
        <v/>
      </c>
      <c r="G170" s="20" t="str" cm="1">
        <f t="array" ref="G170">IF(TRIM(P170)="","",IF(SUM(COUNTIF(P170,{"*NLGD*","*FWG*"}))&gt;0,P170,IF(SUM(COUNTIF(P170,{"*GL*","*DGB*","*DGI*","*GT*","*CS*","*PWU*","*DBI*","*SWU*"}))=0,P170,IF(IFERROR(VALUE(SUBSTITUTE(SUBSTITUTE(O170,"W",""),"""","")),0)&gt;52,P170&amp;"-OVRSIZE-",P170))))</f>
        <v/>
      </c>
      <c r="H170" s="15" t="str">
        <v/>
      </c>
      <c r="I170" s="15" t="str">
        <v/>
      </c>
      <c r="J170" s="15" t="str">
        <v/>
      </c>
      <c r="K170" s="15" t="str">
        <v/>
      </c>
      <c r="L170" s="15" t="str">
        <v/>
      </c>
      <c r="M170" s="10" t="str">
        <v/>
      </c>
      <c r="N170" s="14"/>
      <c r="O170" s="15" t="str" cm="1">
        <f t="array" ref="O170">IFERROR(_xlfn.LET(
_xlpm.clean,TRIM(SUBSTITUTE(SUBSTITUTE(P170,CHAR(160),"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0" s="15"/>
      <c r="R170" t="str">
        <v/>
      </c>
      <c r="S170" t="str">
        <f t="shared" si="3"/>
        <v/>
      </c>
    </row>
    <row r="171" spans="1:19" ht="12.75">
      <c r="A171" s="15" t="str">
        <v/>
      </c>
      <c r="B171" s="15" t="str">
        <v/>
      </c>
      <c r="C171" s="15" t="str" cm="1">
        <f t="array" ref="C171">IFERROR(_xlfn.TEXTJOIN("",TRUE,_xlfn._xlws.FILTER(MID(S171,_xlfn.SEQUENCE(LEN(S171)),1),ISNUMBER(SEARCH(MID(S171,_xlfn.SEQUENCE(LEN(S171)),1),"ABCDEFGHIJKLMNOPQRSTUVWXYZabcdefghijklmnopqrstuvwxyz0123456789,")))),"")</f>
        <v/>
      </c>
      <c r="D171" s="15" t="str">
        <v/>
      </c>
      <c r="E171" s="16" t="str">
        <v/>
      </c>
      <c r="F171" s="15" t="str">
        <v/>
      </c>
      <c r="G171" s="20" t="str" cm="1">
        <f t="array" ref="G171">IF(TRIM(P171)="","",IF(SUM(COUNTIF(P171,{"*NLGD*","*FWG*"}))&gt;0,P171,IF(SUM(COUNTIF(P171,{"*GL*","*DGB*","*DGI*","*GT*","*CS*","*PWU*","*DBI*","*SWU*"}))=0,P171,IF(IFERROR(VALUE(SUBSTITUTE(SUBSTITUTE(O171,"W",""),"""","")),0)&gt;52,P171&amp;"-OVRSIZE-",P171))))</f>
        <v/>
      </c>
      <c r="H171" s="15" t="str">
        <v/>
      </c>
      <c r="I171" s="15" t="str">
        <v/>
      </c>
      <c r="J171" s="15" t="str">
        <v/>
      </c>
      <c r="K171" s="15" t="str">
        <v/>
      </c>
      <c r="L171" s="15" t="str">
        <v/>
      </c>
      <c r="M171" s="10" t="str">
        <v/>
      </c>
      <c r="N171" s="14"/>
      <c r="O171" s="15" t="str" cm="1">
        <f t="array" ref="O171">IFERROR(_xlfn.LET(
_xlpm.clean,TRIM(SUBSTITUTE(SUBSTITUTE(P171,CHAR(160),"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1" s="15"/>
      <c r="R171" t="str">
        <v/>
      </c>
      <c r="S171" t="str">
        <f t="shared" si="3"/>
        <v/>
      </c>
    </row>
    <row r="172" spans="1:19" ht="12.75">
      <c r="A172" s="15" t="str">
        <v/>
      </c>
      <c r="B172" s="15" t="str">
        <v/>
      </c>
      <c r="C172" s="15" t="str" cm="1">
        <f t="array" ref="C172">IFERROR(_xlfn.TEXTJOIN("",TRUE,_xlfn._xlws.FILTER(MID(S172,_xlfn.SEQUENCE(LEN(S172)),1),ISNUMBER(SEARCH(MID(S172,_xlfn.SEQUENCE(LEN(S172)),1),"ABCDEFGHIJKLMNOPQRSTUVWXYZabcdefghijklmnopqrstuvwxyz0123456789,")))),"")</f>
        <v/>
      </c>
      <c r="D172" s="15" t="str">
        <v/>
      </c>
      <c r="E172" s="16" t="str">
        <v/>
      </c>
      <c r="F172" s="15" t="str">
        <v/>
      </c>
      <c r="G172" s="20" t="str" cm="1">
        <f t="array" ref="G172">IF(TRIM(P172)="","",IF(SUM(COUNTIF(P172,{"*NLGD*","*FWG*"}))&gt;0,P172,IF(SUM(COUNTIF(P172,{"*GL*","*DGB*","*DGI*","*GT*","*CS*","*PWU*","*DBI*","*SWU*"}))=0,P172,IF(IFERROR(VALUE(SUBSTITUTE(SUBSTITUTE(O172,"W",""),"""","")),0)&gt;52,P172&amp;"-OVRSIZE-",P172))))</f>
        <v/>
      </c>
      <c r="H172" s="15" t="str">
        <v/>
      </c>
      <c r="I172" s="15" t="str">
        <v/>
      </c>
      <c r="J172" s="15" t="str">
        <v/>
      </c>
      <c r="K172" s="15" t="str">
        <v/>
      </c>
      <c r="L172" s="15" t="str">
        <v/>
      </c>
      <c r="M172" s="10" t="str">
        <v/>
      </c>
      <c r="N172" s="14"/>
      <c r="O172" s="15" t="str" cm="1">
        <f t="array" ref="O172">IFERROR(_xlfn.LET(
_xlpm.clean,TRIM(SUBSTITUTE(SUBSTITUTE(P172,CHAR(160),"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2" s="15"/>
      <c r="R172" t="str">
        <v/>
      </c>
      <c r="S172" t="str">
        <f t="shared" si="3"/>
        <v/>
      </c>
    </row>
    <row r="173" spans="1:19" ht="12.75">
      <c r="A173" s="15" t="str">
        <v/>
      </c>
      <c r="B173" s="15" t="str">
        <v/>
      </c>
      <c r="C173" s="15" t="str" cm="1">
        <f t="array" ref="C173">IFERROR(_xlfn.TEXTJOIN("",TRUE,_xlfn._xlws.FILTER(MID(S173,_xlfn.SEQUENCE(LEN(S173)),1),ISNUMBER(SEARCH(MID(S173,_xlfn.SEQUENCE(LEN(S173)),1),"ABCDEFGHIJKLMNOPQRSTUVWXYZabcdefghijklmnopqrstuvwxyz0123456789,")))),"")</f>
        <v/>
      </c>
      <c r="D173" s="15" t="str">
        <v/>
      </c>
      <c r="E173" s="16" t="str">
        <v/>
      </c>
      <c r="F173" s="15" t="str">
        <v/>
      </c>
      <c r="G173" s="20" t="str" cm="1">
        <f t="array" ref="G173">IF(TRIM(P173)="","",IF(SUM(COUNTIF(P173,{"*NLGD*","*FWG*"}))&gt;0,P173,IF(SUM(COUNTIF(P173,{"*GL*","*DGB*","*DGI*","*GT*","*CS*","*PWU*","*DBI*","*SWU*"}))=0,P173,IF(IFERROR(VALUE(SUBSTITUTE(SUBSTITUTE(O173,"W",""),"""","")),0)&gt;52,P173&amp;"-OVRSIZE-",P173))))</f>
        <v/>
      </c>
      <c r="H173" s="15" t="str">
        <v/>
      </c>
      <c r="I173" s="15" t="str">
        <v/>
      </c>
      <c r="J173" s="15" t="str">
        <v/>
      </c>
      <c r="K173" s="15" t="str">
        <v/>
      </c>
      <c r="L173" s="15" t="str">
        <v/>
      </c>
      <c r="M173" s="10" t="str">
        <v/>
      </c>
      <c r="N173" s="14"/>
      <c r="O173" s="15" t="str" cm="1">
        <f t="array" ref="O173">IFERROR(_xlfn.LET(
_xlpm.clean,TRIM(SUBSTITUTE(SUBSTITUTE(P173,CHAR(160),"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3" s="15"/>
      <c r="R173" t="str">
        <v/>
      </c>
      <c r="S173" t="str">
        <f t="shared" si="3"/>
        <v/>
      </c>
    </row>
    <row r="174" spans="1:19" ht="12.75">
      <c r="A174" s="15" t="str">
        <v/>
      </c>
      <c r="B174" s="15" t="str">
        <v/>
      </c>
      <c r="C174" s="15" t="str" cm="1">
        <f t="array" ref="C174">IFERROR(_xlfn.TEXTJOIN("",TRUE,_xlfn._xlws.FILTER(MID(S174,_xlfn.SEQUENCE(LEN(S174)),1),ISNUMBER(SEARCH(MID(S174,_xlfn.SEQUENCE(LEN(S174)),1),"ABCDEFGHIJKLMNOPQRSTUVWXYZabcdefghijklmnopqrstuvwxyz0123456789,")))),"")</f>
        <v/>
      </c>
      <c r="D174" s="15" t="str">
        <v/>
      </c>
      <c r="E174" s="16" t="str">
        <v/>
      </c>
      <c r="F174" s="15" t="str">
        <v/>
      </c>
      <c r="G174" s="20" t="str" cm="1">
        <f t="array" ref="G174">IF(TRIM(P174)="","",IF(SUM(COUNTIF(P174,{"*NLGD*","*FWG*"}))&gt;0,P174,IF(SUM(COUNTIF(P174,{"*GL*","*DGB*","*DGI*","*GT*","*CS*","*PWU*","*DBI*","*SWU*"}))=0,P174,IF(IFERROR(VALUE(SUBSTITUTE(SUBSTITUTE(O174,"W",""),"""","")),0)&gt;52,P174&amp;"-OVRSIZE-",P174))))</f>
        <v/>
      </c>
      <c r="H174" s="15" t="str">
        <v/>
      </c>
      <c r="I174" s="15" t="str">
        <v/>
      </c>
      <c r="J174" s="15" t="str">
        <v/>
      </c>
      <c r="K174" s="15" t="str">
        <v/>
      </c>
      <c r="L174" s="15" t="str">
        <v/>
      </c>
      <c r="M174" s="10" t="str">
        <v/>
      </c>
      <c r="N174" s="14"/>
      <c r="O174" s="15" t="str" cm="1">
        <f t="array" ref="O174">IFERROR(_xlfn.LET(
_xlpm.clean,TRIM(SUBSTITUTE(SUBSTITUTE(P174,CHAR(160),"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4" s="15"/>
      <c r="R174" t="str">
        <v/>
      </c>
      <c r="S174" t="str">
        <f t="shared" si="3"/>
        <v/>
      </c>
    </row>
    <row r="175" spans="1:19" ht="12.75">
      <c r="A175" s="15" t="str">
        <v/>
      </c>
      <c r="B175" s="15" t="str">
        <v/>
      </c>
      <c r="C175" s="15" t="str" cm="1">
        <f t="array" ref="C175">IFERROR(_xlfn.TEXTJOIN("",TRUE,_xlfn._xlws.FILTER(MID(S175,_xlfn.SEQUENCE(LEN(S175)),1),ISNUMBER(SEARCH(MID(S175,_xlfn.SEQUENCE(LEN(S175)),1),"ABCDEFGHIJKLMNOPQRSTUVWXYZabcdefghijklmnopqrstuvwxyz0123456789,")))),"")</f>
        <v/>
      </c>
      <c r="D175" s="15" t="str">
        <v/>
      </c>
      <c r="E175" s="16" t="str">
        <v/>
      </c>
      <c r="F175" s="15" t="str">
        <v/>
      </c>
      <c r="G175" s="20" t="str" cm="1">
        <f t="array" ref="G175">IF(TRIM(P175)="","",IF(SUM(COUNTIF(P175,{"*NLGD*","*FWG*"}))&gt;0,P175,IF(SUM(COUNTIF(P175,{"*GL*","*DGB*","*DGI*","*GT*","*CS*","*PWU*","*DBI*","*SWU*"}))=0,P175,IF(IFERROR(VALUE(SUBSTITUTE(SUBSTITUTE(O175,"W",""),"""","")),0)&gt;52,P175&amp;"-OVRSIZE-",P175))))</f>
        <v/>
      </c>
      <c r="H175" s="15" t="str">
        <v/>
      </c>
      <c r="I175" s="15" t="str">
        <v/>
      </c>
      <c r="J175" s="15" t="str">
        <v/>
      </c>
      <c r="K175" s="15" t="str">
        <v/>
      </c>
      <c r="L175" s="15" t="str">
        <v/>
      </c>
      <c r="M175" s="10" t="str">
        <v/>
      </c>
      <c r="N175" s="14"/>
      <c r="O175" s="15" t="str" cm="1">
        <f t="array" ref="O175">IFERROR(_xlfn.LET(
_xlpm.clean,TRIM(SUBSTITUTE(SUBSTITUTE(P175,CHAR(160),"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5" s="15"/>
      <c r="R175" t="str">
        <v/>
      </c>
      <c r="S175" t="str">
        <f t="shared" si="3"/>
        <v/>
      </c>
    </row>
    <row r="176" spans="1:19" ht="12.75">
      <c r="A176" s="15" t="str">
        <v/>
      </c>
      <c r="B176" s="15" t="str">
        <v/>
      </c>
      <c r="C176" s="15" t="str" cm="1">
        <f t="array" ref="C176">IFERROR(_xlfn.TEXTJOIN("",TRUE,_xlfn._xlws.FILTER(MID(S176,_xlfn.SEQUENCE(LEN(S176)),1),ISNUMBER(SEARCH(MID(S176,_xlfn.SEQUENCE(LEN(S176)),1),"ABCDEFGHIJKLMNOPQRSTUVWXYZabcdefghijklmnopqrstuvwxyz0123456789,")))),"")</f>
        <v/>
      </c>
      <c r="D176" s="15" t="str">
        <v/>
      </c>
      <c r="E176" s="16" t="str">
        <v/>
      </c>
      <c r="F176" s="15" t="str">
        <v/>
      </c>
      <c r="G176" s="20" t="str" cm="1">
        <f t="array" ref="G176">IF(TRIM(P176)="","",IF(SUM(COUNTIF(P176,{"*NLGD*","*FWG*"}))&gt;0,P176,IF(SUM(COUNTIF(P176,{"*GL*","*DGB*","*DGI*","*GT*","*CS*","*PWU*","*DBI*","*SWU*"}))=0,P176,IF(IFERROR(VALUE(SUBSTITUTE(SUBSTITUTE(O176,"W",""),"""","")),0)&gt;52,P176&amp;"-OVRSIZE-",P176))))</f>
        <v/>
      </c>
      <c r="H176" s="15" t="str">
        <v/>
      </c>
      <c r="I176" s="15" t="str">
        <v/>
      </c>
      <c r="J176" s="15" t="str">
        <v/>
      </c>
      <c r="K176" s="15" t="str">
        <v/>
      </c>
      <c r="L176" s="15" t="str">
        <v/>
      </c>
      <c r="M176" s="10" t="str">
        <v/>
      </c>
      <c r="N176" s="14"/>
      <c r="O176" s="15" t="str" cm="1">
        <f t="array" ref="O176">IFERROR(_xlfn.LET(
_xlpm.clean,TRIM(SUBSTITUTE(SUBSTITUTE(P176,CHAR(160),"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6" s="15"/>
      <c r="R176" t="str">
        <v/>
      </c>
      <c r="S176" t="str">
        <f t="shared" si="3"/>
        <v/>
      </c>
    </row>
    <row r="177" spans="1:19" ht="12.75">
      <c r="A177" s="15" t="str">
        <v/>
      </c>
      <c r="B177" s="15" t="str">
        <v/>
      </c>
      <c r="C177" s="15" t="str" cm="1">
        <f t="array" ref="C177">IFERROR(_xlfn.TEXTJOIN("",TRUE,_xlfn._xlws.FILTER(MID(S177,_xlfn.SEQUENCE(LEN(S177)),1),ISNUMBER(SEARCH(MID(S177,_xlfn.SEQUENCE(LEN(S177)),1),"ABCDEFGHIJKLMNOPQRSTUVWXYZabcdefghijklmnopqrstuvwxyz0123456789,")))),"")</f>
        <v/>
      </c>
      <c r="D177" s="15" t="str">
        <v/>
      </c>
      <c r="E177" s="16" t="str">
        <v/>
      </c>
      <c r="F177" s="15" t="str">
        <v/>
      </c>
      <c r="G177" s="20" t="str" cm="1">
        <f t="array" ref="G177">IF(TRIM(P177)="","",IF(SUM(COUNTIF(P177,{"*NLGD*","*FWG*"}))&gt;0,P177,IF(SUM(COUNTIF(P177,{"*GL*","*DGB*","*DGI*","*GT*","*CS*","*PWU*","*DBI*","*SWU*"}))=0,P177,IF(IFERROR(VALUE(SUBSTITUTE(SUBSTITUTE(O177,"W",""),"""","")),0)&gt;52,P177&amp;"-OVRSIZE-",P177))))</f>
        <v/>
      </c>
      <c r="H177" s="15" t="str">
        <v/>
      </c>
      <c r="I177" s="15" t="str">
        <v/>
      </c>
      <c r="J177" s="15" t="str">
        <v/>
      </c>
      <c r="K177" s="15" t="str">
        <v/>
      </c>
      <c r="L177" s="15" t="str">
        <v/>
      </c>
      <c r="M177" s="10" t="str">
        <v/>
      </c>
      <c r="N177" s="14"/>
      <c r="O177" s="15" t="str" cm="1">
        <f t="array" ref="O177">IFERROR(_xlfn.LET(
_xlpm.clean,TRIM(SUBSTITUTE(SUBSTITUTE(P177,CHAR(160),"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7" s="15"/>
      <c r="R177" t="str">
        <v/>
      </c>
      <c r="S177" t="str">
        <f t="shared" si="3"/>
        <v/>
      </c>
    </row>
    <row r="178" spans="1:19" ht="12.75">
      <c r="A178" s="15" t="str">
        <v/>
      </c>
      <c r="B178" s="15" t="str">
        <v/>
      </c>
      <c r="C178" s="15" t="str" cm="1">
        <f t="array" ref="C178">IFERROR(_xlfn.TEXTJOIN("",TRUE,_xlfn._xlws.FILTER(MID(S178,_xlfn.SEQUENCE(LEN(S178)),1),ISNUMBER(SEARCH(MID(S178,_xlfn.SEQUENCE(LEN(S178)),1),"ABCDEFGHIJKLMNOPQRSTUVWXYZabcdefghijklmnopqrstuvwxyz0123456789,")))),"")</f>
        <v/>
      </c>
      <c r="D178" s="15" t="str">
        <v/>
      </c>
      <c r="E178" s="16" t="str">
        <v/>
      </c>
      <c r="F178" s="15" t="str">
        <v/>
      </c>
      <c r="G178" s="20" t="str" cm="1">
        <f t="array" ref="G178">IF(TRIM(P178)="","",IF(SUM(COUNTIF(P178,{"*NLGD*","*FWG*"}))&gt;0,P178,IF(SUM(COUNTIF(P178,{"*GL*","*DGB*","*DGI*","*GT*","*CS*","*PWU*","*DBI*","*SWU*"}))=0,P178,IF(IFERROR(VALUE(SUBSTITUTE(SUBSTITUTE(O178,"W",""),"""","")),0)&gt;52,P178&amp;"-OVRSIZE-",P178))))</f>
        <v/>
      </c>
      <c r="H178" s="15" t="str">
        <v/>
      </c>
      <c r="I178" s="15" t="str">
        <v/>
      </c>
      <c r="J178" s="15" t="str">
        <v/>
      </c>
      <c r="K178" s="15" t="str">
        <v/>
      </c>
      <c r="L178" s="15" t="str">
        <v/>
      </c>
      <c r="M178" s="10" t="str">
        <v/>
      </c>
      <c r="N178" s="14"/>
      <c r="O178" s="15" t="str" cm="1">
        <f t="array" ref="O178">IFERROR(_xlfn.LET(
_xlpm.clean,TRIM(SUBSTITUTE(SUBSTITUTE(P178,CHAR(160),"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8" s="15"/>
      <c r="R178" t="str">
        <v/>
      </c>
      <c r="S178" t="str">
        <f t="shared" si="3"/>
        <v/>
      </c>
    </row>
    <row r="179" spans="1:19" ht="12.75">
      <c r="A179" s="15" t="str">
        <v/>
      </c>
      <c r="B179" s="15" t="str">
        <v/>
      </c>
      <c r="C179" s="15" t="str" cm="1">
        <f t="array" ref="C179">IFERROR(_xlfn.TEXTJOIN("",TRUE,_xlfn._xlws.FILTER(MID(S179,_xlfn.SEQUENCE(LEN(S179)),1),ISNUMBER(SEARCH(MID(S179,_xlfn.SEQUENCE(LEN(S179)),1),"ABCDEFGHIJKLMNOPQRSTUVWXYZabcdefghijklmnopqrstuvwxyz0123456789,")))),"")</f>
        <v/>
      </c>
      <c r="D179" s="15" t="str">
        <v/>
      </c>
      <c r="E179" s="16" t="str">
        <v/>
      </c>
      <c r="F179" s="15" t="str">
        <v/>
      </c>
      <c r="G179" s="20" t="str" cm="1">
        <f t="array" ref="G179">IF(TRIM(P179)="","",IF(SUM(COUNTIF(P179,{"*NLGD*","*FWG*"}))&gt;0,P179,IF(SUM(COUNTIF(P179,{"*GL*","*DGB*","*DGI*","*GT*","*CS*","*PWU*","*DBI*","*SWU*"}))=0,P179,IF(IFERROR(VALUE(SUBSTITUTE(SUBSTITUTE(O179,"W",""),"""","")),0)&gt;52,P179&amp;"-OVRSIZE-",P179))))</f>
        <v/>
      </c>
      <c r="H179" s="15" t="str">
        <v/>
      </c>
      <c r="I179" s="15" t="str">
        <v/>
      </c>
      <c r="J179" s="15" t="str">
        <v/>
      </c>
      <c r="K179" s="15" t="str">
        <v/>
      </c>
      <c r="L179" s="15" t="str">
        <v/>
      </c>
      <c r="M179" s="10" t="str">
        <v/>
      </c>
      <c r="N179" s="14"/>
      <c r="O179" s="15" t="str" cm="1">
        <f t="array" ref="O179">IFERROR(_xlfn.LET(
_xlpm.clean,TRIM(SUBSTITUTE(SUBSTITUTE(P179,CHAR(160),"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79" s="15"/>
      <c r="R179" t="str">
        <v/>
      </c>
      <c r="S179" t="str">
        <f t="shared" si="3"/>
        <v/>
      </c>
    </row>
    <row r="180" spans="1:19" ht="12.75">
      <c r="A180" s="15" t="str">
        <v/>
      </c>
      <c r="B180" s="15" t="str">
        <v/>
      </c>
      <c r="C180" s="15" t="str" cm="1">
        <f t="array" ref="C180">IFERROR(_xlfn.TEXTJOIN("",TRUE,_xlfn._xlws.FILTER(MID(S180,_xlfn.SEQUENCE(LEN(S180)),1),ISNUMBER(SEARCH(MID(S180,_xlfn.SEQUENCE(LEN(S180)),1),"ABCDEFGHIJKLMNOPQRSTUVWXYZabcdefghijklmnopqrstuvwxyz0123456789,")))),"")</f>
        <v/>
      </c>
      <c r="D180" s="15" t="str">
        <v/>
      </c>
      <c r="E180" s="16" t="str">
        <v/>
      </c>
      <c r="F180" s="15" t="str">
        <v/>
      </c>
      <c r="G180" s="20" t="str" cm="1">
        <f t="array" ref="G180">IF(TRIM(P180)="","",IF(SUM(COUNTIF(P180,{"*NLGD*","*FWG*"}))&gt;0,P180,IF(SUM(COUNTIF(P180,{"*GL*","*DGB*","*DGI*","*GT*","*CS*","*PWU*","*DBI*","*SWU*"}))=0,P180,IF(IFERROR(VALUE(SUBSTITUTE(SUBSTITUTE(O180,"W",""),"""","")),0)&gt;52,P180&amp;"-OVRSIZE-",P180))))</f>
        <v/>
      </c>
      <c r="H180" s="15" t="str">
        <v/>
      </c>
      <c r="I180" s="15" t="str">
        <v/>
      </c>
      <c r="J180" s="15" t="str">
        <v/>
      </c>
      <c r="K180" s="15" t="str">
        <v/>
      </c>
      <c r="L180" s="15" t="str">
        <v/>
      </c>
      <c r="M180" s="10" t="str">
        <v/>
      </c>
      <c r="N180" s="14"/>
      <c r="O180" s="15" t="str" cm="1">
        <f t="array" ref="O180">IFERROR(_xlfn.LET(
_xlpm.clean,TRIM(SUBSTITUTE(SUBSTITUTE(P180,CHAR(160),"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0" s="15"/>
      <c r="R180" t="str">
        <v/>
      </c>
      <c r="S180" t="str">
        <f t="shared" si="3"/>
        <v/>
      </c>
    </row>
    <row r="181" spans="1:19" ht="12.75">
      <c r="A181" s="15" t="str">
        <v/>
      </c>
      <c r="B181" s="15" t="str">
        <v/>
      </c>
      <c r="C181" s="15" t="str" cm="1">
        <f t="array" ref="C181">IFERROR(_xlfn.TEXTJOIN("",TRUE,_xlfn._xlws.FILTER(MID(S181,_xlfn.SEQUENCE(LEN(S181)),1),ISNUMBER(SEARCH(MID(S181,_xlfn.SEQUENCE(LEN(S181)),1),"ABCDEFGHIJKLMNOPQRSTUVWXYZabcdefghijklmnopqrstuvwxyz0123456789,")))),"")</f>
        <v/>
      </c>
      <c r="D181" s="15" t="str">
        <v/>
      </c>
      <c r="E181" s="16" t="str">
        <v/>
      </c>
      <c r="F181" s="15" t="str">
        <v/>
      </c>
      <c r="G181" s="20" t="str" cm="1">
        <f t="array" ref="G181">IF(TRIM(P181)="","",IF(SUM(COUNTIF(P181,{"*NLGD*","*FWG*"}))&gt;0,P181,IF(SUM(COUNTIF(P181,{"*GL*","*DGB*","*DGI*","*GT*","*CS*","*PWU*","*DBI*","*SWU*"}))=0,P181,IF(IFERROR(VALUE(SUBSTITUTE(SUBSTITUTE(O181,"W",""),"""","")),0)&gt;52,P181&amp;"-OVRSIZE-",P181))))</f>
        <v/>
      </c>
      <c r="H181" s="15" t="str">
        <v/>
      </c>
      <c r="I181" s="15" t="str">
        <v/>
      </c>
      <c r="J181" s="15" t="str">
        <v/>
      </c>
      <c r="K181" s="15" t="str">
        <v/>
      </c>
      <c r="L181" s="15" t="str">
        <v/>
      </c>
      <c r="M181" s="10" t="str">
        <v/>
      </c>
      <c r="N181" s="14"/>
      <c r="O181" s="15" t="str" cm="1">
        <f t="array" ref="O181">IFERROR(_xlfn.LET(
_xlpm.clean,TRIM(SUBSTITUTE(SUBSTITUTE(P181,CHAR(160),"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1" s="15"/>
      <c r="R181" t="str">
        <v/>
      </c>
      <c r="S181" t="str">
        <f t="shared" si="3"/>
        <v/>
      </c>
    </row>
    <row r="182" spans="1:19" ht="12.75">
      <c r="A182" s="15" t="str">
        <v/>
      </c>
      <c r="B182" s="15" t="str">
        <v/>
      </c>
      <c r="C182" s="15" t="str" cm="1">
        <f t="array" ref="C182">IFERROR(_xlfn.TEXTJOIN("",TRUE,_xlfn._xlws.FILTER(MID(S182,_xlfn.SEQUENCE(LEN(S182)),1),ISNUMBER(SEARCH(MID(S182,_xlfn.SEQUENCE(LEN(S182)),1),"ABCDEFGHIJKLMNOPQRSTUVWXYZabcdefghijklmnopqrstuvwxyz0123456789,")))),"")</f>
        <v/>
      </c>
      <c r="D182" s="15" t="str">
        <v/>
      </c>
      <c r="E182" s="16" t="str">
        <v/>
      </c>
      <c r="F182" s="15" t="str">
        <v/>
      </c>
      <c r="G182" s="20" t="str" cm="1">
        <f t="array" ref="G182">IF(TRIM(P182)="","",IF(SUM(COUNTIF(P182,{"*NLGD*","*FWG*"}))&gt;0,P182,IF(SUM(COUNTIF(P182,{"*GL*","*DGB*","*DGI*","*GT*","*CS*","*PWU*","*DBI*","*SWU*"}))=0,P182,IF(IFERROR(VALUE(SUBSTITUTE(SUBSTITUTE(O182,"W",""),"""","")),0)&gt;52,P182&amp;"-OVRSIZE-",P182))))</f>
        <v/>
      </c>
      <c r="H182" s="15" t="str">
        <v/>
      </c>
      <c r="I182" s="15" t="str">
        <v/>
      </c>
      <c r="J182" s="15" t="str">
        <v/>
      </c>
      <c r="K182" s="15" t="str">
        <v/>
      </c>
      <c r="L182" s="15" t="str">
        <v/>
      </c>
      <c r="M182" s="10" t="str">
        <v/>
      </c>
      <c r="N182" s="14"/>
      <c r="O182" s="15" t="str" cm="1">
        <f t="array" ref="O182">IFERROR(_xlfn.LET(
_xlpm.clean,TRIM(SUBSTITUTE(SUBSTITUTE(P182,CHAR(160),"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2" s="15"/>
      <c r="R182" t="str">
        <v/>
      </c>
      <c r="S182" t="str">
        <f t="shared" si="3"/>
        <v/>
      </c>
    </row>
    <row r="183" spans="1:19" ht="12.75">
      <c r="A183" s="15" t="str">
        <v/>
      </c>
      <c r="B183" s="15" t="str">
        <v/>
      </c>
      <c r="C183" s="15" t="str" cm="1">
        <f t="array" ref="C183">IFERROR(_xlfn.TEXTJOIN("",TRUE,_xlfn._xlws.FILTER(MID(S183,_xlfn.SEQUENCE(LEN(S183)),1),ISNUMBER(SEARCH(MID(S183,_xlfn.SEQUENCE(LEN(S183)),1),"ABCDEFGHIJKLMNOPQRSTUVWXYZabcdefghijklmnopqrstuvwxyz0123456789,")))),"")</f>
        <v/>
      </c>
      <c r="D183" s="15" t="str">
        <v/>
      </c>
      <c r="E183" s="16" t="str">
        <v/>
      </c>
      <c r="F183" s="15" t="str">
        <v/>
      </c>
      <c r="G183" s="20" t="str" cm="1">
        <f t="array" ref="G183">IF(TRIM(P183)="","",IF(SUM(COUNTIF(P183,{"*NLGD*","*FWG*"}))&gt;0,P183,IF(SUM(COUNTIF(P183,{"*GL*","*DGB*","*DGI*","*GT*","*CS*","*PWU*","*DBI*","*SWU*"}))=0,P183,IF(IFERROR(VALUE(SUBSTITUTE(SUBSTITUTE(O183,"W",""),"""","")),0)&gt;52,P183&amp;"-OVRSIZE-",P183))))</f>
        <v/>
      </c>
      <c r="H183" s="15" t="str">
        <v/>
      </c>
      <c r="I183" s="15" t="str">
        <v/>
      </c>
      <c r="J183" s="15" t="str">
        <v/>
      </c>
      <c r="K183" s="15" t="str">
        <v/>
      </c>
      <c r="L183" s="15" t="str">
        <v/>
      </c>
      <c r="M183" s="10" t="str">
        <v/>
      </c>
      <c r="N183" s="14"/>
      <c r="O183" s="15" t="str" cm="1">
        <f t="array" ref="O183">IFERROR(_xlfn.LET(
_xlpm.clean,TRIM(SUBSTITUTE(SUBSTITUTE(P183,CHAR(160),"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3" s="15"/>
      <c r="R183" t="str">
        <v/>
      </c>
      <c r="S183" t="str">
        <f t="shared" si="3"/>
        <v/>
      </c>
    </row>
    <row r="184" spans="1:19" ht="12.75">
      <c r="A184" s="15" t="str">
        <v/>
      </c>
      <c r="B184" s="15" t="str">
        <v/>
      </c>
      <c r="C184" s="15" t="str" cm="1">
        <f t="array" ref="C184">IFERROR(_xlfn.TEXTJOIN("",TRUE,_xlfn._xlws.FILTER(MID(S184,_xlfn.SEQUENCE(LEN(S184)),1),ISNUMBER(SEARCH(MID(S184,_xlfn.SEQUENCE(LEN(S184)),1),"ABCDEFGHIJKLMNOPQRSTUVWXYZabcdefghijklmnopqrstuvwxyz0123456789,")))),"")</f>
        <v/>
      </c>
      <c r="D184" s="15" t="str">
        <v/>
      </c>
      <c r="E184" s="16" t="str">
        <v/>
      </c>
      <c r="F184" s="15" t="str">
        <v/>
      </c>
      <c r="G184" s="20" t="str" cm="1">
        <f t="array" ref="G184">IF(TRIM(P184)="","",IF(SUM(COUNTIF(P184,{"*NLGD*","*FWG*"}))&gt;0,P184,IF(SUM(COUNTIF(P184,{"*GL*","*DGB*","*DGI*","*GT*","*CS*","*PWU*","*DBI*","*SWU*"}))=0,P184,IF(IFERROR(VALUE(SUBSTITUTE(SUBSTITUTE(O184,"W",""),"""","")),0)&gt;52,P184&amp;"-OVRSIZE-",P184))))</f>
        <v/>
      </c>
      <c r="H184" s="15" t="str">
        <v/>
      </c>
      <c r="I184" s="15" t="str">
        <v/>
      </c>
      <c r="J184" s="15" t="str">
        <v/>
      </c>
      <c r="K184" s="15" t="str">
        <v/>
      </c>
      <c r="L184" s="15" t="str">
        <v/>
      </c>
      <c r="M184" s="10" t="str">
        <v/>
      </c>
      <c r="N184" s="14"/>
      <c r="O184" s="15" t="str" cm="1">
        <f t="array" ref="O184">IFERROR(_xlfn.LET(
_xlpm.clean,TRIM(SUBSTITUTE(SUBSTITUTE(P184,CHAR(160),"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4" s="15"/>
      <c r="R184" t="str">
        <v/>
      </c>
      <c r="S184" t="str">
        <f t="shared" si="3"/>
        <v/>
      </c>
    </row>
    <row r="185" spans="1:19" ht="12.75">
      <c r="A185" s="15" t="str">
        <v/>
      </c>
      <c r="B185" s="15" t="str">
        <v/>
      </c>
      <c r="C185" s="15" t="str" cm="1">
        <f t="array" ref="C185">IFERROR(_xlfn.TEXTJOIN("",TRUE,_xlfn._xlws.FILTER(MID(S185,_xlfn.SEQUENCE(LEN(S185)),1),ISNUMBER(SEARCH(MID(S185,_xlfn.SEQUENCE(LEN(S185)),1),"ABCDEFGHIJKLMNOPQRSTUVWXYZabcdefghijklmnopqrstuvwxyz0123456789,")))),"")</f>
        <v/>
      </c>
      <c r="D185" s="15" t="str">
        <v/>
      </c>
      <c r="E185" s="16" t="str">
        <v/>
      </c>
      <c r="F185" s="15" t="str">
        <v/>
      </c>
      <c r="G185" s="20" t="str" cm="1">
        <f t="array" ref="G185">IF(TRIM(P185)="","",IF(SUM(COUNTIF(P185,{"*NLGD*","*FWG*"}))&gt;0,P185,IF(SUM(COUNTIF(P185,{"*GL*","*DGB*","*DGI*","*GT*","*CS*","*PWU*","*DBI*","*SWU*"}))=0,P185,IF(IFERROR(VALUE(SUBSTITUTE(SUBSTITUTE(O185,"W",""),"""","")),0)&gt;52,P185&amp;"-OVRSIZE-",P185))))</f>
        <v/>
      </c>
      <c r="H185" s="15" t="str">
        <v/>
      </c>
      <c r="I185" s="15" t="str">
        <v/>
      </c>
      <c r="J185" s="15" t="str">
        <v/>
      </c>
      <c r="K185" s="15" t="str">
        <v/>
      </c>
      <c r="L185" s="15" t="str">
        <v/>
      </c>
      <c r="M185" s="10" t="str">
        <v/>
      </c>
      <c r="N185" s="14"/>
      <c r="O185" s="15" t="str" cm="1">
        <f t="array" ref="O185">IFERROR(_xlfn.LET(
_xlpm.clean,TRIM(SUBSTITUTE(SUBSTITUTE(P185,CHAR(160),"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5" s="15"/>
      <c r="R185" t="str">
        <v/>
      </c>
      <c r="S185" t="str">
        <f t="shared" si="3"/>
        <v/>
      </c>
    </row>
    <row r="186" spans="1:19" ht="12.75">
      <c r="A186" s="15" t="str">
        <v/>
      </c>
      <c r="B186" s="15" t="str">
        <v/>
      </c>
      <c r="C186" s="15" t="str" cm="1">
        <f t="array" ref="C186">IFERROR(_xlfn.TEXTJOIN("",TRUE,_xlfn._xlws.FILTER(MID(S186,_xlfn.SEQUENCE(LEN(S186)),1),ISNUMBER(SEARCH(MID(S186,_xlfn.SEQUENCE(LEN(S186)),1),"ABCDEFGHIJKLMNOPQRSTUVWXYZabcdefghijklmnopqrstuvwxyz0123456789,")))),"")</f>
        <v/>
      </c>
      <c r="D186" s="15" t="str">
        <v/>
      </c>
      <c r="E186" s="16" t="str">
        <v/>
      </c>
      <c r="F186" s="15" t="str">
        <v/>
      </c>
      <c r="G186" s="20" t="str" cm="1">
        <f t="array" ref="G186">IF(TRIM(P186)="","",IF(SUM(COUNTIF(P186,{"*NLGD*","*FWG*"}))&gt;0,P186,IF(SUM(COUNTIF(P186,{"*GL*","*DGB*","*DGI*","*GT*","*CS*","*PWU*","*DBI*","*SWU*"}))=0,P186,IF(IFERROR(VALUE(SUBSTITUTE(SUBSTITUTE(O186,"W",""),"""","")),0)&gt;52,P186&amp;"-OVRSIZE-",P186))))</f>
        <v/>
      </c>
      <c r="H186" s="15" t="str">
        <v/>
      </c>
      <c r="I186" s="15" t="str">
        <v/>
      </c>
      <c r="J186" s="15" t="str">
        <v/>
      </c>
      <c r="K186" s="15" t="str">
        <v/>
      </c>
      <c r="L186" s="15" t="str">
        <v/>
      </c>
      <c r="M186" s="10" t="str">
        <v/>
      </c>
      <c r="N186" s="14"/>
      <c r="O186" s="15" t="str" cm="1">
        <f t="array" ref="O186">IFERROR(_xlfn.LET(
_xlpm.clean,TRIM(SUBSTITUTE(SUBSTITUTE(P186,CHAR(160),"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6" s="15"/>
      <c r="R186" t="str">
        <v/>
      </c>
      <c r="S186" t="str">
        <f t="shared" si="3"/>
        <v/>
      </c>
    </row>
    <row r="187" spans="1:19" ht="12.75">
      <c r="A187" s="15" t="str">
        <v/>
      </c>
      <c r="B187" s="15" t="str">
        <v/>
      </c>
      <c r="C187" s="15" t="str" cm="1">
        <f t="array" ref="C187">IFERROR(_xlfn.TEXTJOIN("",TRUE,_xlfn._xlws.FILTER(MID(S187,_xlfn.SEQUENCE(LEN(S187)),1),ISNUMBER(SEARCH(MID(S187,_xlfn.SEQUENCE(LEN(S187)),1),"ABCDEFGHIJKLMNOPQRSTUVWXYZabcdefghijklmnopqrstuvwxyz0123456789,")))),"")</f>
        <v/>
      </c>
      <c r="D187" s="15" t="str">
        <v/>
      </c>
      <c r="E187" s="16" t="str">
        <v/>
      </c>
      <c r="F187" s="15" t="str">
        <v/>
      </c>
      <c r="G187" s="20" t="str" cm="1">
        <f t="array" ref="G187">IF(TRIM(P187)="","",IF(SUM(COUNTIF(P187,{"*NLGD*","*FWG*"}))&gt;0,P187,IF(SUM(COUNTIF(P187,{"*GL*","*DGB*","*DGI*","*GT*","*CS*","*PWU*","*DBI*","*SWU*"}))=0,P187,IF(IFERROR(VALUE(SUBSTITUTE(SUBSTITUTE(O187,"W",""),"""","")),0)&gt;52,P187&amp;"-OVRSIZE-",P187))))</f>
        <v/>
      </c>
      <c r="H187" s="15" t="str">
        <v/>
      </c>
      <c r="I187" s="15" t="str">
        <v/>
      </c>
      <c r="J187" s="15" t="str">
        <v/>
      </c>
      <c r="K187" s="15" t="str">
        <v/>
      </c>
      <c r="L187" s="15" t="str">
        <v/>
      </c>
      <c r="M187" s="10" t="str">
        <v/>
      </c>
      <c r="N187" s="14"/>
      <c r="O187" s="15" t="str" cm="1">
        <f t="array" ref="O187">IFERROR(_xlfn.LET(
_xlpm.clean,TRIM(SUBSTITUTE(SUBSTITUTE(P187,CHAR(160),"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7" s="15"/>
      <c r="R187" t="str">
        <v/>
      </c>
      <c r="S187" t="str">
        <f t="shared" si="3"/>
        <v/>
      </c>
    </row>
    <row r="188" spans="1:19" ht="12.75">
      <c r="A188" s="15" t="str">
        <v/>
      </c>
      <c r="B188" s="15" t="str">
        <v/>
      </c>
      <c r="C188" s="15" t="str" cm="1">
        <f t="array" ref="C188">IFERROR(_xlfn.TEXTJOIN("",TRUE,_xlfn._xlws.FILTER(MID(S188,_xlfn.SEQUENCE(LEN(S188)),1),ISNUMBER(SEARCH(MID(S188,_xlfn.SEQUENCE(LEN(S188)),1),"ABCDEFGHIJKLMNOPQRSTUVWXYZabcdefghijklmnopqrstuvwxyz0123456789,")))),"")</f>
        <v/>
      </c>
      <c r="D188" s="15" t="str">
        <v/>
      </c>
      <c r="E188" s="16" t="str">
        <v/>
      </c>
      <c r="F188" s="15" t="str">
        <v/>
      </c>
      <c r="G188" s="20" t="str" cm="1">
        <f t="array" ref="G188">IF(TRIM(P188)="","",IF(SUM(COUNTIF(P188,{"*NLGD*","*FWG*"}))&gt;0,P188,IF(SUM(COUNTIF(P188,{"*GL*","*DGB*","*DGI*","*GT*","*CS*","*PWU*","*DBI*","*SWU*"}))=0,P188,IF(IFERROR(VALUE(SUBSTITUTE(SUBSTITUTE(O188,"W",""),"""","")),0)&gt;52,P188&amp;"-OVRSIZE-",P188))))</f>
        <v/>
      </c>
      <c r="H188" s="15" t="str">
        <v/>
      </c>
      <c r="I188" s="15" t="str">
        <v/>
      </c>
      <c r="J188" s="15" t="str">
        <v/>
      </c>
      <c r="K188" s="15" t="str">
        <v/>
      </c>
      <c r="L188" s="15" t="str">
        <v/>
      </c>
      <c r="M188" s="10" t="str">
        <v/>
      </c>
      <c r="N188" s="14"/>
      <c r="O188" s="15" t="str" cm="1">
        <f t="array" ref="O188">IFERROR(_xlfn.LET(
_xlpm.clean,TRIM(SUBSTITUTE(SUBSTITUTE(P188,CHAR(160),"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8" s="15"/>
      <c r="R188" t="str">
        <v/>
      </c>
      <c r="S188" t="str">
        <f t="shared" si="3"/>
        <v/>
      </c>
    </row>
    <row r="189" spans="1:19" ht="12.75">
      <c r="A189" s="15" t="str">
        <v/>
      </c>
      <c r="B189" s="15" t="str">
        <v/>
      </c>
      <c r="C189" s="15" t="str" cm="1">
        <f t="array" ref="C189">IFERROR(_xlfn.TEXTJOIN("",TRUE,_xlfn._xlws.FILTER(MID(S189,_xlfn.SEQUENCE(LEN(S189)),1),ISNUMBER(SEARCH(MID(S189,_xlfn.SEQUENCE(LEN(S189)),1),"ABCDEFGHIJKLMNOPQRSTUVWXYZabcdefghijklmnopqrstuvwxyz0123456789,")))),"")</f>
        <v/>
      </c>
      <c r="D189" s="15" t="str">
        <v/>
      </c>
      <c r="E189" s="16" t="str">
        <v/>
      </c>
      <c r="F189" s="15" t="str">
        <v/>
      </c>
      <c r="G189" s="20" t="str" cm="1">
        <f t="array" ref="G189">IF(TRIM(P189)="","",IF(SUM(COUNTIF(P189,{"*NLGD*","*FWG*"}))&gt;0,P189,IF(SUM(COUNTIF(P189,{"*GL*","*DGB*","*DGI*","*GT*","*CS*","*PWU*","*DBI*","*SWU*"}))=0,P189,IF(IFERROR(VALUE(SUBSTITUTE(SUBSTITUTE(O189,"W",""),"""","")),0)&gt;52,P189&amp;"-OVRSIZE-",P189))))</f>
        <v/>
      </c>
      <c r="H189" s="15" t="str">
        <v/>
      </c>
      <c r="I189" s="15" t="str">
        <v/>
      </c>
      <c r="J189" s="15" t="str">
        <v/>
      </c>
      <c r="K189" s="15" t="str">
        <v/>
      </c>
      <c r="L189" s="15" t="str">
        <v/>
      </c>
      <c r="M189" s="10" t="str">
        <v/>
      </c>
      <c r="N189" s="14"/>
      <c r="O189" s="15" t="str" cm="1">
        <f t="array" ref="O189">IFERROR(_xlfn.LET(
_xlpm.clean,TRIM(SUBSTITUTE(SUBSTITUTE(P189,CHAR(160),"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9" s="15"/>
      <c r="R189" t="str">
        <v/>
      </c>
      <c r="S189" t="str">
        <f t="shared" si="3"/>
        <v/>
      </c>
    </row>
    <row r="190" spans="1:19" ht="12.75">
      <c r="A190" s="15" t="str">
        <v/>
      </c>
      <c r="B190" s="15" t="str">
        <v/>
      </c>
      <c r="C190" s="15" t="str" cm="1">
        <f t="array" ref="C190">IFERROR(_xlfn.TEXTJOIN("",TRUE,_xlfn._xlws.FILTER(MID(S190,_xlfn.SEQUENCE(LEN(S190)),1),ISNUMBER(SEARCH(MID(S190,_xlfn.SEQUENCE(LEN(S190)),1),"ABCDEFGHIJKLMNOPQRSTUVWXYZabcdefghijklmnopqrstuvwxyz0123456789,")))),"")</f>
        <v/>
      </c>
      <c r="D190" s="15" t="str">
        <v/>
      </c>
      <c r="E190" s="16" t="str">
        <v/>
      </c>
      <c r="F190" s="15" t="str">
        <v/>
      </c>
      <c r="G190" s="20" t="str" cm="1">
        <f t="array" ref="G190">IF(TRIM(P190)="","",IF(SUM(COUNTIF(P190,{"*NLGD*","*FWG*"}))&gt;0,P190,IF(SUM(COUNTIF(P190,{"*GL*","*DGB*","*DGI*","*GT*","*CS*","*PWU*","*DBI*","*SWU*"}))=0,P190,IF(IFERROR(VALUE(SUBSTITUTE(SUBSTITUTE(O190,"W",""),"""","")),0)&gt;52,P190&amp;"-OVRSIZE-",P190))))</f>
        <v/>
      </c>
      <c r="H190" s="15" t="str">
        <v/>
      </c>
      <c r="I190" s="15" t="str">
        <v/>
      </c>
      <c r="J190" s="15" t="str">
        <v/>
      </c>
      <c r="K190" s="15" t="str">
        <v/>
      </c>
      <c r="L190" s="15" t="str">
        <v/>
      </c>
      <c r="M190" s="10" t="str">
        <v/>
      </c>
      <c r="N190" s="14"/>
      <c r="O190" s="15" t="str" cm="1">
        <f t="array" ref="O190">IFERROR(_xlfn.LET(
_xlpm.clean,TRIM(SUBSTITUTE(SUBSTITUTE(P190,CHAR(160),"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0" s="15"/>
      <c r="R190" t="str">
        <v/>
      </c>
      <c r="S190" t="str">
        <f t="shared" si="3"/>
        <v/>
      </c>
    </row>
    <row r="191" spans="1:19" ht="12.75">
      <c r="A191" s="15" t="str">
        <v/>
      </c>
      <c r="B191" s="15" t="str">
        <v/>
      </c>
      <c r="C191" s="15" t="str" cm="1">
        <f t="array" ref="C191">IFERROR(_xlfn.TEXTJOIN("",TRUE,_xlfn._xlws.FILTER(MID(S191,_xlfn.SEQUENCE(LEN(S191)),1),ISNUMBER(SEARCH(MID(S191,_xlfn.SEQUENCE(LEN(S191)),1),"ABCDEFGHIJKLMNOPQRSTUVWXYZabcdefghijklmnopqrstuvwxyz0123456789,")))),"")</f>
        <v/>
      </c>
      <c r="D191" s="15" t="str">
        <v/>
      </c>
      <c r="E191" s="16" t="str">
        <v/>
      </c>
      <c r="F191" s="15" t="str">
        <v/>
      </c>
      <c r="G191" s="20" t="str" cm="1">
        <f t="array" ref="G191">IF(TRIM(P191)="","",IF(SUM(COUNTIF(P191,{"*NLGD*","*FWG*"}))&gt;0,P191,IF(SUM(COUNTIF(P191,{"*GL*","*DGB*","*DGI*","*GT*","*CS*","*PWU*","*DBI*","*SWU*"}))=0,P191,IF(IFERROR(VALUE(SUBSTITUTE(SUBSTITUTE(O191,"W",""),"""","")),0)&gt;52,P191&amp;"-OVRSIZE-",P191))))</f>
        <v/>
      </c>
      <c r="H191" s="15" t="str">
        <v/>
      </c>
      <c r="I191" s="15" t="str">
        <v/>
      </c>
      <c r="J191" s="15" t="str">
        <v/>
      </c>
      <c r="K191" s="15" t="str">
        <v/>
      </c>
      <c r="L191" s="15" t="str">
        <v/>
      </c>
      <c r="M191" s="10" t="str">
        <v/>
      </c>
      <c r="N191" s="14"/>
      <c r="O191" s="15" t="str" cm="1">
        <f t="array" ref="O191">IFERROR(_xlfn.LET(
_xlpm.clean,TRIM(SUBSTITUTE(SUBSTITUTE(P191,CHAR(160),"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1" s="15"/>
      <c r="R191" t="str">
        <v/>
      </c>
      <c r="S191" t="str">
        <f t="shared" si="3"/>
        <v/>
      </c>
    </row>
    <row r="192" spans="1:19" ht="12.75">
      <c r="A192" s="15" t="str">
        <v/>
      </c>
      <c r="B192" s="15" t="str">
        <v/>
      </c>
      <c r="C192" s="15" t="str" cm="1">
        <f t="array" ref="C192">IFERROR(_xlfn.TEXTJOIN("",TRUE,_xlfn._xlws.FILTER(MID(S192,_xlfn.SEQUENCE(LEN(S192)),1),ISNUMBER(SEARCH(MID(S192,_xlfn.SEQUENCE(LEN(S192)),1),"ABCDEFGHIJKLMNOPQRSTUVWXYZabcdefghijklmnopqrstuvwxyz0123456789,")))),"")</f>
        <v/>
      </c>
      <c r="D192" s="15" t="str">
        <v/>
      </c>
      <c r="E192" s="16" t="str">
        <v/>
      </c>
      <c r="F192" s="15" t="str">
        <v/>
      </c>
      <c r="G192" s="20" t="str" cm="1">
        <f t="array" ref="G192">IF(TRIM(P192)="","",IF(SUM(COUNTIF(P192,{"*NLGD*","*FWG*"}))&gt;0,P192,IF(SUM(COUNTIF(P192,{"*GL*","*DGB*","*DGI*","*GT*","*CS*","*PWU*","*DBI*","*SWU*"}))=0,P192,IF(IFERROR(VALUE(SUBSTITUTE(SUBSTITUTE(O192,"W",""),"""","")),0)&gt;52,P192&amp;"-OVRSIZE-",P192))))</f>
        <v/>
      </c>
      <c r="H192" s="15" t="str">
        <v/>
      </c>
      <c r="I192" s="15" t="str">
        <v/>
      </c>
      <c r="J192" s="15" t="str">
        <v/>
      </c>
      <c r="K192" s="15" t="str">
        <v/>
      </c>
      <c r="L192" s="15" t="str">
        <v/>
      </c>
      <c r="M192" s="10" t="str">
        <v/>
      </c>
      <c r="N192" s="14"/>
      <c r="O192" s="15" t="str" cm="1">
        <f t="array" ref="O192">IFERROR(_xlfn.LET(
_xlpm.clean,TRIM(SUBSTITUTE(SUBSTITUTE(P192,CHAR(160),"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2" s="15"/>
      <c r="R192" t="str">
        <v/>
      </c>
      <c r="S192" t="str">
        <f t="shared" si="3"/>
        <v/>
      </c>
    </row>
    <row r="193" spans="1:19" ht="12.75">
      <c r="A193" s="15" t="str">
        <v/>
      </c>
      <c r="B193" s="15" t="str">
        <v/>
      </c>
      <c r="C193" s="15" t="str" cm="1">
        <f t="array" ref="C193">IFERROR(_xlfn.TEXTJOIN("",TRUE,_xlfn._xlws.FILTER(MID(S193,_xlfn.SEQUENCE(LEN(S193)),1),ISNUMBER(SEARCH(MID(S193,_xlfn.SEQUENCE(LEN(S193)),1),"ABCDEFGHIJKLMNOPQRSTUVWXYZabcdefghijklmnopqrstuvwxyz0123456789,")))),"")</f>
        <v/>
      </c>
      <c r="D193" s="15" t="str">
        <v/>
      </c>
      <c r="E193" s="16" t="str">
        <v/>
      </c>
      <c r="F193" s="15" t="str">
        <v/>
      </c>
      <c r="G193" s="20" t="str" cm="1">
        <f t="array" ref="G193">IF(TRIM(P193)="","",IF(SUM(COUNTIF(P193,{"*NLGD*","*FWG*"}))&gt;0,P193,IF(SUM(COUNTIF(P193,{"*GL*","*DGB*","*DGI*","*GT*","*CS*","*PWU*","*DBI*","*SWU*"}))=0,P193,IF(IFERROR(VALUE(SUBSTITUTE(SUBSTITUTE(O193,"W",""),"""","")),0)&gt;52,P193&amp;"-OVRSIZE-",P193))))</f>
        <v/>
      </c>
      <c r="H193" s="15" t="str">
        <v/>
      </c>
      <c r="I193" s="15" t="str">
        <v/>
      </c>
      <c r="J193" s="15" t="str">
        <v/>
      </c>
      <c r="K193" s="15" t="str">
        <v/>
      </c>
      <c r="L193" s="15" t="str">
        <v/>
      </c>
      <c r="M193" s="10" t="str">
        <v/>
      </c>
      <c r="N193" s="14"/>
      <c r="O193" s="15" t="str" cm="1">
        <f t="array" ref="O193">IFERROR(_xlfn.LET(
_xlpm.clean,TRIM(SUBSTITUTE(SUBSTITUTE(P193,CHAR(160),"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3" s="15"/>
      <c r="R193" t="str">
        <v/>
      </c>
      <c r="S193" t="str">
        <f t="shared" si="3"/>
        <v/>
      </c>
    </row>
    <row r="194" spans="1:19" ht="12.75">
      <c r="A194" s="15" t="str">
        <v/>
      </c>
      <c r="B194" s="15" t="str">
        <v/>
      </c>
      <c r="C194" s="15" t="str" cm="1">
        <f t="array" ref="C194">IFERROR(_xlfn.TEXTJOIN("",TRUE,_xlfn._xlws.FILTER(MID(S194,_xlfn.SEQUENCE(LEN(S194)),1),ISNUMBER(SEARCH(MID(S194,_xlfn.SEQUENCE(LEN(S194)),1),"ABCDEFGHIJKLMNOPQRSTUVWXYZabcdefghijklmnopqrstuvwxyz0123456789,")))),"")</f>
        <v/>
      </c>
      <c r="D194" s="15" t="str">
        <v/>
      </c>
      <c r="E194" s="16" t="str">
        <v/>
      </c>
      <c r="F194" s="15" t="str">
        <v/>
      </c>
      <c r="G194" s="20" t="str" cm="1">
        <f t="array" ref="G194">IF(TRIM(P194)="","",IF(SUM(COUNTIF(P194,{"*NLGD*","*FWG*"}))&gt;0,P194,IF(SUM(COUNTIF(P194,{"*GL*","*DGB*","*DGI*","*GT*","*CS*","*PWU*","*DBI*","*SWU*"}))=0,P194,IF(IFERROR(VALUE(SUBSTITUTE(SUBSTITUTE(O194,"W",""),"""","")),0)&gt;52,P194&amp;"-OVRSIZE-",P194))))</f>
        <v/>
      </c>
      <c r="H194" s="15" t="str">
        <v/>
      </c>
      <c r="I194" s="15" t="str">
        <v/>
      </c>
      <c r="J194" s="15" t="str">
        <v/>
      </c>
      <c r="K194" s="15" t="str">
        <v/>
      </c>
      <c r="L194" s="15" t="str">
        <v/>
      </c>
      <c r="M194" s="10" t="str">
        <v/>
      </c>
      <c r="N194" s="14"/>
      <c r="O194" s="15" t="str" cm="1">
        <f t="array" ref="O194">IFERROR(_xlfn.LET(
_xlpm.clean,TRIM(SUBSTITUTE(SUBSTITUTE(P194,CHAR(160),"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4" s="15"/>
      <c r="R194" t="str">
        <v/>
      </c>
      <c r="S194" t="str">
        <f t="shared" si="3"/>
        <v/>
      </c>
    </row>
    <row r="195" spans="1:19" ht="12.75">
      <c r="A195" s="15" t="str">
        <v/>
      </c>
      <c r="B195" s="15" t="str">
        <v/>
      </c>
      <c r="C195" s="15" t="str" cm="1">
        <f t="array" ref="C195">IFERROR(_xlfn.TEXTJOIN("",TRUE,_xlfn._xlws.FILTER(MID(S195,_xlfn.SEQUENCE(LEN(S195)),1),ISNUMBER(SEARCH(MID(S195,_xlfn.SEQUENCE(LEN(S195)),1),"ABCDEFGHIJKLMNOPQRSTUVWXYZabcdefghijklmnopqrstuvwxyz0123456789,")))),"")</f>
        <v/>
      </c>
      <c r="D195" s="15" t="str">
        <v/>
      </c>
      <c r="E195" s="16" t="str">
        <v/>
      </c>
      <c r="F195" s="15" t="str">
        <v/>
      </c>
      <c r="G195" s="20" t="str" cm="1">
        <f t="array" ref="G195">IF(TRIM(P195)="","",IF(SUM(COUNTIF(P195,{"*NLGD*","*FWG*"}))&gt;0,P195,IF(SUM(COUNTIF(P195,{"*GL*","*DGB*","*DGI*","*GT*","*CS*","*PWU*","*DBI*","*SWU*"}))=0,P195,IF(IFERROR(VALUE(SUBSTITUTE(SUBSTITUTE(O195,"W",""),"""","")),0)&gt;52,P195&amp;"-OVRSIZE-",P195))))</f>
        <v/>
      </c>
      <c r="H195" s="15" t="str">
        <v/>
      </c>
      <c r="I195" s="15" t="str">
        <v/>
      </c>
      <c r="J195" s="15" t="str">
        <v/>
      </c>
      <c r="K195" s="15" t="str">
        <v/>
      </c>
      <c r="L195" s="15" t="str">
        <v/>
      </c>
      <c r="M195" s="10" t="str">
        <v/>
      </c>
      <c r="N195" s="14"/>
      <c r="O195" s="15" t="str" cm="1">
        <f t="array" ref="O195">IFERROR(_xlfn.LET(
_xlpm.clean,TRIM(SUBSTITUTE(SUBSTITUTE(P195,CHAR(160),"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5" s="15"/>
      <c r="R195" t="str">
        <v/>
      </c>
      <c r="S195" t="str">
        <f t="shared" si="3"/>
        <v/>
      </c>
    </row>
    <row r="196" spans="1:19" ht="12.75">
      <c r="A196" s="15" t="str">
        <v/>
      </c>
      <c r="B196" s="15" t="str">
        <v/>
      </c>
      <c r="C196" s="15" t="str" cm="1">
        <f t="array" ref="C196">IFERROR(_xlfn.TEXTJOIN("",TRUE,_xlfn._xlws.FILTER(MID(S196,_xlfn.SEQUENCE(LEN(S196)),1),ISNUMBER(SEARCH(MID(S196,_xlfn.SEQUENCE(LEN(S196)),1),"ABCDEFGHIJKLMNOPQRSTUVWXYZabcdefghijklmnopqrstuvwxyz0123456789,")))),"")</f>
        <v/>
      </c>
      <c r="D196" s="15" t="str">
        <v/>
      </c>
      <c r="E196" s="16" t="str">
        <v/>
      </c>
      <c r="F196" s="15" t="str">
        <v/>
      </c>
      <c r="G196" s="20" t="str" cm="1">
        <f t="array" ref="G196">IF(TRIM(P196)="","",IF(SUM(COUNTIF(P196,{"*NLGD*","*FWG*"}))&gt;0,P196,IF(SUM(COUNTIF(P196,{"*GL*","*DGB*","*DGI*","*GT*","*CS*","*PWU*","*DBI*","*SWU*"}))=0,P196,IF(IFERROR(VALUE(SUBSTITUTE(SUBSTITUTE(O196,"W",""),"""","")),0)&gt;52,P196&amp;"-OVRSIZE-",P196))))</f>
        <v/>
      </c>
      <c r="H196" s="15" t="str">
        <v/>
      </c>
      <c r="I196" s="15" t="str">
        <v/>
      </c>
      <c r="J196" s="15" t="str">
        <v/>
      </c>
      <c r="K196" s="15" t="str">
        <v/>
      </c>
      <c r="L196" s="15" t="str">
        <v/>
      </c>
      <c r="M196" s="10" t="str">
        <v/>
      </c>
      <c r="N196" s="14"/>
      <c r="O196" s="15" t="str" cm="1">
        <f t="array" ref="O196">IFERROR(_xlfn.LET(
_xlpm.clean,TRIM(SUBSTITUTE(SUBSTITUTE(P196,CHAR(160),"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6" s="15"/>
      <c r="R196" t="str">
        <v/>
      </c>
      <c r="S196" t="str">
        <f t="shared" si="3"/>
        <v/>
      </c>
    </row>
    <row r="197" spans="1:19" ht="12.75">
      <c r="A197" s="15" t="str">
        <v/>
      </c>
      <c r="B197" s="15" t="str">
        <v/>
      </c>
      <c r="C197" s="15" t="str" cm="1">
        <f t="array" ref="C197">IFERROR(_xlfn.TEXTJOIN("",TRUE,_xlfn._xlws.FILTER(MID(S197,_xlfn.SEQUENCE(LEN(S197)),1),ISNUMBER(SEARCH(MID(S197,_xlfn.SEQUENCE(LEN(S197)),1),"ABCDEFGHIJKLMNOPQRSTUVWXYZabcdefghijklmnopqrstuvwxyz0123456789,")))),"")</f>
        <v/>
      </c>
      <c r="D197" s="15" t="str">
        <v/>
      </c>
      <c r="E197" s="16" t="str">
        <v/>
      </c>
      <c r="F197" s="15" t="str">
        <v/>
      </c>
      <c r="G197" s="20" t="str" cm="1">
        <f t="array" ref="G197">IF(TRIM(P197)="","",IF(SUM(COUNTIF(P197,{"*NLGD*","*FWG*"}))&gt;0,P197,IF(SUM(COUNTIF(P197,{"*GL*","*DGB*","*DGI*","*GT*","*CS*","*PWU*","*DBI*","*SWU*"}))=0,P197,IF(IFERROR(VALUE(SUBSTITUTE(SUBSTITUTE(O197,"W",""),"""","")),0)&gt;52,P197&amp;"-OVRSIZE-",P197))))</f>
        <v/>
      </c>
      <c r="H197" s="15" t="str">
        <v/>
      </c>
      <c r="I197" s="15" t="str">
        <v/>
      </c>
      <c r="J197" s="15" t="str">
        <v/>
      </c>
      <c r="K197" s="15" t="str">
        <v/>
      </c>
      <c r="L197" s="15" t="str">
        <v/>
      </c>
      <c r="M197" s="10" t="str">
        <v/>
      </c>
      <c r="N197" s="14"/>
      <c r="O197" s="15" t="str" cm="1">
        <f t="array" ref="O197">IFERROR(_xlfn.LET(
_xlpm.clean,TRIM(SUBSTITUTE(SUBSTITUTE(P197,CHAR(160),"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7" s="15"/>
      <c r="R197" t="str">
        <v/>
      </c>
      <c r="S197" t="str">
        <f t="shared" si="3"/>
        <v/>
      </c>
    </row>
    <row r="198" spans="1:19" ht="12.75">
      <c r="A198" s="15" t="str">
        <v/>
      </c>
      <c r="B198" s="15" t="str">
        <v/>
      </c>
      <c r="C198" s="15" t="str" cm="1">
        <f t="array" ref="C198">IFERROR(_xlfn.TEXTJOIN("",TRUE,_xlfn._xlws.FILTER(MID(S198,_xlfn.SEQUENCE(LEN(S198)),1),ISNUMBER(SEARCH(MID(S198,_xlfn.SEQUENCE(LEN(S198)),1),"ABCDEFGHIJKLMNOPQRSTUVWXYZabcdefghijklmnopqrstuvwxyz0123456789,")))),"")</f>
        <v/>
      </c>
      <c r="D198" s="15" t="str">
        <v/>
      </c>
      <c r="E198" s="16" t="str">
        <v/>
      </c>
      <c r="F198" s="15" t="str">
        <v/>
      </c>
      <c r="G198" s="20" t="str" cm="1">
        <f t="array" ref="G198">IF(TRIM(P198)="","",IF(SUM(COUNTIF(P198,{"*NLGD*","*FWG*"}))&gt;0,P198,IF(SUM(COUNTIF(P198,{"*GL*","*DGB*","*DGI*","*GT*","*CS*","*PWU*","*DBI*","*SWU*"}))=0,P198,IF(IFERROR(VALUE(SUBSTITUTE(SUBSTITUTE(O198,"W",""),"""","")),0)&gt;52,P198&amp;"-OVRSIZE-",P198))))</f>
        <v/>
      </c>
      <c r="H198" s="15" t="str">
        <v/>
      </c>
      <c r="I198" s="15" t="str">
        <v/>
      </c>
      <c r="J198" s="15" t="str">
        <v/>
      </c>
      <c r="K198" s="15" t="str">
        <v/>
      </c>
      <c r="L198" s="15" t="str">
        <v/>
      </c>
      <c r="M198" s="10" t="str">
        <v/>
      </c>
      <c r="N198" s="14"/>
      <c r="O198" s="15" t="str" cm="1">
        <f t="array" ref="O198">IFERROR(_xlfn.LET(
_xlpm.clean,TRIM(SUBSTITUTE(SUBSTITUTE(P198,CHAR(160),"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8" s="15"/>
      <c r="R198" t="str">
        <v/>
      </c>
      <c r="S198" t="str">
        <f t="shared" si="3"/>
        <v/>
      </c>
    </row>
    <row r="199" spans="1:19" ht="12.75">
      <c r="A199" s="15" t="str">
        <v/>
      </c>
      <c r="B199" s="15" t="str">
        <v/>
      </c>
      <c r="C199" s="15" t="str" cm="1">
        <f t="array" ref="C199">IFERROR(_xlfn.TEXTJOIN("",TRUE,_xlfn._xlws.FILTER(MID(S199,_xlfn.SEQUENCE(LEN(S199)),1),ISNUMBER(SEARCH(MID(S199,_xlfn.SEQUENCE(LEN(S199)),1),"ABCDEFGHIJKLMNOPQRSTUVWXYZabcdefghijklmnopqrstuvwxyz0123456789,")))),"")</f>
        <v/>
      </c>
      <c r="D199" s="15" t="str">
        <v/>
      </c>
      <c r="E199" s="16" t="str">
        <v/>
      </c>
      <c r="F199" s="15" t="str">
        <v/>
      </c>
      <c r="G199" s="20" t="str" cm="1">
        <f t="array" ref="G199">IF(TRIM(P199)="","",IF(SUM(COUNTIF(P199,{"*NLGD*","*FWG*"}))&gt;0,P199,IF(SUM(COUNTIF(P199,{"*GL*","*DGB*","*DGI*","*GT*","*CS*","*PWU*","*DBI*","*SWU*"}))=0,P199,IF(IFERROR(VALUE(SUBSTITUTE(SUBSTITUTE(O199,"W",""),"""","")),0)&gt;52,P199&amp;"-OVRSIZE-",P199))))</f>
        <v/>
      </c>
      <c r="H199" s="15" t="str">
        <v/>
      </c>
      <c r="I199" s="15" t="str">
        <v/>
      </c>
      <c r="J199" s="15" t="str">
        <v/>
      </c>
      <c r="K199" s="15" t="str">
        <v/>
      </c>
      <c r="L199" s="15" t="str">
        <v/>
      </c>
      <c r="M199" s="10" t="str">
        <v/>
      </c>
      <c r="N199" s="14"/>
      <c r="O199" s="15" t="str" cm="1">
        <f t="array" ref="O199">IFERROR(_xlfn.LET(
_xlpm.clean,TRIM(SUBSTITUTE(SUBSTITUTE(P199,CHAR(160),"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9" s="15"/>
      <c r="R199" t="str">
        <v/>
      </c>
      <c r="S199" t="str">
        <f t="shared" si="3"/>
        <v/>
      </c>
    </row>
    <row r="200" spans="1:19" ht="12.75">
      <c r="A200" s="15" t="str">
        <v/>
      </c>
      <c r="B200" s="15" t="str">
        <v/>
      </c>
      <c r="C200" s="15" t="str" cm="1">
        <f t="array" ref="C200">IFERROR(_xlfn.TEXTJOIN("",TRUE,_xlfn._xlws.FILTER(MID(S200,_xlfn.SEQUENCE(LEN(S200)),1),ISNUMBER(SEARCH(MID(S200,_xlfn.SEQUENCE(LEN(S200)),1),"ABCDEFGHIJKLMNOPQRSTUVWXYZabcdefghijklmnopqrstuvwxyz0123456789,")))),"")</f>
        <v/>
      </c>
      <c r="D200" s="15" t="str">
        <v/>
      </c>
      <c r="E200" s="16" t="str">
        <v/>
      </c>
      <c r="F200" s="15" t="str">
        <v/>
      </c>
      <c r="G200" s="20" t="str" cm="1">
        <f t="array" ref="G200">IF(TRIM(P200)="","",IF(SUM(COUNTIF(P200,{"*NLGD*","*FWG*"}))&gt;0,P200,IF(SUM(COUNTIF(P200,{"*GL*","*DGB*","*DGI*","*GT*","*CS*","*PWU*","*DBI*","*SWU*"}))=0,P200,IF(IFERROR(VALUE(SUBSTITUTE(SUBSTITUTE(O200,"W",""),"""","")),0)&gt;52,P200&amp;"-OVRSIZE-",P200))))</f>
        <v/>
      </c>
      <c r="H200" s="15" t="str">
        <v/>
      </c>
      <c r="I200" s="15" t="str">
        <v/>
      </c>
      <c r="J200" s="15" t="str">
        <v/>
      </c>
      <c r="K200" s="15" t="str">
        <v/>
      </c>
      <c r="L200" s="15" t="str">
        <v/>
      </c>
      <c r="M200" s="10" t="str">
        <v/>
      </c>
      <c r="N200" s="14"/>
      <c r="O200" s="15" t="str" cm="1">
        <f t="array" ref="O200">IFERROR(_xlfn.LET(
_xlpm.clean,TRIM(SUBSTITUTE(SUBSTITUTE(P200,CHAR(160),"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0" s="15"/>
      <c r="R200" t="str">
        <v/>
      </c>
      <c r="S200" t="str">
        <f t="shared" ref="S200:S263" si="4">IF(R200="","",_xlfn.LET(
_xlpm.x,TRIM(SUBSTITUTE(SUBSTITUTE(SUBSTITUTE(SUBSTITUTE(R200,":","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201" spans="1:19" ht="12.75">
      <c r="A201" s="15" t="str">
        <v/>
      </c>
      <c r="B201" s="15" t="str">
        <v/>
      </c>
      <c r="C201" s="15" t="str" cm="1">
        <f t="array" ref="C201">IFERROR(_xlfn.TEXTJOIN("",TRUE,_xlfn._xlws.FILTER(MID(S201,_xlfn.SEQUENCE(LEN(S201)),1),ISNUMBER(SEARCH(MID(S201,_xlfn.SEQUENCE(LEN(S201)),1),"ABCDEFGHIJKLMNOPQRSTUVWXYZabcdefghijklmnopqrstuvwxyz0123456789,")))),"")</f>
        <v/>
      </c>
      <c r="D201" s="15" t="str">
        <v/>
      </c>
      <c r="E201" s="16" t="str">
        <v/>
      </c>
      <c r="F201" s="15" t="str">
        <v/>
      </c>
      <c r="G201" s="20" t="str" cm="1">
        <f t="array" ref="G201">IF(TRIM(P201)="","",IF(SUM(COUNTIF(P201,{"*NLGD*","*FWG*"}))&gt;0,P201,IF(SUM(COUNTIF(P201,{"*GL*","*DGB*","*DGI*","*GT*","*CS*","*PWU*","*DBI*","*SWU*"}))=0,P201,IF(IFERROR(VALUE(SUBSTITUTE(SUBSTITUTE(O201,"W",""),"""","")),0)&gt;52,P201&amp;"-OVRSIZE-",P201))))</f>
        <v/>
      </c>
      <c r="H201" s="15" t="str">
        <v/>
      </c>
      <c r="I201" s="15" t="str">
        <v/>
      </c>
      <c r="J201" s="15" t="str">
        <v/>
      </c>
      <c r="K201" s="15" t="str">
        <v/>
      </c>
      <c r="L201" s="15" t="str">
        <v/>
      </c>
      <c r="M201" s="10" t="str">
        <v/>
      </c>
      <c r="N201" s="14"/>
      <c r="O201" s="15" t="str" cm="1">
        <f t="array" ref="O201">IFERROR(_xlfn.LET(
_xlpm.clean,TRIM(SUBSTITUTE(SUBSTITUTE(P201,CHAR(160),"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1" s="15"/>
      <c r="R201" t="str">
        <v/>
      </c>
      <c r="S201" t="str">
        <f t="shared" si="4"/>
        <v/>
      </c>
    </row>
    <row r="202" spans="1:19" ht="12.75">
      <c r="A202" s="15" t="str">
        <v/>
      </c>
      <c r="B202" s="15" t="str">
        <v/>
      </c>
      <c r="C202" s="15" t="str" cm="1">
        <f t="array" ref="C202">IFERROR(_xlfn.TEXTJOIN("",TRUE,_xlfn._xlws.FILTER(MID(S202,_xlfn.SEQUENCE(LEN(S202)),1),ISNUMBER(SEARCH(MID(S202,_xlfn.SEQUENCE(LEN(S202)),1),"ABCDEFGHIJKLMNOPQRSTUVWXYZabcdefghijklmnopqrstuvwxyz0123456789,")))),"")</f>
        <v/>
      </c>
      <c r="D202" s="15" t="str">
        <v/>
      </c>
      <c r="E202" s="16" t="str">
        <v/>
      </c>
      <c r="F202" s="15" t="str">
        <v/>
      </c>
      <c r="G202" s="20" t="str" cm="1">
        <f t="array" ref="G202">IF(TRIM(P202)="","",IF(SUM(COUNTIF(P202,{"*NLGD*","*FWG*"}))&gt;0,P202,IF(SUM(COUNTIF(P202,{"*GL*","*DGB*","*DGI*","*GT*","*CS*","*PWU*","*DBI*","*SWU*"}))=0,P202,IF(IFERROR(VALUE(SUBSTITUTE(SUBSTITUTE(O202,"W",""),"""","")),0)&gt;52,P202&amp;"-OVRSIZE-",P202))))</f>
        <v/>
      </c>
      <c r="H202" s="15" t="str">
        <v/>
      </c>
      <c r="I202" s="15" t="str">
        <v/>
      </c>
      <c r="J202" s="15" t="str">
        <v/>
      </c>
      <c r="K202" s="15" t="str">
        <v/>
      </c>
      <c r="L202" s="15" t="str">
        <v/>
      </c>
      <c r="M202" s="10" t="str">
        <v/>
      </c>
      <c r="N202" s="14"/>
      <c r="O202" s="15" t="str" cm="1">
        <f t="array" ref="O202">IFERROR(_xlfn.LET(
_xlpm.clean,TRIM(SUBSTITUTE(SUBSTITUTE(P202,CHAR(160),"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2" s="15"/>
      <c r="R202" t="str">
        <v/>
      </c>
      <c r="S202" t="str">
        <f t="shared" si="4"/>
        <v/>
      </c>
    </row>
    <row r="203" spans="1:19" ht="12.75">
      <c r="A203" s="15" t="str">
        <v/>
      </c>
      <c r="B203" s="15" t="str">
        <v/>
      </c>
      <c r="C203" s="15" t="str" cm="1">
        <f t="array" ref="C203">IFERROR(_xlfn.TEXTJOIN("",TRUE,_xlfn._xlws.FILTER(MID(S203,_xlfn.SEQUENCE(LEN(S203)),1),ISNUMBER(SEARCH(MID(S203,_xlfn.SEQUENCE(LEN(S203)),1),"ABCDEFGHIJKLMNOPQRSTUVWXYZabcdefghijklmnopqrstuvwxyz0123456789,")))),"")</f>
        <v/>
      </c>
      <c r="D203" s="15" t="str">
        <v/>
      </c>
      <c r="E203" s="16" t="str">
        <v/>
      </c>
      <c r="F203" s="15" t="str">
        <v/>
      </c>
      <c r="G203" s="20" t="str" cm="1">
        <f t="array" ref="G203">IF(TRIM(P203)="","",IF(SUM(COUNTIF(P203,{"*NLGD*","*FWG*"}))&gt;0,P203,IF(SUM(COUNTIF(P203,{"*GL*","*DGB*","*DGI*","*GT*","*CS*","*PWU*","*DBI*","*SWU*"}))=0,P203,IF(IFERROR(VALUE(SUBSTITUTE(SUBSTITUTE(O203,"W",""),"""","")),0)&gt;52,P203&amp;"-OVRSIZE-",P203))))</f>
        <v/>
      </c>
      <c r="H203" s="15" t="str">
        <v/>
      </c>
      <c r="I203" s="15" t="str">
        <v/>
      </c>
      <c r="J203" s="15" t="str">
        <v/>
      </c>
      <c r="K203" s="15" t="str">
        <v/>
      </c>
      <c r="L203" s="15" t="str">
        <v/>
      </c>
      <c r="M203" s="10" t="str">
        <v/>
      </c>
      <c r="N203" s="14"/>
      <c r="O203" s="15" t="str" cm="1">
        <f t="array" ref="O203">IFERROR(_xlfn.LET(
_xlpm.clean,TRIM(SUBSTITUTE(SUBSTITUTE(P203,CHAR(160),"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3" s="15"/>
      <c r="R203" t="str">
        <v/>
      </c>
      <c r="S203" t="str">
        <f t="shared" si="4"/>
        <v/>
      </c>
    </row>
    <row r="204" spans="1:19" ht="12.75">
      <c r="A204" s="15" t="str">
        <v/>
      </c>
      <c r="B204" s="15" t="str">
        <v/>
      </c>
      <c r="C204" s="15" t="str" cm="1">
        <f t="array" ref="C204">IFERROR(_xlfn.TEXTJOIN("",TRUE,_xlfn._xlws.FILTER(MID(S204,_xlfn.SEQUENCE(LEN(S204)),1),ISNUMBER(SEARCH(MID(S204,_xlfn.SEQUENCE(LEN(S204)),1),"ABCDEFGHIJKLMNOPQRSTUVWXYZabcdefghijklmnopqrstuvwxyz0123456789,")))),"")</f>
        <v/>
      </c>
      <c r="D204" s="15" t="str">
        <v/>
      </c>
      <c r="E204" s="16" t="str">
        <v/>
      </c>
      <c r="F204" s="15" t="str">
        <v/>
      </c>
      <c r="G204" s="20" t="str" cm="1">
        <f t="array" ref="G204">IF(TRIM(P204)="","",IF(SUM(COUNTIF(P204,{"*NLGD*","*FWG*"}))&gt;0,P204,IF(SUM(COUNTIF(P204,{"*GL*","*DGB*","*DGI*","*GT*","*CS*","*PWU*","*DBI*","*SWU*"}))=0,P204,IF(IFERROR(VALUE(SUBSTITUTE(SUBSTITUTE(O204,"W",""),"""","")),0)&gt;52,P204&amp;"-OVRSIZE-",P204))))</f>
        <v/>
      </c>
      <c r="H204" s="15" t="str">
        <v/>
      </c>
      <c r="I204" s="15" t="str">
        <v/>
      </c>
      <c r="J204" s="15" t="str">
        <v/>
      </c>
      <c r="K204" s="15" t="str">
        <v/>
      </c>
      <c r="L204" s="15" t="str">
        <v/>
      </c>
      <c r="M204" s="10" t="str">
        <v/>
      </c>
      <c r="N204" s="14"/>
      <c r="O204" s="15" t="str" cm="1">
        <f t="array" ref="O204">IFERROR(_xlfn.LET(
_xlpm.clean,TRIM(SUBSTITUTE(SUBSTITUTE(P204,CHAR(160),"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4" s="15"/>
      <c r="R204" t="str">
        <v/>
      </c>
      <c r="S204" t="str">
        <f t="shared" si="4"/>
        <v/>
      </c>
    </row>
    <row r="205" spans="1:19" ht="12.75">
      <c r="A205" s="15" t="str">
        <v/>
      </c>
      <c r="B205" s="15" t="str">
        <v/>
      </c>
      <c r="C205" s="15" t="str" cm="1">
        <f t="array" ref="C205">IFERROR(_xlfn.TEXTJOIN("",TRUE,_xlfn._xlws.FILTER(MID(S205,_xlfn.SEQUENCE(LEN(S205)),1),ISNUMBER(SEARCH(MID(S205,_xlfn.SEQUENCE(LEN(S205)),1),"ABCDEFGHIJKLMNOPQRSTUVWXYZabcdefghijklmnopqrstuvwxyz0123456789,")))),"")</f>
        <v/>
      </c>
      <c r="D205" s="15" t="str">
        <v/>
      </c>
      <c r="E205" s="16" t="str">
        <v/>
      </c>
      <c r="F205" s="15" t="str">
        <v/>
      </c>
      <c r="G205" s="20" t="str" cm="1">
        <f t="array" ref="G205">IF(TRIM(P205)="","",IF(SUM(COUNTIF(P205,{"*NLGD*","*FWG*"}))&gt;0,P205,IF(SUM(COUNTIF(P205,{"*GL*","*DGB*","*DGI*","*GT*","*CS*","*PWU*","*DBI*","*SWU*"}))=0,P205,IF(IFERROR(VALUE(SUBSTITUTE(SUBSTITUTE(O205,"W",""),"""","")),0)&gt;52,P205&amp;"-OVRSIZE-",P205))))</f>
        <v/>
      </c>
      <c r="H205" s="15" t="str">
        <v/>
      </c>
      <c r="I205" s="15" t="str">
        <v/>
      </c>
      <c r="J205" s="15" t="str">
        <v/>
      </c>
      <c r="K205" s="15" t="str">
        <v/>
      </c>
      <c r="L205" s="15" t="str">
        <v/>
      </c>
      <c r="M205" s="10" t="str">
        <v/>
      </c>
      <c r="N205" s="14"/>
      <c r="O205" s="15" t="str" cm="1">
        <f t="array" ref="O205">IFERROR(_xlfn.LET(
_xlpm.clean,TRIM(SUBSTITUTE(SUBSTITUTE(P205,CHAR(160),"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5" s="15"/>
      <c r="R205" t="str">
        <v/>
      </c>
      <c r="S205" t="str">
        <f t="shared" si="4"/>
        <v/>
      </c>
    </row>
    <row r="206" spans="1:19" ht="12.75">
      <c r="A206" s="15" t="str">
        <v/>
      </c>
      <c r="B206" s="15" t="str">
        <v/>
      </c>
      <c r="C206" s="15" t="str" cm="1">
        <f t="array" ref="C206">IFERROR(_xlfn.TEXTJOIN("",TRUE,_xlfn._xlws.FILTER(MID(S206,_xlfn.SEQUENCE(LEN(S206)),1),ISNUMBER(SEARCH(MID(S206,_xlfn.SEQUENCE(LEN(S206)),1),"ABCDEFGHIJKLMNOPQRSTUVWXYZabcdefghijklmnopqrstuvwxyz0123456789,")))),"")</f>
        <v/>
      </c>
      <c r="D206" s="15" t="str">
        <v/>
      </c>
      <c r="E206" s="16" t="str">
        <v/>
      </c>
      <c r="F206" s="15" t="str">
        <v/>
      </c>
      <c r="G206" s="20" t="str" cm="1">
        <f t="array" ref="G206">IF(TRIM(P206)="","",IF(SUM(COUNTIF(P206,{"*NLGD*","*FWG*"}))&gt;0,P206,IF(SUM(COUNTIF(P206,{"*GL*","*DGB*","*DGI*","*GT*","*CS*","*PWU*","*DBI*","*SWU*"}))=0,P206,IF(IFERROR(VALUE(SUBSTITUTE(SUBSTITUTE(O206,"W",""),"""","")),0)&gt;52,P206&amp;"-OVRSIZE-",P206))))</f>
        <v/>
      </c>
      <c r="H206" s="15" t="str">
        <v/>
      </c>
      <c r="I206" s="15" t="str">
        <v/>
      </c>
      <c r="J206" s="15" t="str">
        <v/>
      </c>
      <c r="K206" s="15" t="str">
        <v/>
      </c>
      <c r="L206" s="15" t="str">
        <v/>
      </c>
      <c r="M206" s="10" t="str">
        <v/>
      </c>
      <c r="N206" s="14"/>
      <c r="O206" s="15" t="str" cm="1">
        <f t="array" ref="O206">IFERROR(_xlfn.LET(
_xlpm.clean,TRIM(SUBSTITUTE(SUBSTITUTE(P206,CHAR(160),"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6" s="15"/>
      <c r="R206" t="str">
        <v/>
      </c>
      <c r="S206" t="str">
        <f t="shared" si="4"/>
        <v/>
      </c>
    </row>
    <row r="207" spans="1:19" ht="12.75">
      <c r="A207" s="15" t="str">
        <v/>
      </c>
      <c r="B207" s="15" t="str">
        <v/>
      </c>
      <c r="C207" s="15" t="str" cm="1">
        <f t="array" ref="C207">IFERROR(_xlfn.TEXTJOIN("",TRUE,_xlfn._xlws.FILTER(MID(S207,_xlfn.SEQUENCE(LEN(S207)),1),ISNUMBER(SEARCH(MID(S207,_xlfn.SEQUENCE(LEN(S207)),1),"ABCDEFGHIJKLMNOPQRSTUVWXYZabcdefghijklmnopqrstuvwxyz0123456789,")))),"")</f>
        <v/>
      </c>
      <c r="D207" s="15" t="str">
        <v/>
      </c>
      <c r="E207" s="16" t="str">
        <v/>
      </c>
      <c r="F207" s="15" t="str">
        <v/>
      </c>
      <c r="G207" s="20" t="str" cm="1">
        <f t="array" ref="G207">IF(TRIM(P207)="","",IF(SUM(COUNTIF(P207,{"*NLGD*","*FWG*"}))&gt;0,P207,IF(SUM(COUNTIF(P207,{"*GL*","*DGB*","*DGI*","*GT*","*CS*","*PWU*","*DBI*","*SWU*"}))=0,P207,IF(IFERROR(VALUE(SUBSTITUTE(SUBSTITUTE(O207,"W",""),"""","")),0)&gt;52,P207&amp;"-OVRSIZE-",P207))))</f>
        <v/>
      </c>
      <c r="H207" s="15" t="str">
        <v/>
      </c>
      <c r="I207" s="15" t="str">
        <v/>
      </c>
      <c r="J207" s="15" t="str">
        <v/>
      </c>
      <c r="K207" s="15" t="str">
        <v/>
      </c>
      <c r="L207" s="15" t="str">
        <v/>
      </c>
      <c r="M207" s="10" t="str">
        <v/>
      </c>
      <c r="N207" s="14"/>
      <c r="O207" s="15" t="str" cm="1">
        <f t="array" ref="O207">IFERROR(_xlfn.LET(
_xlpm.clean,TRIM(SUBSTITUTE(SUBSTITUTE(P207,CHAR(160),"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7" s="15"/>
      <c r="R207" t="str">
        <v/>
      </c>
      <c r="S207" t="str">
        <f t="shared" si="4"/>
        <v/>
      </c>
    </row>
    <row r="208" spans="1:19" ht="12.75">
      <c r="A208" s="15" t="str">
        <v/>
      </c>
      <c r="B208" s="15" t="str">
        <v/>
      </c>
      <c r="C208" s="15" t="str" cm="1">
        <f t="array" ref="C208">IFERROR(_xlfn.TEXTJOIN("",TRUE,_xlfn._xlws.FILTER(MID(S208,_xlfn.SEQUENCE(LEN(S208)),1),ISNUMBER(SEARCH(MID(S208,_xlfn.SEQUENCE(LEN(S208)),1),"ABCDEFGHIJKLMNOPQRSTUVWXYZabcdefghijklmnopqrstuvwxyz0123456789,")))),"")</f>
        <v/>
      </c>
      <c r="D208" s="15" t="str">
        <v/>
      </c>
      <c r="E208" s="16" t="str">
        <v/>
      </c>
      <c r="F208" s="15" t="str">
        <v/>
      </c>
      <c r="G208" s="20" t="str" cm="1">
        <f t="array" ref="G208">IF(TRIM(P208)="","",IF(SUM(COUNTIF(P208,{"*NLGD*","*FWG*"}))&gt;0,P208,IF(SUM(COUNTIF(P208,{"*GL*","*DGB*","*DGI*","*GT*","*CS*","*PWU*","*DBI*","*SWU*"}))=0,P208,IF(IFERROR(VALUE(SUBSTITUTE(SUBSTITUTE(O208,"W",""),"""","")),0)&gt;52,P208&amp;"-OVRSIZE-",P208))))</f>
        <v/>
      </c>
      <c r="H208" s="15" t="str">
        <v/>
      </c>
      <c r="I208" s="15" t="str">
        <v/>
      </c>
      <c r="J208" s="15" t="str">
        <v/>
      </c>
      <c r="K208" s="15" t="str">
        <v/>
      </c>
      <c r="L208" s="15" t="str">
        <v/>
      </c>
      <c r="M208" s="10" t="str">
        <v/>
      </c>
      <c r="N208" s="14"/>
      <c r="O208" s="15" t="str" cm="1">
        <f t="array" ref="O208">IFERROR(_xlfn.LET(
_xlpm.clean,TRIM(SUBSTITUTE(SUBSTITUTE(P208,CHAR(160),"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8" s="15"/>
      <c r="R208" t="str">
        <v/>
      </c>
      <c r="S208" t="str">
        <f t="shared" si="4"/>
        <v/>
      </c>
    </row>
    <row r="209" spans="1:19" ht="12.75">
      <c r="A209" s="15" t="str">
        <v/>
      </c>
      <c r="B209" s="15" t="str">
        <v/>
      </c>
      <c r="C209" s="15" t="str" cm="1">
        <f t="array" ref="C209">IFERROR(_xlfn.TEXTJOIN("",TRUE,_xlfn._xlws.FILTER(MID(S209,_xlfn.SEQUENCE(LEN(S209)),1),ISNUMBER(SEARCH(MID(S209,_xlfn.SEQUENCE(LEN(S209)),1),"ABCDEFGHIJKLMNOPQRSTUVWXYZabcdefghijklmnopqrstuvwxyz0123456789,")))),"")</f>
        <v/>
      </c>
      <c r="D209" s="15" t="str">
        <v/>
      </c>
      <c r="E209" s="16" t="str">
        <v/>
      </c>
      <c r="F209" s="15" t="str">
        <v/>
      </c>
      <c r="G209" s="20" t="str" cm="1">
        <f t="array" ref="G209">IF(TRIM(P209)="","",IF(SUM(COUNTIF(P209,{"*NLGD*","*FWG*"}))&gt;0,P209,IF(SUM(COUNTIF(P209,{"*GL*","*DGB*","*DGI*","*GT*","*CS*","*PWU*","*DBI*","*SWU*"}))=0,P209,IF(IFERROR(VALUE(SUBSTITUTE(SUBSTITUTE(O209,"W",""),"""","")),0)&gt;52,P209&amp;"-OVRSIZE-",P209))))</f>
        <v/>
      </c>
      <c r="H209" s="15" t="str">
        <v/>
      </c>
      <c r="I209" s="15" t="str">
        <v/>
      </c>
      <c r="J209" s="15" t="str">
        <v/>
      </c>
      <c r="K209" s="15" t="str">
        <v/>
      </c>
      <c r="L209" s="15" t="str">
        <v/>
      </c>
      <c r="M209" s="10" t="str">
        <v/>
      </c>
      <c r="N209" s="14"/>
      <c r="O209" s="15" t="str" cm="1">
        <f t="array" ref="O209">IFERROR(_xlfn.LET(
_xlpm.clean,TRIM(SUBSTITUTE(SUBSTITUTE(P209,CHAR(160),"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9" s="15"/>
      <c r="R209" t="str">
        <v/>
      </c>
      <c r="S209" t="str">
        <f t="shared" si="4"/>
        <v/>
      </c>
    </row>
    <row r="210" spans="1:19" ht="12.75">
      <c r="A210" s="15" t="str">
        <v/>
      </c>
      <c r="B210" s="15" t="str">
        <v/>
      </c>
      <c r="C210" s="15" t="str" cm="1">
        <f t="array" ref="C210">IFERROR(_xlfn.TEXTJOIN("",TRUE,_xlfn._xlws.FILTER(MID(S210,_xlfn.SEQUENCE(LEN(S210)),1),ISNUMBER(SEARCH(MID(S210,_xlfn.SEQUENCE(LEN(S210)),1),"ABCDEFGHIJKLMNOPQRSTUVWXYZabcdefghijklmnopqrstuvwxyz0123456789,")))),"")</f>
        <v/>
      </c>
      <c r="D210" s="15" t="str">
        <v/>
      </c>
      <c r="E210" s="16" t="str">
        <v/>
      </c>
      <c r="F210" s="15" t="str">
        <v/>
      </c>
      <c r="G210" s="20" t="str" cm="1">
        <f t="array" ref="G210">IF(TRIM(P210)="","",IF(SUM(COUNTIF(P210,{"*NLGD*","*FWG*"}))&gt;0,P210,IF(SUM(COUNTIF(P210,{"*GL*","*DGB*","*DGI*","*GT*","*CS*","*PWU*","*DBI*","*SWU*"}))=0,P210,IF(IFERROR(VALUE(SUBSTITUTE(SUBSTITUTE(O210,"W",""),"""","")),0)&gt;52,P210&amp;"-OVRSIZE-",P210))))</f>
        <v/>
      </c>
      <c r="H210" s="15" t="str">
        <v/>
      </c>
      <c r="I210" s="15" t="str">
        <v/>
      </c>
      <c r="J210" s="15" t="str">
        <v/>
      </c>
      <c r="K210" s="15" t="str">
        <v/>
      </c>
      <c r="L210" s="15" t="str">
        <v/>
      </c>
      <c r="M210" s="10" t="str">
        <v/>
      </c>
      <c r="N210" s="14"/>
      <c r="O210" s="15" t="str" cm="1">
        <f t="array" ref="O210">IFERROR(_xlfn.LET(
_xlpm.clean,TRIM(SUBSTITUTE(SUBSTITUTE(P210,CHAR(160),"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0" s="15"/>
      <c r="R210" t="str">
        <v/>
      </c>
      <c r="S210" t="str">
        <f t="shared" si="4"/>
        <v/>
      </c>
    </row>
    <row r="211" spans="1:19" ht="12.75">
      <c r="A211" s="15" t="str">
        <v/>
      </c>
      <c r="B211" s="15" t="str">
        <v/>
      </c>
      <c r="C211" s="15" t="str" cm="1">
        <f t="array" ref="C211">IFERROR(_xlfn.TEXTJOIN("",TRUE,_xlfn._xlws.FILTER(MID(S211,_xlfn.SEQUENCE(LEN(S211)),1),ISNUMBER(SEARCH(MID(S211,_xlfn.SEQUENCE(LEN(S211)),1),"ABCDEFGHIJKLMNOPQRSTUVWXYZabcdefghijklmnopqrstuvwxyz0123456789,")))),"")</f>
        <v/>
      </c>
      <c r="D211" s="15" t="str">
        <v/>
      </c>
      <c r="E211" s="16" t="str">
        <v/>
      </c>
      <c r="F211" s="15" t="str">
        <v/>
      </c>
      <c r="G211" s="20" t="str" cm="1">
        <f t="array" ref="G211">IF(TRIM(P211)="","",IF(SUM(COUNTIF(P211,{"*NLGD*","*FWG*"}))&gt;0,P211,IF(SUM(COUNTIF(P211,{"*GL*","*DGB*","*DGI*","*GT*","*CS*","*PWU*","*DBI*","*SWU*"}))=0,P211,IF(IFERROR(VALUE(SUBSTITUTE(SUBSTITUTE(O211,"W",""),"""","")),0)&gt;52,P211&amp;"-OVRSIZE-",P211))))</f>
        <v/>
      </c>
      <c r="H211" s="15" t="str">
        <v/>
      </c>
      <c r="I211" s="15" t="str">
        <v/>
      </c>
      <c r="J211" s="15" t="str">
        <v/>
      </c>
      <c r="K211" s="15" t="str">
        <v/>
      </c>
      <c r="L211" s="15" t="str">
        <v/>
      </c>
      <c r="M211" s="10" t="str">
        <v/>
      </c>
      <c r="N211" s="14"/>
      <c r="O211" s="15" t="str" cm="1">
        <f t="array" ref="O211">IFERROR(_xlfn.LET(
_xlpm.clean,TRIM(SUBSTITUTE(SUBSTITUTE(P211,CHAR(160),"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1" s="15"/>
      <c r="R211" t="str">
        <v/>
      </c>
      <c r="S211" t="str">
        <f t="shared" si="4"/>
        <v/>
      </c>
    </row>
    <row r="212" spans="1:19" ht="12.75">
      <c r="A212" s="15" t="str">
        <v/>
      </c>
      <c r="B212" s="15" t="str">
        <v/>
      </c>
      <c r="C212" s="15" t="str" cm="1">
        <f t="array" ref="C212">IFERROR(_xlfn.TEXTJOIN("",TRUE,_xlfn._xlws.FILTER(MID(S212,_xlfn.SEQUENCE(LEN(S212)),1),ISNUMBER(SEARCH(MID(S212,_xlfn.SEQUENCE(LEN(S212)),1),"ABCDEFGHIJKLMNOPQRSTUVWXYZabcdefghijklmnopqrstuvwxyz0123456789,")))),"")</f>
        <v/>
      </c>
      <c r="D212" s="15" t="str">
        <v/>
      </c>
      <c r="E212" s="16" t="str">
        <v/>
      </c>
      <c r="F212" s="15" t="str">
        <v/>
      </c>
      <c r="G212" s="20" t="str" cm="1">
        <f t="array" ref="G212">IF(TRIM(P212)="","",IF(SUM(COUNTIF(P212,{"*NLGD*","*FWG*"}))&gt;0,P212,IF(SUM(COUNTIF(P212,{"*GL*","*DGB*","*DGI*","*GT*","*CS*","*PWU*","*DBI*","*SWU*"}))=0,P212,IF(IFERROR(VALUE(SUBSTITUTE(SUBSTITUTE(O212,"W",""),"""","")),0)&gt;52,P212&amp;"-OVRSIZE-",P212))))</f>
        <v/>
      </c>
      <c r="H212" s="15" t="str">
        <v/>
      </c>
      <c r="I212" s="15" t="str">
        <v/>
      </c>
      <c r="J212" s="15" t="str">
        <v/>
      </c>
      <c r="K212" s="15" t="str">
        <v/>
      </c>
      <c r="L212" s="15" t="str">
        <v/>
      </c>
      <c r="M212" s="10" t="str">
        <v/>
      </c>
      <c r="N212" s="14"/>
      <c r="O212" s="15" t="str" cm="1">
        <f t="array" ref="O212">IFERROR(_xlfn.LET(
_xlpm.clean,TRIM(SUBSTITUTE(SUBSTITUTE(P212,CHAR(160),"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2" s="15"/>
      <c r="R212" t="str">
        <v/>
      </c>
      <c r="S212" t="str">
        <f t="shared" si="4"/>
        <v/>
      </c>
    </row>
    <row r="213" spans="1:19" ht="12.75">
      <c r="A213" s="15" t="str">
        <v/>
      </c>
      <c r="B213" s="15" t="str">
        <v/>
      </c>
      <c r="C213" s="15" t="str" cm="1">
        <f t="array" ref="C213">IFERROR(_xlfn.TEXTJOIN("",TRUE,_xlfn._xlws.FILTER(MID(S213,_xlfn.SEQUENCE(LEN(S213)),1),ISNUMBER(SEARCH(MID(S213,_xlfn.SEQUENCE(LEN(S213)),1),"ABCDEFGHIJKLMNOPQRSTUVWXYZabcdefghijklmnopqrstuvwxyz0123456789,")))),"")</f>
        <v/>
      </c>
      <c r="D213" s="15" t="str">
        <v/>
      </c>
      <c r="E213" s="16" t="str">
        <v/>
      </c>
      <c r="F213" s="15" t="str">
        <v/>
      </c>
      <c r="G213" s="20" t="str" cm="1">
        <f t="array" ref="G213">IF(TRIM(P213)="","",IF(SUM(COUNTIF(P213,{"*NLGD*","*FWG*"}))&gt;0,P213,IF(SUM(COUNTIF(P213,{"*GL*","*DGB*","*DGI*","*GT*","*CS*","*PWU*","*DBI*","*SWU*"}))=0,P213,IF(IFERROR(VALUE(SUBSTITUTE(SUBSTITUTE(O213,"W",""),"""","")),0)&gt;52,P213&amp;"-OVRSIZE-",P213))))</f>
        <v/>
      </c>
      <c r="H213" s="15" t="str">
        <v/>
      </c>
      <c r="I213" s="15" t="str">
        <v/>
      </c>
      <c r="J213" s="15" t="str">
        <v/>
      </c>
      <c r="K213" s="15" t="str">
        <v/>
      </c>
      <c r="L213" s="15" t="str">
        <v/>
      </c>
      <c r="M213" s="10" t="str">
        <v/>
      </c>
      <c r="N213" s="14"/>
      <c r="O213" s="15" t="str" cm="1">
        <f t="array" ref="O213">IFERROR(_xlfn.LET(
_xlpm.clean,TRIM(SUBSTITUTE(SUBSTITUTE(P213,CHAR(160),"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3" s="15"/>
      <c r="R213" t="str">
        <v/>
      </c>
      <c r="S213" t="str">
        <f t="shared" si="4"/>
        <v/>
      </c>
    </row>
    <row r="214" spans="1:19" ht="12.75">
      <c r="A214" s="15" t="str">
        <v/>
      </c>
      <c r="B214" s="15" t="str">
        <v/>
      </c>
      <c r="C214" s="15" t="str" cm="1">
        <f t="array" ref="C214">IFERROR(_xlfn.TEXTJOIN("",TRUE,_xlfn._xlws.FILTER(MID(S214,_xlfn.SEQUENCE(LEN(S214)),1),ISNUMBER(SEARCH(MID(S214,_xlfn.SEQUENCE(LEN(S214)),1),"ABCDEFGHIJKLMNOPQRSTUVWXYZabcdefghijklmnopqrstuvwxyz0123456789,")))),"")</f>
        <v/>
      </c>
      <c r="D214" s="15" t="str">
        <v/>
      </c>
      <c r="E214" s="16" t="str">
        <v/>
      </c>
      <c r="F214" s="15" t="str">
        <v/>
      </c>
      <c r="G214" s="20" t="str" cm="1">
        <f t="array" ref="G214">IF(TRIM(P214)="","",IF(SUM(COUNTIF(P214,{"*NLGD*","*FWG*"}))&gt;0,P214,IF(SUM(COUNTIF(P214,{"*GL*","*DGB*","*DGI*","*GT*","*CS*","*PWU*","*DBI*","*SWU*"}))=0,P214,IF(IFERROR(VALUE(SUBSTITUTE(SUBSTITUTE(O214,"W",""),"""","")),0)&gt;52,P214&amp;"-OVRSIZE-",P214))))</f>
        <v/>
      </c>
      <c r="H214" s="15" t="str">
        <v/>
      </c>
      <c r="I214" s="15" t="str">
        <v/>
      </c>
      <c r="J214" s="15" t="str">
        <v/>
      </c>
      <c r="K214" s="15" t="str">
        <v/>
      </c>
      <c r="L214" s="15" t="str">
        <v/>
      </c>
      <c r="M214" s="10" t="str">
        <v/>
      </c>
      <c r="N214" s="14"/>
      <c r="O214" s="15" t="str" cm="1">
        <f t="array" ref="O214">IFERROR(_xlfn.LET(
_xlpm.clean,TRIM(SUBSTITUTE(SUBSTITUTE(P214,CHAR(160),"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4" s="15"/>
      <c r="R214" t="str">
        <v/>
      </c>
      <c r="S214" t="str">
        <f t="shared" si="4"/>
        <v/>
      </c>
    </row>
    <row r="215" spans="1:19" ht="12.75">
      <c r="A215" s="15" t="str">
        <v/>
      </c>
      <c r="B215" s="15" t="str">
        <v/>
      </c>
      <c r="C215" s="15" t="str" cm="1">
        <f t="array" ref="C215">IFERROR(_xlfn.TEXTJOIN("",TRUE,_xlfn._xlws.FILTER(MID(S215,_xlfn.SEQUENCE(LEN(S215)),1),ISNUMBER(SEARCH(MID(S215,_xlfn.SEQUENCE(LEN(S215)),1),"ABCDEFGHIJKLMNOPQRSTUVWXYZabcdefghijklmnopqrstuvwxyz0123456789,")))),"")</f>
        <v/>
      </c>
      <c r="D215" s="15" t="str">
        <v/>
      </c>
      <c r="E215" s="16" t="str">
        <v/>
      </c>
      <c r="F215" s="15" t="str">
        <v/>
      </c>
      <c r="G215" s="20" t="str" cm="1">
        <f t="array" ref="G215">IF(TRIM(P215)="","",IF(SUM(COUNTIF(P215,{"*NLGD*","*FWG*"}))&gt;0,P215,IF(SUM(COUNTIF(P215,{"*GL*","*DGB*","*DGI*","*GT*","*CS*","*PWU*","*DBI*","*SWU*"}))=0,P215,IF(IFERROR(VALUE(SUBSTITUTE(SUBSTITUTE(O215,"W",""),"""","")),0)&gt;52,P215&amp;"-OVRSIZE-",P215))))</f>
        <v/>
      </c>
      <c r="H215" s="15" t="str">
        <v/>
      </c>
      <c r="I215" s="15" t="str">
        <v/>
      </c>
      <c r="J215" s="15" t="str">
        <v/>
      </c>
      <c r="K215" s="15" t="str">
        <v/>
      </c>
      <c r="L215" s="15" t="str">
        <v/>
      </c>
      <c r="M215" s="10" t="str">
        <v/>
      </c>
      <c r="N215" s="14"/>
      <c r="O215" s="15" t="str" cm="1">
        <f t="array" ref="O215">IFERROR(_xlfn.LET(
_xlpm.clean,TRIM(SUBSTITUTE(SUBSTITUTE(P215,CHAR(160),"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5" s="15"/>
      <c r="R215" t="str">
        <v/>
      </c>
      <c r="S215" t="str">
        <f t="shared" si="4"/>
        <v/>
      </c>
    </row>
    <row r="216" spans="1:19" ht="12.75">
      <c r="A216" s="15" t="str">
        <v/>
      </c>
      <c r="B216" s="15" t="str">
        <v/>
      </c>
      <c r="C216" s="15" t="str" cm="1">
        <f t="array" ref="C216">IFERROR(_xlfn.TEXTJOIN("",TRUE,_xlfn._xlws.FILTER(MID(S216,_xlfn.SEQUENCE(LEN(S216)),1),ISNUMBER(SEARCH(MID(S216,_xlfn.SEQUENCE(LEN(S216)),1),"ABCDEFGHIJKLMNOPQRSTUVWXYZabcdefghijklmnopqrstuvwxyz0123456789,")))),"")</f>
        <v/>
      </c>
      <c r="D216" s="15" t="str">
        <v/>
      </c>
      <c r="E216" s="16" t="str">
        <v/>
      </c>
      <c r="F216" s="15" t="str">
        <v/>
      </c>
      <c r="G216" s="20" t="str" cm="1">
        <f t="array" ref="G216">IF(TRIM(P216)="","",IF(SUM(COUNTIF(P216,{"*NLGD*","*FWG*"}))&gt;0,P216,IF(SUM(COUNTIF(P216,{"*GL*","*DGB*","*DGI*","*GT*","*CS*","*PWU*","*DBI*","*SWU*"}))=0,P216,IF(IFERROR(VALUE(SUBSTITUTE(SUBSTITUTE(O216,"W",""),"""","")),0)&gt;52,P216&amp;"-OVRSIZE-",P216))))</f>
        <v/>
      </c>
      <c r="H216" s="15" t="str">
        <v/>
      </c>
      <c r="I216" s="15" t="str">
        <v/>
      </c>
      <c r="J216" s="15" t="str">
        <v/>
      </c>
      <c r="K216" s="15" t="str">
        <v/>
      </c>
      <c r="L216" s="15" t="str">
        <v/>
      </c>
      <c r="M216" s="10" t="str">
        <v/>
      </c>
      <c r="N216" s="14"/>
      <c r="O216" s="15" t="str" cm="1">
        <f t="array" ref="O216">IFERROR(_xlfn.LET(
_xlpm.clean,TRIM(SUBSTITUTE(SUBSTITUTE(P216,CHAR(160),"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6" s="15"/>
      <c r="R216" t="str">
        <v/>
      </c>
      <c r="S216" t="str">
        <f t="shared" si="4"/>
        <v/>
      </c>
    </row>
    <row r="217" spans="1:19" ht="12.75">
      <c r="A217" s="15" t="str">
        <v/>
      </c>
      <c r="B217" s="15" t="str">
        <v/>
      </c>
      <c r="C217" s="15" t="str" cm="1">
        <f t="array" ref="C217">IFERROR(_xlfn.TEXTJOIN("",TRUE,_xlfn._xlws.FILTER(MID(S217,_xlfn.SEQUENCE(LEN(S217)),1),ISNUMBER(SEARCH(MID(S217,_xlfn.SEQUENCE(LEN(S217)),1),"ABCDEFGHIJKLMNOPQRSTUVWXYZabcdefghijklmnopqrstuvwxyz0123456789,")))),"")</f>
        <v/>
      </c>
      <c r="D217" s="15" t="str">
        <v/>
      </c>
      <c r="E217" s="16" t="str">
        <v/>
      </c>
      <c r="F217" s="15" t="str">
        <v/>
      </c>
      <c r="G217" s="20" t="str" cm="1">
        <f t="array" ref="G217">IF(TRIM(P217)="","",IF(SUM(COUNTIF(P217,{"*NLGD*","*FWG*"}))&gt;0,P217,IF(SUM(COUNTIF(P217,{"*GL*","*DGB*","*DGI*","*GT*","*CS*","*PWU*","*DBI*","*SWU*"}))=0,P217,IF(IFERROR(VALUE(SUBSTITUTE(SUBSTITUTE(O217,"W",""),"""","")),0)&gt;52,P217&amp;"-OVRSIZE-",P217))))</f>
        <v/>
      </c>
      <c r="H217" s="15" t="str">
        <v/>
      </c>
      <c r="I217" s="15" t="str">
        <v/>
      </c>
      <c r="J217" s="15" t="str">
        <v/>
      </c>
      <c r="K217" s="15" t="str">
        <v/>
      </c>
      <c r="L217" s="15" t="str">
        <v/>
      </c>
      <c r="M217" s="10" t="str">
        <v/>
      </c>
      <c r="N217" s="14"/>
      <c r="O217" s="15" t="str" cm="1">
        <f t="array" ref="O217">IFERROR(_xlfn.LET(
_xlpm.clean,TRIM(SUBSTITUTE(SUBSTITUTE(P217,CHAR(160),"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7" s="15"/>
      <c r="R217" t="str">
        <v/>
      </c>
      <c r="S217" t="str">
        <f t="shared" si="4"/>
        <v/>
      </c>
    </row>
    <row r="218" spans="1:19" ht="12.75">
      <c r="A218" s="15" t="str">
        <v/>
      </c>
      <c r="B218" s="15" t="str">
        <v/>
      </c>
      <c r="C218" s="15" t="str" cm="1">
        <f t="array" ref="C218">IFERROR(_xlfn.TEXTJOIN("",TRUE,_xlfn._xlws.FILTER(MID(S218,_xlfn.SEQUENCE(LEN(S218)),1),ISNUMBER(SEARCH(MID(S218,_xlfn.SEQUENCE(LEN(S218)),1),"ABCDEFGHIJKLMNOPQRSTUVWXYZabcdefghijklmnopqrstuvwxyz0123456789,")))),"")</f>
        <v/>
      </c>
      <c r="D218" s="15" t="str">
        <v/>
      </c>
      <c r="E218" s="16" t="str">
        <v/>
      </c>
      <c r="F218" s="15" t="str">
        <v/>
      </c>
      <c r="G218" s="20" t="str" cm="1">
        <f t="array" ref="G218">IF(TRIM(P218)="","",IF(SUM(COUNTIF(P218,{"*NLGD*","*FWG*"}))&gt;0,P218,IF(SUM(COUNTIF(P218,{"*GL*","*DGB*","*DGI*","*GT*","*CS*","*PWU*","*DBI*","*SWU*"}))=0,P218,IF(IFERROR(VALUE(SUBSTITUTE(SUBSTITUTE(O218,"W",""),"""","")),0)&gt;52,P218&amp;"-OVRSIZE-",P218))))</f>
        <v/>
      </c>
      <c r="H218" s="15" t="str">
        <v/>
      </c>
      <c r="I218" s="15" t="str">
        <v/>
      </c>
      <c r="J218" s="15" t="str">
        <v/>
      </c>
      <c r="K218" s="15" t="str">
        <v/>
      </c>
      <c r="L218" s="15" t="str">
        <v/>
      </c>
      <c r="M218" s="10" t="str">
        <v/>
      </c>
      <c r="N218" s="14"/>
      <c r="O218" s="15" t="str" cm="1">
        <f t="array" ref="O218">IFERROR(_xlfn.LET(
_xlpm.clean,TRIM(SUBSTITUTE(SUBSTITUTE(P218,CHAR(160),"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8" s="15"/>
      <c r="R218" t="str">
        <v/>
      </c>
      <c r="S218" t="str">
        <f t="shared" si="4"/>
        <v/>
      </c>
    </row>
    <row r="219" spans="1:19" ht="12.75">
      <c r="A219" s="15" t="str">
        <v/>
      </c>
      <c r="B219" s="15" t="str">
        <v/>
      </c>
      <c r="C219" s="15" t="str" cm="1">
        <f t="array" ref="C219">IFERROR(_xlfn.TEXTJOIN("",TRUE,_xlfn._xlws.FILTER(MID(S219,_xlfn.SEQUENCE(LEN(S219)),1),ISNUMBER(SEARCH(MID(S219,_xlfn.SEQUENCE(LEN(S219)),1),"ABCDEFGHIJKLMNOPQRSTUVWXYZabcdefghijklmnopqrstuvwxyz0123456789,")))),"")</f>
        <v/>
      </c>
      <c r="D219" s="15" t="str">
        <v/>
      </c>
      <c r="E219" s="16" t="str">
        <v/>
      </c>
      <c r="F219" s="15" t="str">
        <v/>
      </c>
      <c r="G219" s="20" t="str" cm="1">
        <f t="array" ref="G219">IF(TRIM(P219)="","",IF(SUM(COUNTIF(P219,{"*NLGD*","*FWG*"}))&gt;0,P219,IF(SUM(COUNTIF(P219,{"*GL*","*DGB*","*DGI*","*GT*","*CS*","*PWU*","*DBI*","*SWU*"}))=0,P219,IF(IFERROR(VALUE(SUBSTITUTE(SUBSTITUTE(O219,"W",""),"""","")),0)&gt;52,P219&amp;"-OVRSIZE-",P219))))</f>
        <v/>
      </c>
      <c r="H219" s="15" t="str">
        <v/>
      </c>
      <c r="I219" s="15" t="str">
        <v/>
      </c>
      <c r="J219" s="15" t="str">
        <v/>
      </c>
      <c r="K219" s="15" t="str">
        <v/>
      </c>
      <c r="L219" s="15" t="str">
        <v/>
      </c>
      <c r="M219" s="10" t="str">
        <v/>
      </c>
      <c r="N219" s="14"/>
      <c r="O219" s="15" t="str" cm="1">
        <f t="array" ref="O219">IFERROR(_xlfn.LET(
_xlpm.clean,TRIM(SUBSTITUTE(SUBSTITUTE(P219,CHAR(160),"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19" s="15"/>
      <c r="R219" t="str">
        <v/>
      </c>
      <c r="S219" t="str">
        <f t="shared" si="4"/>
        <v/>
      </c>
    </row>
    <row r="220" spans="1:19" ht="12.75">
      <c r="A220" s="15" t="str">
        <v/>
      </c>
      <c r="B220" s="15" t="str">
        <v/>
      </c>
      <c r="C220" s="15" t="str" cm="1">
        <f t="array" ref="C220">IFERROR(_xlfn.TEXTJOIN("",TRUE,_xlfn._xlws.FILTER(MID(S220,_xlfn.SEQUENCE(LEN(S220)),1),ISNUMBER(SEARCH(MID(S220,_xlfn.SEQUENCE(LEN(S220)),1),"ABCDEFGHIJKLMNOPQRSTUVWXYZabcdefghijklmnopqrstuvwxyz0123456789,")))),"")</f>
        <v/>
      </c>
      <c r="D220" s="15" t="str">
        <v/>
      </c>
      <c r="E220" s="16" t="str">
        <v/>
      </c>
      <c r="F220" s="15" t="str">
        <v/>
      </c>
      <c r="G220" s="20" t="str" cm="1">
        <f t="array" ref="G220">IF(TRIM(P220)="","",IF(SUM(COUNTIF(P220,{"*NLGD*","*FWG*"}))&gt;0,P220,IF(SUM(COUNTIF(P220,{"*GL*","*DGB*","*DGI*","*GT*","*CS*","*PWU*","*DBI*","*SWU*"}))=0,P220,IF(IFERROR(VALUE(SUBSTITUTE(SUBSTITUTE(O220,"W",""),"""","")),0)&gt;52,P220&amp;"-OVRSIZE-",P220))))</f>
        <v/>
      </c>
      <c r="H220" s="15" t="str">
        <v/>
      </c>
      <c r="I220" s="15" t="str">
        <v/>
      </c>
      <c r="J220" s="15" t="str">
        <v/>
      </c>
      <c r="K220" s="15" t="str">
        <v/>
      </c>
      <c r="L220" s="15" t="str">
        <v/>
      </c>
      <c r="M220" s="10" t="str">
        <v/>
      </c>
      <c r="N220" s="14"/>
      <c r="O220" s="15" t="str" cm="1">
        <f t="array" ref="O220">IFERROR(_xlfn.LET(
_xlpm.clean,TRIM(SUBSTITUTE(SUBSTITUTE(P220,CHAR(160),"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0" s="15"/>
      <c r="R220" t="str">
        <v/>
      </c>
      <c r="S220" t="str">
        <f t="shared" si="4"/>
        <v/>
      </c>
    </row>
    <row r="221" spans="1:19" ht="12.75">
      <c r="A221" s="15" t="str">
        <v/>
      </c>
      <c r="B221" s="15" t="str">
        <v/>
      </c>
      <c r="C221" s="15" t="str" cm="1">
        <f t="array" ref="C221">IFERROR(_xlfn.TEXTJOIN("",TRUE,_xlfn._xlws.FILTER(MID(S221,_xlfn.SEQUENCE(LEN(S221)),1),ISNUMBER(SEARCH(MID(S221,_xlfn.SEQUENCE(LEN(S221)),1),"ABCDEFGHIJKLMNOPQRSTUVWXYZabcdefghijklmnopqrstuvwxyz0123456789,")))),"")</f>
        <v/>
      </c>
      <c r="D221" s="15" t="str">
        <v/>
      </c>
      <c r="E221" s="16" t="str">
        <v/>
      </c>
      <c r="F221" s="15" t="str">
        <v/>
      </c>
      <c r="G221" s="20" t="str" cm="1">
        <f t="array" ref="G221">IF(TRIM(P221)="","",IF(SUM(COUNTIF(P221,{"*NLGD*","*FWG*"}))&gt;0,P221,IF(SUM(COUNTIF(P221,{"*GL*","*DGB*","*DGI*","*GT*","*CS*","*PWU*","*DBI*","*SWU*"}))=0,P221,IF(IFERROR(VALUE(SUBSTITUTE(SUBSTITUTE(O221,"W",""),"""","")),0)&gt;52,P221&amp;"-OVRSIZE-",P221))))</f>
        <v/>
      </c>
      <c r="H221" s="15" t="str">
        <v/>
      </c>
      <c r="I221" s="15" t="str">
        <v/>
      </c>
      <c r="J221" s="15" t="str">
        <v/>
      </c>
      <c r="K221" s="15" t="str">
        <v/>
      </c>
      <c r="L221" s="15" t="str">
        <v/>
      </c>
      <c r="M221" s="10" t="str">
        <v/>
      </c>
      <c r="N221" s="14"/>
      <c r="O221" s="15" t="str" cm="1">
        <f t="array" ref="O221">IFERROR(_xlfn.LET(
_xlpm.clean,TRIM(SUBSTITUTE(SUBSTITUTE(P221,CHAR(160),"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1" s="15"/>
      <c r="R221" t="str">
        <v/>
      </c>
      <c r="S221" t="str">
        <f t="shared" si="4"/>
        <v/>
      </c>
    </row>
    <row r="222" spans="1:19" ht="12.75">
      <c r="A222" s="15" t="str">
        <v/>
      </c>
      <c r="B222" s="15" t="str">
        <v/>
      </c>
      <c r="C222" s="15" t="str" cm="1">
        <f t="array" ref="C222">IFERROR(_xlfn.TEXTJOIN("",TRUE,_xlfn._xlws.FILTER(MID(S222,_xlfn.SEQUENCE(LEN(S222)),1),ISNUMBER(SEARCH(MID(S222,_xlfn.SEQUENCE(LEN(S222)),1),"ABCDEFGHIJKLMNOPQRSTUVWXYZabcdefghijklmnopqrstuvwxyz0123456789,")))),"")</f>
        <v/>
      </c>
      <c r="D222" s="15" t="str">
        <v/>
      </c>
      <c r="E222" s="16" t="str">
        <v/>
      </c>
      <c r="F222" s="15" t="str">
        <v/>
      </c>
      <c r="G222" s="20" t="str" cm="1">
        <f t="array" ref="G222">IF(TRIM(P222)="","",IF(SUM(COUNTIF(P222,{"*NLGD*","*FWG*"}))&gt;0,P222,IF(SUM(COUNTIF(P222,{"*GL*","*DGB*","*DGI*","*GT*","*CS*","*PWU*","*DBI*","*SWU*"}))=0,P222,IF(IFERROR(VALUE(SUBSTITUTE(SUBSTITUTE(O222,"W",""),"""","")),0)&gt;52,P222&amp;"-OVRSIZE-",P222))))</f>
        <v/>
      </c>
      <c r="H222" s="15" t="str">
        <v/>
      </c>
      <c r="I222" s="15" t="str">
        <v/>
      </c>
      <c r="J222" s="15" t="str">
        <v/>
      </c>
      <c r="K222" s="15" t="str">
        <v/>
      </c>
      <c r="L222" s="15" t="str">
        <v/>
      </c>
      <c r="M222" s="10" t="str">
        <v/>
      </c>
      <c r="N222" s="14"/>
      <c r="O222" s="15" t="str" cm="1">
        <f t="array" ref="O222">IFERROR(_xlfn.LET(
_xlpm.clean,TRIM(SUBSTITUTE(SUBSTITUTE(P222,CHAR(160),"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2" s="15"/>
      <c r="R222" t="str">
        <v/>
      </c>
      <c r="S222" t="str">
        <f t="shared" si="4"/>
        <v/>
      </c>
    </row>
    <row r="223" spans="1:19" ht="12.75">
      <c r="A223" s="15" t="str">
        <v/>
      </c>
      <c r="B223" s="15" t="str">
        <v/>
      </c>
      <c r="C223" s="15" t="str" cm="1">
        <f t="array" ref="C223">IFERROR(_xlfn.TEXTJOIN("",TRUE,_xlfn._xlws.FILTER(MID(S223,_xlfn.SEQUENCE(LEN(S223)),1),ISNUMBER(SEARCH(MID(S223,_xlfn.SEQUENCE(LEN(S223)),1),"ABCDEFGHIJKLMNOPQRSTUVWXYZabcdefghijklmnopqrstuvwxyz0123456789,")))),"")</f>
        <v/>
      </c>
      <c r="D223" s="15" t="str">
        <v/>
      </c>
      <c r="E223" s="16" t="str">
        <v/>
      </c>
      <c r="F223" s="15" t="str">
        <v/>
      </c>
      <c r="G223" s="20" t="str" cm="1">
        <f t="array" ref="G223">IF(TRIM(P223)="","",IF(SUM(COUNTIF(P223,{"*NLGD*","*FWG*"}))&gt;0,P223,IF(SUM(COUNTIF(P223,{"*GL*","*DGB*","*DGI*","*GT*","*CS*","*PWU*","*DBI*","*SWU*"}))=0,P223,IF(IFERROR(VALUE(SUBSTITUTE(SUBSTITUTE(O223,"W",""),"""","")),0)&gt;52,P223&amp;"-OVRSIZE-",P223))))</f>
        <v/>
      </c>
      <c r="H223" s="15" t="str">
        <v/>
      </c>
      <c r="I223" s="15" t="str">
        <v/>
      </c>
      <c r="J223" s="15" t="str">
        <v/>
      </c>
      <c r="K223" s="15" t="str">
        <v/>
      </c>
      <c r="L223" s="15" t="str">
        <v/>
      </c>
      <c r="M223" s="10" t="str">
        <v/>
      </c>
      <c r="N223" s="14"/>
      <c r="O223" s="15" t="str" cm="1">
        <f t="array" ref="O223">IFERROR(_xlfn.LET(
_xlpm.clean,TRIM(SUBSTITUTE(SUBSTITUTE(P223,CHAR(160),"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3" s="15"/>
      <c r="R223" t="str">
        <v/>
      </c>
      <c r="S223" t="str">
        <f t="shared" si="4"/>
        <v/>
      </c>
    </row>
    <row r="224" spans="1:19" ht="12.75">
      <c r="A224" s="15" t="str">
        <v/>
      </c>
      <c r="B224" s="15" t="str">
        <v/>
      </c>
      <c r="C224" s="15" t="str" cm="1">
        <f t="array" ref="C224">IFERROR(_xlfn.TEXTJOIN("",TRUE,_xlfn._xlws.FILTER(MID(S224,_xlfn.SEQUENCE(LEN(S224)),1),ISNUMBER(SEARCH(MID(S224,_xlfn.SEQUENCE(LEN(S224)),1),"ABCDEFGHIJKLMNOPQRSTUVWXYZabcdefghijklmnopqrstuvwxyz0123456789,")))),"")</f>
        <v/>
      </c>
      <c r="D224" s="15" t="str">
        <v/>
      </c>
      <c r="E224" s="16" t="str">
        <v/>
      </c>
      <c r="F224" s="15" t="str">
        <v/>
      </c>
      <c r="G224" s="20" t="str" cm="1">
        <f t="array" ref="G224">IF(TRIM(P224)="","",IF(SUM(COUNTIF(P224,{"*NLGD*","*FWG*"}))&gt;0,P224,IF(SUM(COUNTIF(P224,{"*GL*","*DGB*","*DGI*","*GT*","*CS*","*PWU*","*DBI*","*SWU*"}))=0,P224,IF(IFERROR(VALUE(SUBSTITUTE(SUBSTITUTE(O224,"W",""),"""","")),0)&gt;52,P224&amp;"-OVRSIZE-",P224))))</f>
        <v/>
      </c>
      <c r="H224" s="15" t="str">
        <v/>
      </c>
      <c r="I224" s="15" t="str">
        <v/>
      </c>
      <c r="J224" s="15" t="str">
        <v/>
      </c>
      <c r="K224" s="15" t="str">
        <v/>
      </c>
      <c r="L224" s="15" t="str">
        <v/>
      </c>
      <c r="M224" s="10" t="str">
        <v/>
      </c>
      <c r="N224" s="14"/>
      <c r="O224" s="15" t="str" cm="1">
        <f t="array" ref="O224">IFERROR(_xlfn.LET(
_xlpm.clean,TRIM(SUBSTITUTE(SUBSTITUTE(P224,CHAR(160),"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4" s="15"/>
      <c r="R224" t="str">
        <v/>
      </c>
      <c r="S224" t="str">
        <f t="shared" si="4"/>
        <v/>
      </c>
    </row>
    <row r="225" spans="1:19" ht="12.75">
      <c r="A225" s="15" t="str">
        <v/>
      </c>
      <c r="B225" s="15" t="str">
        <v/>
      </c>
      <c r="C225" s="15" t="str" cm="1">
        <f t="array" ref="C225">IFERROR(_xlfn.TEXTJOIN("",TRUE,_xlfn._xlws.FILTER(MID(S225,_xlfn.SEQUENCE(LEN(S225)),1),ISNUMBER(SEARCH(MID(S225,_xlfn.SEQUENCE(LEN(S225)),1),"ABCDEFGHIJKLMNOPQRSTUVWXYZabcdefghijklmnopqrstuvwxyz0123456789,")))),"")</f>
        <v/>
      </c>
      <c r="D225" s="15" t="str">
        <v/>
      </c>
      <c r="E225" s="16" t="str">
        <v/>
      </c>
      <c r="F225" s="15" t="str">
        <v/>
      </c>
      <c r="G225" s="20" t="str" cm="1">
        <f t="array" ref="G225">IF(TRIM(P225)="","",IF(SUM(COUNTIF(P225,{"*NLGD*","*FWG*"}))&gt;0,P225,IF(SUM(COUNTIF(P225,{"*GL*","*DGB*","*DGI*","*GT*","*CS*","*PWU*","*DBI*","*SWU*"}))=0,P225,IF(IFERROR(VALUE(SUBSTITUTE(SUBSTITUTE(O225,"W",""),"""","")),0)&gt;52,P225&amp;"-OVRSIZE-",P225))))</f>
        <v/>
      </c>
      <c r="H225" s="15" t="str">
        <v/>
      </c>
      <c r="I225" s="15" t="str">
        <v/>
      </c>
      <c r="J225" s="15" t="str">
        <v/>
      </c>
      <c r="K225" s="15" t="str">
        <v/>
      </c>
      <c r="L225" s="15" t="str">
        <v/>
      </c>
      <c r="M225" s="10" t="str">
        <v/>
      </c>
      <c r="N225" s="14"/>
      <c r="O225" s="15" t="str" cm="1">
        <f t="array" ref="O225">IFERROR(_xlfn.LET(
_xlpm.clean,TRIM(SUBSTITUTE(SUBSTITUTE(P225,CHAR(160),"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5" s="15"/>
      <c r="R225" t="str">
        <v/>
      </c>
      <c r="S225" t="str">
        <f t="shared" si="4"/>
        <v/>
      </c>
    </row>
    <row r="226" spans="1:19" ht="12.75">
      <c r="A226" s="15" t="str">
        <v/>
      </c>
      <c r="B226" s="15" t="str">
        <v/>
      </c>
      <c r="C226" s="15" t="str" cm="1">
        <f t="array" ref="C226">IFERROR(_xlfn.TEXTJOIN("",TRUE,_xlfn._xlws.FILTER(MID(S226,_xlfn.SEQUENCE(LEN(S226)),1),ISNUMBER(SEARCH(MID(S226,_xlfn.SEQUENCE(LEN(S226)),1),"ABCDEFGHIJKLMNOPQRSTUVWXYZabcdefghijklmnopqrstuvwxyz0123456789,")))),"")</f>
        <v/>
      </c>
      <c r="D226" s="15" t="str">
        <v/>
      </c>
      <c r="E226" s="16" t="str">
        <v/>
      </c>
      <c r="F226" s="15" t="str">
        <v/>
      </c>
      <c r="G226" s="20" t="str" cm="1">
        <f t="array" ref="G226">IF(TRIM(P226)="","",IF(SUM(COUNTIF(P226,{"*NLGD*","*FWG*"}))&gt;0,P226,IF(SUM(COUNTIF(P226,{"*GL*","*DGB*","*DGI*","*GT*","*CS*","*PWU*","*DBI*","*SWU*"}))=0,P226,IF(IFERROR(VALUE(SUBSTITUTE(SUBSTITUTE(O226,"W",""),"""","")),0)&gt;52,P226&amp;"-OVRSIZE-",P226))))</f>
        <v/>
      </c>
      <c r="H226" s="15" t="str">
        <v/>
      </c>
      <c r="I226" s="15" t="str">
        <v/>
      </c>
      <c r="J226" s="15" t="str">
        <v/>
      </c>
      <c r="K226" s="15" t="str">
        <v/>
      </c>
      <c r="L226" s="15" t="str">
        <v/>
      </c>
      <c r="M226" s="10" t="str">
        <v/>
      </c>
      <c r="N226" s="14"/>
      <c r="O226" s="15" t="str" cm="1">
        <f t="array" ref="O226">IFERROR(_xlfn.LET(
_xlpm.clean,TRIM(SUBSTITUTE(SUBSTITUTE(P226,CHAR(160),"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6" s="15"/>
      <c r="R226" t="str">
        <v/>
      </c>
      <c r="S226" t="str">
        <f t="shared" si="4"/>
        <v/>
      </c>
    </row>
    <row r="227" spans="1:19" ht="12.75">
      <c r="A227" s="15" t="str">
        <v/>
      </c>
      <c r="B227" s="15" t="str">
        <v/>
      </c>
      <c r="C227" s="15" t="str" cm="1">
        <f t="array" ref="C227">IFERROR(_xlfn.TEXTJOIN("",TRUE,_xlfn._xlws.FILTER(MID(S227,_xlfn.SEQUENCE(LEN(S227)),1),ISNUMBER(SEARCH(MID(S227,_xlfn.SEQUENCE(LEN(S227)),1),"ABCDEFGHIJKLMNOPQRSTUVWXYZabcdefghijklmnopqrstuvwxyz0123456789,")))),"")</f>
        <v/>
      </c>
      <c r="D227" s="15" t="str">
        <v/>
      </c>
      <c r="E227" s="16" t="str">
        <v/>
      </c>
      <c r="F227" s="15" t="str">
        <v/>
      </c>
      <c r="G227" s="20" t="str" cm="1">
        <f t="array" ref="G227">IF(TRIM(P227)="","",IF(SUM(COUNTIF(P227,{"*NLGD*","*FWG*"}))&gt;0,P227,IF(SUM(COUNTIF(P227,{"*GL*","*DGB*","*DGI*","*GT*","*CS*","*PWU*","*DBI*","*SWU*"}))=0,P227,IF(IFERROR(VALUE(SUBSTITUTE(SUBSTITUTE(O227,"W",""),"""","")),0)&gt;52,P227&amp;"-OVRSIZE-",P227))))</f>
        <v/>
      </c>
      <c r="H227" s="15" t="str">
        <v/>
      </c>
      <c r="I227" s="15" t="str">
        <v/>
      </c>
      <c r="J227" s="15" t="str">
        <v/>
      </c>
      <c r="K227" s="15" t="str">
        <v/>
      </c>
      <c r="L227" s="15" t="str">
        <v/>
      </c>
      <c r="M227" s="10" t="str">
        <v/>
      </c>
      <c r="N227" s="14"/>
      <c r="O227" s="15" t="str" cm="1">
        <f t="array" ref="O227">IFERROR(_xlfn.LET(
_xlpm.clean,TRIM(SUBSTITUTE(SUBSTITUTE(P227,CHAR(160),"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7" s="15"/>
      <c r="R227" t="str">
        <v/>
      </c>
      <c r="S227" t="str">
        <f t="shared" si="4"/>
        <v/>
      </c>
    </row>
    <row r="228" spans="1:19" ht="12.75">
      <c r="A228" s="15" t="str">
        <v/>
      </c>
      <c r="B228" s="15" t="str">
        <v/>
      </c>
      <c r="C228" s="15" t="str" cm="1">
        <f t="array" ref="C228">IFERROR(_xlfn.TEXTJOIN("",TRUE,_xlfn._xlws.FILTER(MID(S228,_xlfn.SEQUENCE(LEN(S228)),1),ISNUMBER(SEARCH(MID(S228,_xlfn.SEQUENCE(LEN(S228)),1),"ABCDEFGHIJKLMNOPQRSTUVWXYZabcdefghijklmnopqrstuvwxyz0123456789,")))),"")</f>
        <v/>
      </c>
      <c r="D228" s="15" t="str">
        <v/>
      </c>
      <c r="E228" s="16" t="str">
        <v/>
      </c>
      <c r="F228" s="15" t="str">
        <v/>
      </c>
      <c r="G228" s="20" t="str" cm="1">
        <f t="array" ref="G228">IF(TRIM(P228)="","",IF(SUM(COUNTIF(P228,{"*NLGD*","*FWG*"}))&gt;0,P228,IF(SUM(COUNTIF(P228,{"*GL*","*DGB*","*DGI*","*GT*","*CS*","*PWU*","*DBI*","*SWU*"}))=0,P228,IF(IFERROR(VALUE(SUBSTITUTE(SUBSTITUTE(O228,"W",""),"""","")),0)&gt;52,P228&amp;"-OVRSIZE-",P228))))</f>
        <v/>
      </c>
      <c r="H228" s="15" t="str">
        <v/>
      </c>
      <c r="I228" s="15" t="str">
        <v/>
      </c>
      <c r="J228" s="15" t="str">
        <v/>
      </c>
      <c r="K228" s="15" t="str">
        <v/>
      </c>
      <c r="L228" s="15" t="str">
        <v/>
      </c>
      <c r="M228" s="10" t="str">
        <v/>
      </c>
      <c r="N228" s="14"/>
      <c r="O228" s="15" t="str" cm="1">
        <f t="array" ref="O228">IFERROR(_xlfn.LET(
_xlpm.clean,TRIM(SUBSTITUTE(SUBSTITUTE(P228,CHAR(160),"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8" s="15"/>
      <c r="R228" t="str">
        <v/>
      </c>
      <c r="S228" t="str">
        <f t="shared" si="4"/>
        <v/>
      </c>
    </row>
    <row r="229" spans="1:19" ht="12.75">
      <c r="A229" s="15" t="str">
        <v/>
      </c>
      <c r="B229" s="15" t="str">
        <v/>
      </c>
      <c r="C229" s="15" t="str" cm="1">
        <f t="array" ref="C229">IFERROR(_xlfn.TEXTJOIN("",TRUE,_xlfn._xlws.FILTER(MID(S229,_xlfn.SEQUENCE(LEN(S229)),1),ISNUMBER(SEARCH(MID(S229,_xlfn.SEQUENCE(LEN(S229)),1),"ABCDEFGHIJKLMNOPQRSTUVWXYZabcdefghijklmnopqrstuvwxyz0123456789,")))),"")</f>
        <v/>
      </c>
      <c r="D229" s="15" t="str">
        <v/>
      </c>
      <c r="E229" s="16" t="str">
        <v/>
      </c>
      <c r="F229" s="15" t="str">
        <v/>
      </c>
      <c r="G229" s="20" t="str" cm="1">
        <f t="array" ref="G229">IF(TRIM(P229)="","",IF(SUM(COUNTIF(P229,{"*NLGD*","*FWG*"}))&gt;0,P229,IF(SUM(COUNTIF(P229,{"*GL*","*DGB*","*DGI*","*GT*","*CS*","*PWU*","*DBI*","*SWU*"}))=0,P229,IF(IFERROR(VALUE(SUBSTITUTE(SUBSTITUTE(O229,"W",""),"""","")),0)&gt;52,P229&amp;"-OVRSIZE-",P229))))</f>
        <v/>
      </c>
      <c r="H229" s="15" t="str">
        <v/>
      </c>
      <c r="I229" s="15" t="str">
        <v/>
      </c>
      <c r="J229" s="15" t="str">
        <v/>
      </c>
      <c r="K229" s="15" t="str">
        <v/>
      </c>
      <c r="L229" s="15" t="str">
        <v/>
      </c>
      <c r="M229" s="10" t="str">
        <v/>
      </c>
      <c r="N229" s="14"/>
      <c r="O229" s="15" t="str" cm="1">
        <f t="array" ref="O229">IFERROR(_xlfn.LET(
_xlpm.clean,TRIM(SUBSTITUTE(SUBSTITUTE(P229,CHAR(160),"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9" s="15"/>
      <c r="R229" t="str">
        <v/>
      </c>
      <c r="S229" t="str">
        <f t="shared" si="4"/>
        <v/>
      </c>
    </row>
    <row r="230" spans="1:19" ht="12.75">
      <c r="A230" s="15" t="str">
        <v/>
      </c>
      <c r="B230" s="15" t="str">
        <v/>
      </c>
      <c r="C230" s="15" t="str" cm="1">
        <f t="array" ref="C230">IFERROR(_xlfn.TEXTJOIN("",TRUE,_xlfn._xlws.FILTER(MID(S230,_xlfn.SEQUENCE(LEN(S230)),1),ISNUMBER(SEARCH(MID(S230,_xlfn.SEQUENCE(LEN(S230)),1),"ABCDEFGHIJKLMNOPQRSTUVWXYZabcdefghijklmnopqrstuvwxyz0123456789,")))),"")</f>
        <v/>
      </c>
      <c r="D230" s="15" t="str">
        <v/>
      </c>
      <c r="E230" s="16" t="str">
        <v/>
      </c>
      <c r="F230" s="15" t="str">
        <v/>
      </c>
      <c r="G230" s="20" t="str" cm="1">
        <f t="array" ref="G230">IF(TRIM(P230)="","",IF(SUM(COUNTIF(P230,{"*NLGD*","*FWG*"}))&gt;0,P230,IF(SUM(COUNTIF(P230,{"*GL*","*DGB*","*DGI*","*GT*","*CS*","*PWU*","*DBI*","*SWU*"}))=0,P230,IF(IFERROR(VALUE(SUBSTITUTE(SUBSTITUTE(O230,"W",""),"""","")),0)&gt;52,P230&amp;"-OVRSIZE-",P230))))</f>
        <v/>
      </c>
      <c r="H230" s="15" t="str">
        <v/>
      </c>
      <c r="I230" s="15" t="str">
        <v/>
      </c>
      <c r="J230" s="15" t="str">
        <v/>
      </c>
      <c r="K230" s="15" t="str">
        <v/>
      </c>
      <c r="L230" s="15" t="str">
        <v/>
      </c>
      <c r="M230" s="10" t="str">
        <v/>
      </c>
      <c r="N230" s="14"/>
      <c r="O230" s="15" t="str" cm="1">
        <f t="array" ref="O230">IFERROR(_xlfn.LET(
_xlpm.clean,TRIM(SUBSTITUTE(SUBSTITUTE(P230,CHAR(160),"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0" s="15"/>
      <c r="R230" t="str">
        <v/>
      </c>
      <c r="S230" t="str">
        <f t="shared" si="4"/>
        <v/>
      </c>
    </row>
    <row r="231" spans="1:19" ht="12.75">
      <c r="A231" s="15" t="str">
        <v/>
      </c>
      <c r="B231" s="15" t="str">
        <v/>
      </c>
      <c r="C231" s="15" t="str" cm="1">
        <f t="array" ref="C231">IFERROR(_xlfn.TEXTJOIN("",TRUE,_xlfn._xlws.FILTER(MID(S231,_xlfn.SEQUENCE(LEN(S231)),1),ISNUMBER(SEARCH(MID(S231,_xlfn.SEQUENCE(LEN(S231)),1),"ABCDEFGHIJKLMNOPQRSTUVWXYZabcdefghijklmnopqrstuvwxyz0123456789,")))),"")</f>
        <v/>
      </c>
      <c r="D231" s="15" t="str">
        <v/>
      </c>
      <c r="E231" s="16" t="str">
        <v/>
      </c>
      <c r="F231" s="15" t="str">
        <v/>
      </c>
      <c r="G231" s="20" t="str" cm="1">
        <f t="array" ref="G231">IF(TRIM(P231)="","",IF(SUM(COUNTIF(P231,{"*NLGD*","*FWG*"}))&gt;0,P231,IF(SUM(COUNTIF(P231,{"*GL*","*DGB*","*DGI*","*GT*","*CS*","*PWU*","*DBI*","*SWU*"}))=0,P231,IF(IFERROR(VALUE(SUBSTITUTE(SUBSTITUTE(O231,"W",""),"""","")),0)&gt;52,P231&amp;"-OVRSIZE-",P231))))</f>
        <v/>
      </c>
      <c r="H231" s="15" t="str">
        <v/>
      </c>
      <c r="I231" s="15" t="str">
        <v/>
      </c>
      <c r="J231" s="15" t="str">
        <v/>
      </c>
      <c r="K231" s="15" t="str">
        <v/>
      </c>
      <c r="L231" s="15" t="str">
        <v/>
      </c>
      <c r="M231" s="10" t="str">
        <v/>
      </c>
      <c r="N231" s="14"/>
      <c r="O231" s="15" t="str" cm="1">
        <f t="array" ref="O231">IFERROR(_xlfn.LET(
_xlpm.clean,TRIM(SUBSTITUTE(SUBSTITUTE(P231,CHAR(160),"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1" s="15"/>
      <c r="R231" t="str">
        <v/>
      </c>
      <c r="S231" t="str">
        <f t="shared" si="4"/>
        <v/>
      </c>
    </row>
    <row r="232" spans="1:19" ht="12.75">
      <c r="A232" s="15" t="str">
        <v/>
      </c>
      <c r="B232" s="15" t="str">
        <v/>
      </c>
      <c r="C232" s="15" t="str" cm="1">
        <f t="array" ref="C232">IFERROR(_xlfn.TEXTJOIN("",TRUE,_xlfn._xlws.FILTER(MID(S232,_xlfn.SEQUENCE(LEN(S232)),1),ISNUMBER(SEARCH(MID(S232,_xlfn.SEQUENCE(LEN(S232)),1),"ABCDEFGHIJKLMNOPQRSTUVWXYZabcdefghijklmnopqrstuvwxyz0123456789,")))),"")</f>
        <v/>
      </c>
      <c r="D232" s="15" t="str">
        <v/>
      </c>
      <c r="E232" s="16" t="str">
        <v/>
      </c>
      <c r="F232" s="15" t="str">
        <v/>
      </c>
      <c r="G232" s="20" t="str" cm="1">
        <f t="array" ref="G232">IF(TRIM(P232)="","",IF(SUM(COUNTIF(P232,{"*NLGD*","*FWG*"}))&gt;0,P232,IF(SUM(COUNTIF(P232,{"*GL*","*DGB*","*DGI*","*GT*","*CS*","*PWU*","*DBI*","*SWU*"}))=0,P232,IF(IFERROR(VALUE(SUBSTITUTE(SUBSTITUTE(O232,"W",""),"""","")),0)&gt;52,P232&amp;"-OVRSIZE-",P232))))</f>
        <v/>
      </c>
      <c r="H232" s="15" t="str">
        <v/>
      </c>
      <c r="I232" s="15" t="str">
        <v/>
      </c>
      <c r="J232" s="15" t="str">
        <v/>
      </c>
      <c r="K232" s="15" t="str">
        <v/>
      </c>
      <c r="L232" s="15" t="str">
        <v/>
      </c>
      <c r="M232" s="10" t="str">
        <v/>
      </c>
      <c r="N232" s="14"/>
      <c r="O232" s="15" t="str" cm="1">
        <f t="array" ref="O232">IFERROR(_xlfn.LET(
_xlpm.clean,TRIM(SUBSTITUTE(SUBSTITUTE(P232,CHAR(160),"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2" s="15"/>
      <c r="R232" t="str">
        <v/>
      </c>
      <c r="S232" t="str">
        <f t="shared" si="4"/>
        <v/>
      </c>
    </row>
    <row r="233" spans="1:19" ht="12.75">
      <c r="A233" s="15" t="str">
        <v/>
      </c>
      <c r="B233" s="15" t="str">
        <v/>
      </c>
      <c r="C233" s="15" t="str" cm="1">
        <f t="array" ref="C233">IFERROR(_xlfn.TEXTJOIN("",TRUE,_xlfn._xlws.FILTER(MID(S233,_xlfn.SEQUENCE(LEN(S233)),1),ISNUMBER(SEARCH(MID(S233,_xlfn.SEQUENCE(LEN(S233)),1),"ABCDEFGHIJKLMNOPQRSTUVWXYZabcdefghijklmnopqrstuvwxyz0123456789,")))),"")</f>
        <v/>
      </c>
      <c r="D233" s="15" t="str">
        <v/>
      </c>
      <c r="E233" s="16" t="str">
        <v/>
      </c>
      <c r="F233" s="15" t="str">
        <v/>
      </c>
      <c r="G233" s="20" t="str" cm="1">
        <f t="array" ref="G233">IF(TRIM(P233)="","",IF(SUM(COUNTIF(P233,{"*NLGD*","*FWG*"}))&gt;0,P233,IF(SUM(COUNTIF(P233,{"*GL*","*DGB*","*DGI*","*GT*","*CS*","*PWU*","*DBI*","*SWU*"}))=0,P233,IF(IFERROR(VALUE(SUBSTITUTE(SUBSTITUTE(O233,"W",""),"""","")),0)&gt;52,P233&amp;"-OVRSIZE-",P233))))</f>
        <v/>
      </c>
      <c r="H233" s="15" t="str">
        <v/>
      </c>
      <c r="I233" s="15" t="str">
        <v/>
      </c>
      <c r="J233" s="15" t="str">
        <v/>
      </c>
      <c r="K233" s="15" t="str">
        <v/>
      </c>
      <c r="L233" s="15" t="str">
        <v/>
      </c>
      <c r="M233" s="10" t="str">
        <v/>
      </c>
      <c r="N233" s="14"/>
      <c r="O233" s="15" t="str" cm="1">
        <f t="array" ref="O233">IFERROR(_xlfn.LET(
_xlpm.clean,TRIM(SUBSTITUTE(SUBSTITUTE(P233,CHAR(160),"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3" s="15"/>
      <c r="R233" t="str">
        <v/>
      </c>
      <c r="S233" t="str">
        <f t="shared" si="4"/>
        <v/>
      </c>
    </row>
    <row r="234" spans="1:19" ht="12.75">
      <c r="A234" s="15" t="str">
        <v/>
      </c>
      <c r="B234" s="15" t="str">
        <v/>
      </c>
      <c r="C234" s="15" t="str" cm="1">
        <f t="array" ref="C234">IFERROR(_xlfn.TEXTJOIN("",TRUE,_xlfn._xlws.FILTER(MID(S234,_xlfn.SEQUENCE(LEN(S234)),1),ISNUMBER(SEARCH(MID(S234,_xlfn.SEQUENCE(LEN(S234)),1),"ABCDEFGHIJKLMNOPQRSTUVWXYZabcdefghijklmnopqrstuvwxyz0123456789,")))),"")</f>
        <v/>
      </c>
      <c r="D234" s="15" t="str">
        <v/>
      </c>
      <c r="E234" s="16" t="str">
        <v/>
      </c>
      <c r="F234" s="15" t="str">
        <v/>
      </c>
      <c r="G234" s="20" t="str" cm="1">
        <f t="array" ref="G234">IF(TRIM(P234)="","",IF(SUM(COUNTIF(P234,{"*NLGD*","*FWG*"}))&gt;0,P234,IF(SUM(COUNTIF(P234,{"*GL*","*DGB*","*DGI*","*GT*","*CS*","*PWU*","*DBI*","*SWU*"}))=0,P234,IF(IFERROR(VALUE(SUBSTITUTE(SUBSTITUTE(O234,"W",""),"""","")),0)&gt;52,P234&amp;"-OVRSIZE-",P234))))</f>
        <v/>
      </c>
      <c r="H234" s="15" t="str">
        <v/>
      </c>
      <c r="I234" s="15" t="str">
        <v/>
      </c>
      <c r="J234" s="15" t="str">
        <v/>
      </c>
      <c r="K234" s="15" t="str">
        <v/>
      </c>
      <c r="L234" s="15" t="str">
        <v/>
      </c>
      <c r="M234" s="10" t="str">
        <v/>
      </c>
      <c r="N234" s="14"/>
      <c r="O234" s="15" t="str" cm="1">
        <f t="array" ref="O234">IFERROR(_xlfn.LET(
_xlpm.clean,TRIM(SUBSTITUTE(SUBSTITUTE(P234,CHAR(160),"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4" s="15"/>
      <c r="R234" t="str">
        <v/>
      </c>
      <c r="S234" t="str">
        <f t="shared" si="4"/>
        <v/>
      </c>
    </row>
    <row r="235" spans="1:19" ht="12.75">
      <c r="A235" s="15" t="str">
        <v/>
      </c>
      <c r="B235" s="15" t="str">
        <v/>
      </c>
      <c r="C235" s="15" t="str" cm="1">
        <f t="array" ref="C235">IFERROR(_xlfn.TEXTJOIN("",TRUE,_xlfn._xlws.FILTER(MID(S235,_xlfn.SEQUENCE(LEN(S235)),1),ISNUMBER(SEARCH(MID(S235,_xlfn.SEQUENCE(LEN(S235)),1),"ABCDEFGHIJKLMNOPQRSTUVWXYZabcdefghijklmnopqrstuvwxyz0123456789,")))),"")</f>
        <v/>
      </c>
      <c r="D235" s="15" t="str">
        <v/>
      </c>
      <c r="E235" s="16" t="str">
        <v/>
      </c>
      <c r="F235" s="15" t="str">
        <v/>
      </c>
      <c r="G235" s="20" t="str" cm="1">
        <f t="array" ref="G235">IF(TRIM(P235)="","",IF(SUM(COUNTIF(P235,{"*NLGD*","*FWG*"}))&gt;0,P235,IF(SUM(COUNTIF(P235,{"*GL*","*DGB*","*DGI*","*GT*","*CS*","*PWU*","*DBI*","*SWU*"}))=0,P235,IF(IFERROR(VALUE(SUBSTITUTE(SUBSTITUTE(O235,"W",""),"""","")),0)&gt;52,P235&amp;"-OVRSIZE-",P235))))</f>
        <v/>
      </c>
      <c r="H235" s="15" t="str">
        <v/>
      </c>
      <c r="I235" s="15" t="str">
        <v/>
      </c>
      <c r="J235" s="15" t="str">
        <v/>
      </c>
      <c r="K235" s="15" t="str">
        <v/>
      </c>
      <c r="L235" s="15" t="str">
        <v/>
      </c>
      <c r="M235" s="10" t="str">
        <v/>
      </c>
      <c r="N235" s="14"/>
      <c r="O235" s="15" t="str" cm="1">
        <f t="array" ref="O235">IFERROR(_xlfn.LET(
_xlpm.clean,TRIM(SUBSTITUTE(SUBSTITUTE(P235,CHAR(160),"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5" s="15"/>
      <c r="R235" t="str">
        <v/>
      </c>
      <c r="S235" t="str">
        <f t="shared" si="4"/>
        <v/>
      </c>
    </row>
    <row r="236" spans="1:19" ht="12.75">
      <c r="A236" s="15" t="str">
        <v/>
      </c>
      <c r="B236" s="15" t="str">
        <v/>
      </c>
      <c r="C236" s="15" t="str" cm="1">
        <f t="array" ref="C236">IFERROR(_xlfn.TEXTJOIN("",TRUE,_xlfn._xlws.FILTER(MID(S236,_xlfn.SEQUENCE(LEN(S236)),1),ISNUMBER(SEARCH(MID(S236,_xlfn.SEQUENCE(LEN(S236)),1),"ABCDEFGHIJKLMNOPQRSTUVWXYZabcdefghijklmnopqrstuvwxyz0123456789,")))),"")</f>
        <v/>
      </c>
      <c r="D236" s="15" t="str">
        <v/>
      </c>
      <c r="E236" s="16" t="str">
        <v/>
      </c>
      <c r="F236" s="15" t="str">
        <v/>
      </c>
      <c r="G236" s="20" t="str" cm="1">
        <f t="array" ref="G236">IF(TRIM(P236)="","",IF(SUM(COUNTIF(P236,{"*NLGD*","*FWG*"}))&gt;0,P236,IF(SUM(COUNTIF(P236,{"*GL*","*DGB*","*DGI*","*GT*","*CS*","*PWU*","*DBI*","*SWU*"}))=0,P236,IF(IFERROR(VALUE(SUBSTITUTE(SUBSTITUTE(O236,"W",""),"""","")),0)&gt;52,P236&amp;"-OVRSIZE-",P236))))</f>
        <v/>
      </c>
      <c r="H236" s="15" t="str">
        <v/>
      </c>
      <c r="I236" s="15" t="str">
        <v/>
      </c>
      <c r="J236" s="15" t="str">
        <v/>
      </c>
      <c r="K236" s="15" t="str">
        <v/>
      </c>
      <c r="L236" s="15" t="str">
        <v/>
      </c>
      <c r="M236" s="10" t="str">
        <v/>
      </c>
      <c r="N236" s="14"/>
      <c r="O236" s="15" t="str" cm="1">
        <f t="array" ref="O236">IFERROR(_xlfn.LET(
_xlpm.clean,TRIM(SUBSTITUTE(SUBSTITUTE(P236,CHAR(160),"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6" s="15"/>
      <c r="R236" t="str">
        <v/>
      </c>
      <c r="S236" t="str">
        <f t="shared" si="4"/>
        <v/>
      </c>
    </row>
    <row r="237" spans="1:19" ht="12.75">
      <c r="A237" s="15" t="str">
        <v/>
      </c>
      <c r="B237" s="15" t="str">
        <v/>
      </c>
      <c r="C237" s="15" t="str" cm="1">
        <f t="array" ref="C237">IFERROR(_xlfn.TEXTJOIN("",TRUE,_xlfn._xlws.FILTER(MID(S237,_xlfn.SEQUENCE(LEN(S237)),1),ISNUMBER(SEARCH(MID(S237,_xlfn.SEQUENCE(LEN(S237)),1),"ABCDEFGHIJKLMNOPQRSTUVWXYZabcdefghijklmnopqrstuvwxyz0123456789,")))),"")</f>
        <v/>
      </c>
      <c r="D237" s="15" t="str">
        <v/>
      </c>
      <c r="E237" s="16" t="str">
        <v/>
      </c>
      <c r="F237" s="15" t="str">
        <v/>
      </c>
      <c r="G237" s="20" t="str" cm="1">
        <f t="array" ref="G237">IF(TRIM(P237)="","",IF(SUM(COUNTIF(P237,{"*NLGD*","*FWG*"}))&gt;0,P237,IF(SUM(COUNTIF(P237,{"*GL*","*DGB*","*DGI*","*GT*","*CS*","*PWU*","*DBI*","*SWU*"}))=0,P237,IF(IFERROR(VALUE(SUBSTITUTE(SUBSTITUTE(O237,"W",""),"""","")),0)&gt;52,P237&amp;"-OVRSIZE-",P237))))</f>
        <v/>
      </c>
      <c r="H237" s="15" t="str">
        <v/>
      </c>
      <c r="I237" s="15" t="str">
        <v/>
      </c>
      <c r="J237" s="15" t="str">
        <v/>
      </c>
      <c r="K237" s="15" t="str">
        <v/>
      </c>
      <c r="L237" s="15" t="str">
        <v/>
      </c>
      <c r="M237" s="10" t="str">
        <v/>
      </c>
      <c r="N237" s="14"/>
      <c r="O237" s="15" t="str" cm="1">
        <f t="array" ref="O237">IFERROR(_xlfn.LET(
_xlpm.clean,TRIM(SUBSTITUTE(SUBSTITUTE(P237,CHAR(160),"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7" s="15"/>
      <c r="R237" t="str">
        <v/>
      </c>
      <c r="S237" t="str">
        <f t="shared" si="4"/>
        <v/>
      </c>
    </row>
    <row r="238" spans="1:19" ht="12.75">
      <c r="A238" s="15" t="str">
        <v/>
      </c>
      <c r="B238" s="15" t="str">
        <v/>
      </c>
      <c r="C238" s="15" t="str" cm="1">
        <f t="array" ref="C238">IFERROR(_xlfn.TEXTJOIN("",TRUE,_xlfn._xlws.FILTER(MID(S238,_xlfn.SEQUENCE(LEN(S238)),1),ISNUMBER(SEARCH(MID(S238,_xlfn.SEQUENCE(LEN(S238)),1),"ABCDEFGHIJKLMNOPQRSTUVWXYZabcdefghijklmnopqrstuvwxyz0123456789,")))),"")</f>
        <v/>
      </c>
      <c r="D238" s="15" t="str">
        <v/>
      </c>
      <c r="E238" s="16" t="str">
        <v/>
      </c>
      <c r="F238" s="15" t="str">
        <v/>
      </c>
      <c r="G238" s="20" t="str" cm="1">
        <f t="array" ref="G238">IF(TRIM(P238)="","",IF(SUM(COUNTIF(P238,{"*NLGD*","*FWG*"}))&gt;0,P238,IF(SUM(COUNTIF(P238,{"*GL*","*DGB*","*DGI*","*GT*","*CS*","*PWU*","*DBI*","*SWU*"}))=0,P238,IF(IFERROR(VALUE(SUBSTITUTE(SUBSTITUTE(O238,"W",""),"""","")),0)&gt;52,P238&amp;"-OVRSIZE-",P238))))</f>
        <v/>
      </c>
      <c r="H238" s="15" t="str">
        <v/>
      </c>
      <c r="I238" s="15" t="str">
        <v/>
      </c>
      <c r="J238" s="15" t="str">
        <v/>
      </c>
      <c r="K238" s="15" t="str">
        <v/>
      </c>
      <c r="L238" s="15" t="str">
        <v/>
      </c>
      <c r="M238" s="10" t="str">
        <v/>
      </c>
      <c r="N238" s="14"/>
      <c r="O238" s="15" t="str" cm="1">
        <f t="array" ref="O238">IFERROR(_xlfn.LET(
_xlpm.clean,TRIM(SUBSTITUTE(SUBSTITUTE(P238,CHAR(160),"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8" s="15"/>
      <c r="R238" t="str">
        <v/>
      </c>
      <c r="S238" t="str">
        <f t="shared" si="4"/>
        <v/>
      </c>
    </row>
    <row r="239" spans="1:19" ht="12.75">
      <c r="A239" s="15" t="str">
        <v/>
      </c>
      <c r="B239" s="15" t="str">
        <v/>
      </c>
      <c r="C239" s="15" t="str" cm="1">
        <f t="array" ref="C239">IFERROR(_xlfn.TEXTJOIN("",TRUE,_xlfn._xlws.FILTER(MID(S239,_xlfn.SEQUENCE(LEN(S239)),1),ISNUMBER(SEARCH(MID(S239,_xlfn.SEQUENCE(LEN(S239)),1),"ABCDEFGHIJKLMNOPQRSTUVWXYZabcdefghijklmnopqrstuvwxyz0123456789,")))),"")</f>
        <v/>
      </c>
      <c r="D239" s="15" t="str">
        <v/>
      </c>
      <c r="E239" s="16" t="str">
        <v/>
      </c>
      <c r="F239" s="15" t="str">
        <v/>
      </c>
      <c r="G239" s="20" t="str" cm="1">
        <f t="array" ref="G239">IF(TRIM(P239)="","",IF(SUM(COUNTIF(P239,{"*NLGD*","*FWG*"}))&gt;0,P239,IF(SUM(COUNTIF(P239,{"*GL*","*DGB*","*DGI*","*GT*","*CS*","*PWU*","*DBI*","*SWU*"}))=0,P239,IF(IFERROR(VALUE(SUBSTITUTE(SUBSTITUTE(O239,"W",""),"""","")),0)&gt;52,P239&amp;"-OVRSIZE-",P239))))</f>
        <v/>
      </c>
      <c r="H239" s="15" t="str">
        <v/>
      </c>
      <c r="I239" s="15" t="str">
        <v/>
      </c>
      <c r="J239" s="15" t="str">
        <v/>
      </c>
      <c r="K239" s="15" t="str">
        <v/>
      </c>
      <c r="L239" s="15" t="str">
        <v/>
      </c>
      <c r="M239" s="10" t="str">
        <v/>
      </c>
      <c r="N239" s="14"/>
      <c r="O239" s="15" t="str" cm="1">
        <f t="array" ref="O239">IFERROR(_xlfn.LET(
_xlpm.clean,TRIM(SUBSTITUTE(SUBSTITUTE(P239,CHAR(160),"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39" s="15"/>
      <c r="R239" t="str">
        <v/>
      </c>
      <c r="S239" t="str">
        <f t="shared" si="4"/>
        <v/>
      </c>
    </row>
    <row r="240" spans="1:19" ht="12.75">
      <c r="A240" s="15" t="str">
        <v/>
      </c>
      <c r="B240" s="15" t="str">
        <v/>
      </c>
      <c r="C240" s="15" t="str" cm="1">
        <f t="array" ref="C240">IFERROR(_xlfn.TEXTJOIN("",TRUE,_xlfn._xlws.FILTER(MID(S240,_xlfn.SEQUENCE(LEN(S240)),1),ISNUMBER(SEARCH(MID(S240,_xlfn.SEQUENCE(LEN(S240)),1),"ABCDEFGHIJKLMNOPQRSTUVWXYZabcdefghijklmnopqrstuvwxyz0123456789,")))),"")</f>
        <v/>
      </c>
      <c r="D240" s="15" t="str">
        <v/>
      </c>
      <c r="E240" s="16" t="str">
        <v/>
      </c>
      <c r="F240" s="15" t="str">
        <v/>
      </c>
      <c r="G240" s="20" t="str" cm="1">
        <f t="array" ref="G240">IF(TRIM(P240)="","",IF(SUM(COUNTIF(P240,{"*NLGD*","*FWG*"}))&gt;0,P240,IF(SUM(COUNTIF(P240,{"*GL*","*DGB*","*DGI*","*GT*","*CS*","*PWU*","*DBI*","*SWU*"}))=0,P240,IF(IFERROR(VALUE(SUBSTITUTE(SUBSTITUTE(O240,"W",""),"""","")),0)&gt;52,P240&amp;"-OVRSIZE-",P240))))</f>
        <v/>
      </c>
      <c r="H240" s="15" t="str">
        <v/>
      </c>
      <c r="I240" s="15" t="str">
        <v/>
      </c>
      <c r="J240" s="15" t="str">
        <v/>
      </c>
      <c r="K240" s="15" t="str">
        <v/>
      </c>
      <c r="L240" s="15" t="str">
        <v/>
      </c>
      <c r="M240" s="10" t="str">
        <v/>
      </c>
      <c r="N240" s="14"/>
      <c r="O240" s="15" t="str" cm="1">
        <f t="array" ref="O240">IFERROR(_xlfn.LET(
_xlpm.clean,TRIM(SUBSTITUTE(SUBSTITUTE(P240,CHAR(160),"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0" s="15"/>
      <c r="R240" t="str">
        <v/>
      </c>
      <c r="S240" t="str">
        <f t="shared" si="4"/>
        <v/>
      </c>
    </row>
    <row r="241" spans="1:19" ht="12.75">
      <c r="A241" s="15" t="str">
        <v/>
      </c>
      <c r="B241" s="15" t="str">
        <v/>
      </c>
      <c r="C241" s="15" t="str" cm="1">
        <f t="array" ref="C241">IFERROR(_xlfn.TEXTJOIN("",TRUE,_xlfn._xlws.FILTER(MID(S241,_xlfn.SEQUENCE(LEN(S241)),1),ISNUMBER(SEARCH(MID(S241,_xlfn.SEQUENCE(LEN(S241)),1),"ABCDEFGHIJKLMNOPQRSTUVWXYZabcdefghijklmnopqrstuvwxyz0123456789,")))),"")</f>
        <v/>
      </c>
      <c r="D241" s="15" t="str">
        <v/>
      </c>
      <c r="E241" s="16" t="str">
        <v/>
      </c>
      <c r="F241" s="15" t="str">
        <v/>
      </c>
      <c r="G241" s="20" t="str" cm="1">
        <f t="array" ref="G241">IF(TRIM(P241)="","",IF(SUM(COUNTIF(P241,{"*NLGD*","*FWG*"}))&gt;0,P241,IF(SUM(COUNTIF(P241,{"*GL*","*DGB*","*DGI*","*GT*","*CS*","*PWU*","*DBI*","*SWU*"}))=0,P241,IF(IFERROR(VALUE(SUBSTITUTE(SUBSTITUTE(O241,"W",""),"""","")),0)&gt;52,P241&amp;"-OVRSIZE-",P241))))</f>
        <v/>
      </c>
      <c r="H241" s="15" t="str">
        <v/>
      </c>
      <c r="I241" s="15" t="str">
        <v/>
      </c>
      <c r="J241" s="15" t="str">
        <v/>
      </c>
      <c r="K241" s="15" t="str">
        <v/>
      </c>
      <c r="L241" s="15" t="str">
        <v/>
      </c>
      <c r="M241" s="10" t="str">
        <v/>
      </c>
      <c r="N241" s="14"/>
      <c r="O241" s="15" t="str" cm="1">
        <f t="array" ref="O241">IFERROR(_xlfn.LET(
_xlpm.clean,TRIM(SUBSTITUTE(SUBSTITUTE(P241,CHAR(160),"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1" s="15"/>
      <c r="R241" t="str">
        <v/>
      </c>
      <c r="S241" t="str">
        <f t="shared" si="4"/>
        <v/>
      </c>
    </row>
    <row r="242" spans="1:19" ht="12.75">
      <c r="A242" s="15" t="str">
        <v/>
      </c>
      <c r="B242" s="15" t="str">
        <v/>
      </c>
      <c r="C242" s="15" t="str" cm="1">
        <f t="array" ref="C242">IFERROR(_xlfn.TEXTJOIN("",TRUE,_xlfn._xlws.FILTER(MID(S242,_xlfn.SEQUENCE(LEN(S242)),1),ISNUMBER(SEARCH(MID(S242,_xlfn.SEQUENCE(LEN(S242)),1),"ABCDEFGHIJKLMNOPQRSTUVWXYZabcdefghijklmnopqrstuvwxyz0123456789,")))),"")</f>
        <v/>
      </c>
      <c r="D242" s="15" t="str">
        <v/>
      </c>
      <c r="E242" s="16" t="str">
        <v/>
      </c>
      <c r="F242" s="15" t="str">
        <v/>
      </c>
      <c r="G242" s="20" t="str" cm="1">
        <f t="array" ref="G242">IF(TRIM(P242)="","",IF(SUM(COUNTIF(P242,{"*NLGD*","*FWG*"}))&gt;0,P242,IF(SUM(COUNTIF(P242,{"*GL*","*DGB*","*DGI*","*GT*","*CS*","*PWU*","*DBI*","*SWU*"}))=0,P242,IF(IFERROR(VALUE(SUBSTITUTE(SUBSTITUTE(O242,"W",""),"""","")),0)&gt;52,P242&amp;"-OVRSIZE-",P242))))</f>
        <v/>
      </c>
      <c r="H242" s="15" t="str">
        <v/>
      </c>
      <c r="I242" s="15" t="str">
        <v/>
      </c>
      <c r="J242" s="15" t="str">
        <v/>
      </c>
      <c r="K242" s="15" t="str">
        <v/>
      </c>
      <c r="L242" s="15" t="str">
        <v/>
      </c>
      <c r="M242" s="10" t="str">
        <v/>
      </c>
      <c r="N242" s="14"/>
      <c r="O242" s="15" t="str" cm="1">
        <f t="array" ref="O242">IFERROR(_xlfn.LET(
_xlpm.clean,TRIM(SUBSTITUTE(SUBSTITUTE(P242,CHAR(160),"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2" s="15"/>
      <c r="R242" t="str">
        <v/>
      </c>
      <c r="S242" t="str">
        <f t="shared" si="4"/>
        <v/>
      </c>
    </row>
    <row r="243" spans="1:19" ht="12.75">
      <c r="A243" s="15" t="str">
        <v/>
      </c>
      <c r="B243" s="15" t="str">
        <v/>
      </c>
      <c r="C243" s="15" t="str" cm="1">
        <f t="array" ref="C243">IFERROR(_xlfn.TEXTJOIN("",TRUE,_xlfn._xlws.FILTER(MID(S243,_xlfn.SEQUENCE(LEN(S243)),1),ISNUMBER(SEARCH(MID(S243,_xlfn.SEQUENCE(LEN(S243)),1),"ABCDEFGHIJKLMNOPQRSTUVWXYZabcdefghijklmnopqrstuvwxyz0123456789,")))),"")</f>
        <v/>
      </c>
      <c r="D243" s="15" t="str">
        <v/>
      </c>
      <c r="E243" s="16" t="str">
        <v/>
      </c>
      <c r="F243" s="15" t="str">
        <v/>
      </c>
      <c r="G243" s="20" t="str" cm="1">
        <f t="array" ref="G243">IF(TRIM(P243)="","",IF(SUM(COUNTIF(P243,{"*NLGD*","*FWG*"}))&gt;0,P243,IF(SUM(COUNTIF(P243,{"*GL*","*DGB*","*DGI*","*GT*","*CS*","*PWU*","*DBI*","*SWU*"}))=0,P243,IF(IFERROR(VALUE(SUBSTITUTE(SUBSTITUTE(O243,"W",""),"""","")),0)&gt;52,P243&amp;"-OVRSIZE-",P243))))</f>
        <v/>
      </c>
      <c r="H243" s="15" t="str">
        <v/>
      </c>
      <c r="I243" s="15" t="str">
        <v/>
      </c>
      <c r="J243" s="15" t="str">
        <v/>
      </c>
      <c r="K243" s="15" t="str">
        <v/>
      </c>
      <c r="L243" s="15" t="str">
        <v/>
      </c>
      <c r="M243" s="10" t="str">
        <v/>
      </c>
      <c r="N243" s="14"/>
      <c r="O243" s="15" t="str" cm="1">
        <f t="array" ref="O243">IFERROR(_xlfn.LET(
_xlpm.clean,TRIM(SUBSTITUTE(SUBSTITUTE(P243,CHAR(160),"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3" s="15"/>
      <c r="R243" t="str">
        <v/>
      </c>
      <c r="S243" t="str">
        <f t="shared" si="4"/>
        <v/>
      </c>
    </row>
    <row r="244" spans="1:19" ht="12.75">
      <c r="A244" s="15" t="str">
        <v/>
      </c>
      <c r="B244" s="15" t="str">
        <v/>
      </c>
      <c r="C244" s="15" t="str" cm="1">
        <f t="array" ref="C244">IFERROR(_xlfn.TEXTJOIN("",TRUE,_xlfn._xlws.FILTER(MID(S244,_xlfn.SEQUENCE(LEN(S244)),1),ISNUMBER(SEARCH(MID(S244,_xlfn.SEQUENCE(LEN(S244)),1),"ABCDEFGHIJKLMNOPQRSTUVWXYZabcdefghijklmnopqrstuvwxyz0123456789,")))),"")</f>
        <v/>
      </c>
      <c r="D244" s="15" t="str">
        <v/>
      </c>
      <c r="E244" s="16" t="str">
        <v/>
      </c>
      <c r="F244" s="15" t="str">
        <v/>
      </c>
      <c r="G244" s="20" t="str" cm="1">
        <f t="array" ref="G244">IF(TRIM(P244)="","",IF(SUM(COUNTIF(P244,{"*NLGD*","*FWG*"}))&gt;0,P244,IF(SUM(COUNTIF(P244,{"*GL*","*DGB*","*DGI*","*GT*","*CS*","*PWU*","*DBI*","*SWU*"}))=0,P244,IF(IFERROR(VALUE(SUBSTITUTE(SUBSTITUTE(O244,"W",""),"""","")),0)&gt;52,P244&amp;"-OVRSIZE-",P244))))</f>
        <v/>
      </c>
      <c r="H244" s="15" t="str">
        <v/>
      </c>
      <c r="I244" s="15" t="str">
        <v/>
      </c>
      <c r="J244" s="15" t="str">
        <v/>
      </c>
      <c r="K244" s="15" t="str">
        <v/>
      </c>
      <c r="L244" s="15" t="str">
        <v/>
      </c>
      <c r="M244" s="10" t="str">
        <v/>
      </c>
      <c r="N244" s="14"/>
      <c r="O244" s="15" t="str" cm="1">
        <f t="array" ref="O244">IFERROR(_xlfn.LET(
_xlpm.clean,TRIM(SUBSTITUTE(SUBSTITUTE(P244,CHAR(160),"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4" s="15"/>
      <c r="R244" t="str">
        <v/>
      </c>
      <c r="S244" t="str">
        <f t="shared" si="4"/>
        <v/>
      </c>
    </row>
    <row r="245" spans="1:19" ht="12.75">
      <c r="A245" s="15" t="str">
        <v/>
      </c>
      <c r="B245" s="15" t="str">
        <v/>
      </c>
      <c r="C245" s="15" t="str" cm="1">
        <f t="array" ref="C245">IFERROR(_xlfn.TEXTJOIN("",TRUE,_xlfn._xlws.FILTER(MID(S245,_xlfn.SEQUENCE(LEN(S245)),1),ISNUMBER(SEARCH(MID(S245,_xlfn.SEQUENCE(LEN(S245)),1),"ABCDEFGHIJKLMNOPQRSTUVWXYZabcdefghijklmnopqrstuvwxyz0123456789,")))),"")</f>
        <v/>
      </c>
      <c r="D245" s="15" t="str">
        <v/>
      </c>
      <c r="E245" s="16" t="str">
        <v/>
      </c>
      <c r="F245" s="15" t="str">
        <v/>
      </c>
      <c r="G245" s="20" t="str" cm="1">
        <f t="array" ref="G245">IF(TRIM(P245)="","",IF(SUM(COUNTIF(P245,{"*NLGD*","*FWG*"}))&gt;0,P245,IF(SUM(COUNTIF(P245,{"*GL*","*DGB*","*DGI*","*GT*","*CS*","*PWU*","*DBI*","*SWU*"}))=0,P245,IF(IFERROR(VALUE(SUBSTITUTE(SUBSTITUTE(O245,"W",""),"""","")),0)&gt;52,P245&amp;"-OVRSIZE-",P245))))</f>
        <v/>
      </c>
      <c r="H245" s="15" t="str">
        <v/>
      </c>
      <c r="I245" s="15" t="str">
        <v/>
      </c>
      <c r="J245" s="15" t="str">
        <v/>
      </c>
      <c r="K245" s="15" t="str">
        <v/>
      </c>
      <c r="L245" s="15" t="str">
        <v/>
      </c>
      <c r="M245" s="10" t="str">
        <v/>
      </c>
      <c r="N245" s="14"/>
      <c r="O245" s="15" t="str" cm="1">
        <f t="array" ref="O245">IFERROR(_xlfn.LET(
_xlpm.clean,TRIM(SUBSTITUTE(SUBSTITUTE(P245,CHAR(160),"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5" s="15"/>
      <c r="R245" t="str">
        <v/>
      </c>
      <c r="S245" t="str">
        <f t="shared" si="4"/>
        <v/>
      </c>
    </row>
    <row r="246" spans="1:19" ht="12.75">
      <c r="A246" s="15" t="str">
        <v/>
      </c>
      <c r="B246" s="15" t="str">
        <v/>
      </c>
      <c r="C246" s="15" t="str" cm="1">
        <f t="array" ref="C246">IFERROR(_xlfn.TEXTJOIN("",TRUE,_xlfn._xlws.FILTER(MID(S246,_xlfn.SEQUENCE(LEN(S246)),1),ISNUMBER(SEARCH(MID(S246,_xlfn.SEQUENCE(LEN(S246)),1),"ABCDEFGHIJKLMNOPQRSTUVWXYZabcdefghijklmnopqrstuvwxyz0123456789,")))),"")</f>
        <v/>
      </c>
      <c r="D246" s="15" t="str">
        <v/>
      </c>
      <c r="E246" s="16" t="str">
        <v/>
      </c>
      <c r="F246" s="15" t="str">
        <v/>
      </c>
      <c r="G246" s="20" t="str" cm="1">
        <f t="array" ref="G246">IF(TRIM(P246)="","",IF(SUM(COUNTIF(P246,{"*NLGD*","*FWG*"}))&gt;0,P246,IF(SUM(COUNTIF(P246,{"*GL*","*DGB*","*DGI*","*GT*","*CS*","*PWU*","*DBI*","*SWU*"}))=0,P246,IF(IFERROR(VALUE(SUBSTITUTE(SUBSTITUTE(O246,"W",""),"""","")),0)&gt;52,P246&amp;"-OVRSIZE-",P246))))</f>
        <v/>
      </c>
      <c r="H246" s="15" t="str">
        <v/>
      </c>
      <c r="I246" s="15" t="str">
        <v/>
      </c>
      <c r="J246" s="15" t="str">
        <v/>
      </c>
      <c r="K246" s="15" t="str">
        <v/>
      </c>
      <c r="L246" s="15" t="str">
        <v/>
      </c>
      <c r="M246" s="10" t="str">
        <v/>
      </c>
      <c r="N246" s="14"/>
      <c r="O246" s="15" t="str" cm="1">
        <f t="array" ref="O246">IFERROR(_xlfn.LET(
_xlpm.clean,TRIM(SUBSTITUTE(SUBSTITUTE(P246,CHAR(160),"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6" s="15"/>
      <c r="R246" t="str">
        <v/>
      </c>
      <c r="S246" t="str">
        <f t="shared" si="4"/>
        <v/>
      </c>
    </row>
    <row r="247" spans="1:19" ht="12.75">
      <c r="A247" s="15" t="str">
        <v/>
      </c>
      <c r="B247" s="15" t="str">
        <v/>
      </c>
      <c r="C247" s="15" t="str" cm="1">
        <f t="array" ref="C247">IFERROR(_xlfn.TEXTJOIN("",TRUE,_xlfn._xlws.FILTER(MID(S247,_xlfn.SEQUENCE(LEN(S247)),1),ISNUMBER(SEARCH(MID(S247,_xlfn.SEQUENCE(LEN(S247)),1),"ABCDEFGHIJKLMNOPQRSTUVWXYZabcdefghijklmnopqrstuvwxyz0123456789,")))),"")</f>
        <v/>
      </c>
      <c r="D247" s="15" t="str">
        <v/>
      </c>
      <c r="E247" s="16" t="str">
        <v/>
      </c>
      <c r="F247" s="15" t="str">
        <v/>
      </c>
      <c r="G247" s="20" t="str" cm="1">
        <f t="array" ref="G247">IF(TRIM(P247)="","",IF(SUM(COUNTIF(P247,{"*NLGD*","*FWG*"}))&gt;0,P247,IF(SUM(COUNTIF(P247,{"*GL*","*DGB*","*DGI*","*GT*","*CS*","*PWU*","*DBI*","*SWU*"}))=0,P247,IF(IFERROR(VALUE(SUBSTITUTE(SUBSTITUTE(O247,"W",""),"""","")),0)&gt;52,P247&amp;"-OVRSIZE-",P247))))</f>
        <v/>
      </c>
      <c r="H247" s="15" t="str">
        <v/>
      </c>
      <c r="I247" s="15" t="str">
        <v/>
      </c>
      <c r="J247" s="15" t="str">
        <v/>
      </c>
      <c r="K247" s="15" t="str">
        <v/>
      </c>
      <c r="L247" s="15" t="str">
        <v/>
      </c>
      <c r="M247" s="10" t="str">
        <v/>
      </c>
      <c r="N247" s="14"/>
      <c r="O247" s="15" t="str" cm="1">
        <f t="array" ref="O247">IFERROR(_xlfn.LET(
_xlpm.clean,TRIM(SUBSTITUTE(SUBSTITUTE(P247,CHAR(160),"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7" s="15"/>
      <c r="R247" t="str">
        <v/>
      </c>
      <c r="S247" t="str">
        <f t="shared" si="4"/>
        <v/>
      </c>
    </row>
    <row r="248" spans="1:19" ht="12.75">
      <c r="A248" s="15" t="str">
        <v/>
      </c>
      <c r="B248" s="15" t="str">
        <v/>
      </c>
      <c r="C248" s="15" t="str" cm="1">
        <f t="array" ref="C248">IFERROR(_xlfn.TEXTJOIN("",TRUE,_xlfn._xlws.FILTER(MID(S248,_xlfn.SEQUENCE(LEN(S248)),1),ISNUMBER(SEARCH(MID(S248,_xlfn.SEQUENCE(LEN(S248)),1),"ABCDEFGHIJKLMNOPQRSTUVWXYZabcdefghijklmnopqrstuvwxyz0123456789,")))),"")</f>
        <v/>
      </c>
      <c r="D248" s="15" t="str">
        <v/>
      </c>
      <c r="E248" s="16" t="str">
        <v/>
      </c>
      <c r="F248" s="15" t="str">
        <v/>
      </c>
      <c r="G248" s="20" t="str" cm="1">
        <f t="array" ref="G248">IF(TRIM(P248)="","",IF(SUM(COUNTIF(P248,{"*NLGD*","*FWG*"}))&gt;0,P248,IF(SUM(COUNTIF(P248,{"*GL*","*DGB*","*DGI*","*GT*","*CS*","*PWU*","*DBI*","*SWU*"}))=0,P248,IF(IFERROR(VALUE(SUBSTITUTE(SUBSTITUTE(O248,"W",""),"""","")),0)&gt;52,P248&amp;"-OVRSIZE-",P248))))</f>
        <v/>
      </c>
      <c r="H248" s="15" t="str">
        <v/>
      </c>
      <c r="I248" s="15" t="str">
        <v/>
      </c>
      <c r="J248" s="15" t="str">
        <v/>
      </c>
      <c r="K248" s="15" t="str">
        <v/>
      </c>
      <c r="L248" s="15" t="str">
        <v/>
      </c>
      <c r="M248" s="10" t="str">
        <v/>
      </c>
      <c r="N248" s="14"/>
      <c r="O248" s="15" t="str" cm="1">
        <f t="array" ref="O248">IFERROR(_xlfn.LET(
_xlpm.clean,TRIM(SUBSTITUTE(SUBSTITUTE(P248,CHAR(160),"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8" s="15"/>
      <c r="R248" t="str">
        <v/>
      </c>
      <c r="S248" t="str">
        <f t="shared" si="4"/>
        <v/>
      </c>
    </row>
    <row r="249" spans="1:19" ht="12.75">
      <c r="A249" s="15" t="str">
        <v/>
      </c>
      <c r="B249" s="15" t="str">
        <v/>
      </c>
      <c r="C249" s="15" t="str" cm="1">
        <f t="array" ref="C249">IFERROR(_xlfn.TEXTJOIN("",TRUE,_xlfn._xlws.FILTER(MID(S249,_xlfn.SEQUENCE(LEN(S249)),1),ISNUMBER(SEARCH(MID(S249,_xlfn.SEQUENCE(LEN(S249)),1),"ABCDEFGHIJKLMNOPQRSTUVWXYZabcdefghijklmnopqrstuvwxyz0123456789,")))),"")</f>
        <v/>
      </c>
      <c r="D249" s="15" t="str">
        <v/>
      </c>
      <c r="E249" s="16" t="str">
        <v/>
      </c>
      <c r="F249" s="15" t="str">
        <v/>
      </c>
      <c r="G249" s="20" t="str" cm="1">
        <f t="array" ref="G249">IF(TRIM(P249)="","",IF(SUM(COUNTIF(P249,{"*NLGD*","*FWG*"}))&gt;0,P249,IF(SUM(COUNTIF(P249,{"*GL*","*DGB*","*DGI*","*GT*","*CS*","*PWU*","*DBI*","*SWU*"}))=0,P249,IF(IFERROR(VALUE(SUBSTITUTE(SUBSTITUTE(O249,"W",""),"""","")),0)&gt;52,P249&amp;"-OVRSIZE-",P249))))</f>
        <v/>
      </c>
      <c r="H249" s="15" t="str">
        <v/>
      </c>
      <c r="I249" s="15" t="str">
        <v/>
      </c>
      <c r="J249" s="15" t="str">
        <v/>
      </c>
      <c r="K249" s="15" t="str">
        <v/>
      </c>
      <c r="L249" s="15" t="str">
        <v/>
      </c>
      <c r="M249" s="10" t="str">
        <v/>
      </c>
      <c r="N249" s="14"/>
      <c r="O249" s="15" t="str" cm="1">
        <f t="array" ref="O249">IFERROR(_xlfn.LET(
_xlpm.clean,TRIM(SUBSTITUTE(SUBSTITUTE(P249,CHAR(160),"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9" s="15"/>
      <c r="R249" t="str">
        <v/>
      </c>
      <c r="S249" t="str">
        <f t="shared" si="4"/>
        <v/>
      </c>
    </row>
    <row r="250" spans="1:19" ht="12.75">
      <c r="A250" s="15" t="str">
        <v/>
      </c>
      <c r="B250" s="15" t="str">
        <v/>
      </c>
      <c r="C250" s="15" t="str" cm="1">
        <f t="array" ref="C250">IFERROR(_xlfn.TEXTJOIN("",TRUE,_xlfn._xlws.FILTER(MID(S250,_xlfn.SEQUENCE(LEN(S250)),1),ISNUMBER(SEARCH(MID(S250,_xlfn.SEQUENCE(LEN(S250)),1),"ABCDEFGHIJKLMNOPQRSTUVWXYZabcdefghijklmnopqrstuvwxyz0123456789,")))),"")</f>
        <v/>
      </c>
      <c r="D250" s="15" t="str">
        <v/>
      </c>
      <c r="E250" s="16" t="str">
        <v/>
      </c>
      <c r="F250" s="15" t="str">
        <v/>
      </c>
      <c r="G250" s="20" t="str" cm="1">
        <f t="array" ref="G250">IF(TRIM(P250)="","",IF(SUM(COUNTIF(P250,{"*NLGD*","*FWG*"}))&gt;0,P250,IF(SUM(COUNTIF(P250,{"*GL*","*DGB*","*DGI*","*GT*","*CS*","*PWU*","*DBI*","*SWU*"}))=0,P250,IF(IFERROR(VALUE(SUBSTITUTE(SUBSTITUTE(O250,"W",""),"""","")),0)&gt;52,P250&amp;"-OVRSIZE-",P250))))</f>
        <v/>
      </c>
      <c r="H250" s="15" t="str">
        <v/>
      </c>
      <c r="I250" s="15" t="str">
        <v/>
      </c>
      <c r="J250" s="15" t="str">
        <v/>
      </c>
      <c r="K250" s="15" t="str">
        <v/>
      </c>
      <c r="L250" s="15" t="str">
        <v/>
      </c>
      <c r="M250" s="10" t="str">
        <v/>
      </c>
      <c r="N250" s="14"/>
      <c r="O250" s="15" t="str" cm="1">
        <f t="array" ref="O250">IFERROR(_xlfn.LET(
_xlpm.clean,TRIM(SUBSTITUTE(SUBSTITUTE(P250,CHAR(160),"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0" s="15"/>
      <c r="R250" t="str">
        <v/>
      </c>
      <c r="S250" t="str">
        <f t="shared" si="4"/>
        <v/>
      </c>
    </row>
    <row r="251" spans="1:19" ht="12.75">
      <c r="A251" s="15" t="str">
        <v/>
      </c>
      <c r="B251" s="15" t="str">
        <v/>
      </c>
      <c r="C251" s="15" t="str" cm="1">
        <f t="array" ref="C251">IFERROR(_xlfn.TEXTJOIN("",TRUE,_xlfn._xlws.FILTER(MID(S251,_xlfn.SEQUENCE(LEN(S251)),1),ISNUMBER(SEARCH(MID(S251,_xlfn.SEQUENCE(LEN(S251)),1),"ABCDEFGHIJKLMNOPQRSTUVWXYZabcdefghijklmnopqrstuvwxyz0123456789,")))),"")</f>
        <v/>
      </c>
      <c r="D251" s="15" t="str">
        <v/>
      </c>
      <c r="E251" s="16" t="str">
        <v/>
      </c>
      <c r="F251" s="15" t="str">
        <v/>
      </c>
      <c r="G251" s="20" t="str" cm="1">
        <f t="array" ref="G251">IF(TRIM(P251)="","",IF(SUM(COUNTIF(P251,{"*NLGD*","*FWG*"}))&gt;0,P251,IF(SUM(COUNTIF(P251,{"*GL*","*DGB*","*DGI*","*GT*","*CS*","*PWU*","*DBI*","*SWU*"}))=0,P251,IF(IFERROR(VALUE(SUBSTITUTE(SUBSTITUTE(O251,"W",""),"""","")),0)&gt;52,P251&amp;"-OVRSIZE-",P251))))</f>
        <v/>
      </c>
      <c r="H251" s="15" t="str">
        <v/>
      </c>
      <c r="I251" s="15" t="str">
        <v/>
      </c>
      <c r="J251" s="15" t="str">
        <v/>
      </c>
      <c r="K251" s="15" t="str">
        <v/>
      </c>
      <c r="L251" s="15" t="str">
        <v/>
      </c>
      <c r="M251" s="10" t="str">
        <v/>
      </c>
      <c r="N251" s="14"/>
      <c r="O251" s="15" t="str" cm="1">
        <f t="array" ref="O251">IFERROR(_xlfn.LET(
_xlpm.clean,TRIM(SUBSTITUTE(SUBSTITUTE(P251,CHAR(160),"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1" s="15"/>
      <c r="R251" t="str">
        <v/>
      </c>
      <c r="S251" t="str">
        <f t="shared" si="4"/>
        <v/>
      </c>
    </row>
    <row r="252" spans="1:19" ht="12.75">
      <c r="A252" s="15" t="str">
        <v/>
      </c>
      <c r="B252" s="15" t="str">
        <v/>
      </c>
      <c r="C252" s="15" t="str" cm="1">
        <f t="array" ref="C252">IFERROR(_xlfn.TEXTJOIN("",TRUE,_xlfn._xlws.FILTER(MID(S252,_xlfn.SEQUENCE(LEN(S252)),1),ISNUMBER(SEARCH(MID(S252,_xlfn.SEQUENCE(LEN(S252)),1),"ABCDEFGHIJKLMNOPQRSTUVWXYZabcdefghijklmnopqrstuvwxyz0123456789,")))),"")</f>
        <v/>
      </c>
      <c r="D252" s="15" t="str">
        <v/>
      </c>
      <c r="E252" s="16" t="str">
        <v/>
      </c>
      <c r="F252" s="15" t="str">
        <v/>
      </c>
      <c r="G252" s="20" t="str" cm="1">
        <f t="array" ref="G252">IF(TRIM(P252)="","",IF(SUM(COUNTIF(P252,{"*NLGD*","*FWG*"}))&gt;0,P252,IF(SUM(COUNTIF(P252,{"*GL*","*DGB*","*DGI*","*GT*","*CS*","*PWU*","*DBI*","*SWU*"}))=0,P252,IF(IFERROR(VALUE(SUBSTITUTE(SUBSTITUTE(O252,"W",""),"""","")),0)&gt;52,P252&amp;"-OVRSIZE-",P252))))</f>
        <v/>
      </c>
      <c r="H252" s="15" t="str">
        <v/>
      </c>
      <c r="I252" s="15" t="str">
        <v/>
      </c>
      <c r="J252" s="15" t="str">
        <v/>
      </c>
      <c r="K252" s="15" t="str">
        <v/>
      </c>
      <c r="L252" s="15" t="str">
        <v/>
      </c>
      <c r="M252" s="10" t="str">
        <v/>
      </c>
      <c r="N252" s="14"/>
      <c r="O252" s="15" t="str" cm="1">
        <f t="array" ref="O252">IFERROR(_xlfn.LET(
_xlpm.clean,TRIM(SUBSTITUTE(SUBSTITUTE(P252,CHAR(160),"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2" s="15"/>
      <c r="R252" t="str">
        <v/>
      </c>
      <c r="S252" t="str">
        <f t="shared" si="4"/>
        <v/>
      </c>
    </row>
    <row r="253" spans="1:19" ht="12.75">
      <c r="A253" s="15" t="str">
        <v/>
      </c>
      <c r="B253" s="15" t="str">
        <v/>
      </c>
      <c r="C253" s="15" t="str" cm="1">
        <f t="array" ref="C253">IFERROR(_xlfn.TEXTJOIN("",TRUE,_xlfn._xlws.FILTER(MID(S253,_xlfn.SEQUENCE(LEN(S253)),1),ISNUMBER(SEARCH(MID(S253,_xlfn.SEQUENCE(LEN(S253)),1),"ABCDEFGHIJKLMNOPQRSTUVWXYZabcdefghijklmnopqrstuvwxyz0123456789,")))),"")</f>
        <v/>
      </c>
      <c r="D253" s="15" t="str">
        <v/>
      </c>
      <c r="E253" s="16" t="str">
        <v/>
      </c>
      <c r="F253" s="15" t="str">
        <v/>
      </c>
      <c r="G253" s="20" t="str" cm="1">
        <f t="array" ref="G253">IF(TRIM(P253)="","",IF(SUM(COUNTIF(P253,{"*NLGD*","*FWG*"}))&gt;0,P253,IF(SUM(COUNTIF(P253,{"*GL*","*DGB*","*DGI*","*GT*","*CS*","*PWU*","*DBI*","*SWU*"}))=0,P253,IF(IFERROR(VALUE(SUBSTITUTE(SUBSTITUTE(O253,"W",""),"""","")),0)&gt;52,P253&amp;"-OVRSIZE-",P253))))</f>
        <v/>
      </c>
      <c r="H253" s="15" t="str">
        <v/>
      </c>
      <c r="I253" s="15" t="str">
        <v/>
      </c>
      <c r="J253" s="15" t="str">
        <v/>
      </c>
      <c r="K253" s="15" t="str">
        <v/>
      </c>
      <c r="L253" s="15" t="str">
        <v/>
      </c>
      <c r="M253" s="10" t="str">
        <v/>
      </c>
      <c r="N253" s="14"/>
      <c r="O253" s="15" t="str" cm="1">
        <f t="array" ref="O253">IFERROR(_xlfn.LET(
_xlpm.clean,TRIM(SUBSTITUTE(SUBSTITUTE(P253,CHAR(160),"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3" s="15"/>
      <c r="R253" t="str">
        <v/>
      </c>
      <c r="S253" t="str">
        <f t="shared" si="4"/>
        <v/>
      </c>
    </row>
    <row r="254" spans="1:19" ht="12.75">
      <c r="A254" s="15" t="str">
        <v/>
      </c>
      <c r="B254" s="15" t="str">
        <v/>
      </c>
      <c r="C254" s="15" t="str" cm="1">
        <f t="array" ref="C254">IFERROR(_xlfn.TEXTJOIN("",TRUE,_xlfn._xlws.FILTER(MID(S254,_xlfn.SEQUENCE(LEN(S254)),1),ISNUMBER(SEARCH(MID(S254,_xlfn.SEQUENCE(LEN(S254)),1),"ABCDEFGHIJKLMNOPQRSTUVWXYZabcdefghijklmnopqrstuvwxyz0123456789,")))),"")</f>
        <v/>
      </c>
      <c r="D254" s="15" t="str">
        <v/>
      </c>
      <c r="E254" s="16" t="str">
        <v/>
      </c>
      <c r="F254" s="15" t="str">
        <v/>
      </c>
      <c r="G254" s="20" t="str" cm="1">
        <f t="array" ref="G254">IF(TRIM(P254)="","",IF(SUM(COUNTIF(P254,{"*NLGD*","*FWG*"}))&gt;0,P254,IF(SUM(COUNTIF(P254,{"*GL*","*DGB*","*DGI*","*GT*","*CS*","*PWU*","*DBI*","*SWU*"}))=0,P254,IF(IFERROR(VALUE(SUBSTITUTE(SUBSTITUTE(O254,"W",""),"""","")),0)&gt;52,P254&amp;"-OVRSIZE-",P254))))</f>
        <v/>
      </c>
      <c r="H254" s="15" t="str">
        <v/>
      </c>
      <c r="I254" s="15" t="str">
        <v/>
      </c>
      <c r="J254" s="15" t="str">
        <v/>
      </c>
      <c r="K254" s="15" t="str">
        <v/>
      </c>
      <c r="L254" s="15" t="str">
        <v/>
      </c>
      <c r="M254" s="10" t="str">
        <v/>
      </c>
      <c r="N254" s="14"/>
      <c r="O254" s="15" t="str" cm="1">
        <f t="array" ref="O254">IFERROR(_xlfn.LET(
_xlpm.clean,TRIM(SUBSTITUTE(SUBSTITUTE(P254,CHAR(160),"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4" s="15"/>
      <c r="R254" t="str">
        <v/>
      </c>
      <c r="S254" t="str">
        <f t="shared" si="4"/>
        <v/>
      </c>
    </row>
    <row r="255" spans="1:19" ht="12.75">
      <c r="A255" s="15" t="str">
        <v/>
      </c>
      <c r="B255" s="15" t="str">
        <v/>
      </c>
      <c r="C255" s="15" t="str" cm="1">
        <f t="array" ref="C255">IFERROR(_xlfn.TEXTJOIN("",TRUE,_xlfn._xlws.FILTER(MID(S255,_xlfn.SEQUENCE(LEN(S255)),1),ISNUMBER(SEARCH(MID(S255,_xlfn.SEQUENCE(LEN(S255)),1),"ABCDEFGHIJKLMNOPQRSTUVWXYZabcdefghijklmnopqrstuvwxyz0123456789,")))),"")</f>
        <v/>
      </c>
      <c r="D255" s="15" t="str">
        <v/>
      </c>
      <c r="E255" s="16" t="str">
        <v/>
      </c>
      <c r="F255" s="15" t="str">
        <v/>
      </c>
      <c r="G255" s="20" t="str" cm="1">
        <f t="array" ref="G255">IF(TRIM(P255)="","",IF(SUM(COUNTIF(P255,{"*NLGD*","*FWG*"}))&gt;0,P255,IF(SUM(COUNTIF(P255,{"*GL*","*DGB*","*DGI*","*GT*","*CS*","*PWU*","*DBI*","*SWU*"}))=0,P255,IF(IFERROR(VALUE(SUBSTITUTE(SUBSTITUTE(O255,"W",""),"""","")),0)&gt;52,P255&amp;"-OVRSIZE-",P255))))</f>
        <v/>
      </c>
      <c r="H255" s="15" t="str">
        <v/>
      </c>
      <c r="I255" s="15" t="str">
        <v/>
      </c>
      <c r="J255" s="15" t="str">
        <v/>
      </c>
      <c r="K255" s="15" t="str">
        <v/>
      </c>
      <c r="L255" s="15" t="str">
        <v/>
      </c>
      <c r="M255" s="10" t="str">
        <v/>
      </c>
      <c r="N255" s="14"/>
      <c r="O255" s="15" t="str" cm="1">
        <f t="array" ref="O255">IFERROR(_xlfn.LET(
_xlpm.clean,TRIM(SUBSTITUTE(SUBSTITUTE(P255,CHAR(160),"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5" s="15"/>
      <c r="R255" t="str">
        <v/>
      </c>
      <c r="S255" t="str">
        <f t="shared" si="4"/>
        <v/>
      </c>
    </row>
    <row r="256" spans="1:19" ht="12.75">
      <c r="A256" s="15" t="str">
        <v/>
      </c>
      <c r="B256" s="15" t="str">
        <v/>
      </c>
      <c r="C256" s="15" t="str" cm="1">
        <f t="array" ref="C256">IFERROR(_xlfn.TEXTJOIN("",TRUE,_xlfn._xlws.FILTER(MID(S256,_xlfn.SEQUENCE(LEN(S256)),1),ISNUMBER(SEARCH(MID(S256,_xlfn.SEQUENCE(LEN(S256)),1),"ABCDEFGHIJKLMNOPQRSTUVWXYZabcdefghijklmnopqrstuvwxyz0123456789,")))),"")</f>
        <v/>
      </c>
      <c r="D256" s="15" t="str">
        <v/>
      </c>
      <c r="E256" s="16" t="str">
        <v/>
      </c>
      <c r="F256" s="15" t="str">
        <v/>
      </c>
      <c r="G256" s="20" t="str" cm="1">
        <f t="array" ref="G256">IF(TRIM(P256)="","",IF(SUM(COUNTIF(P256,{"*NLGD*","*FWG*"}))&gt;0,P256,IF(SUM(COUNTIF(P256,{"*GL*","*DGB*","*DGI*","*GT*","*CS*","*PWU*","*DBI*","*SWU*"}))=0,P256,IF(IFERROR(VALUE(SUBSTITUTE(SUBSTITUTE(O256,"W",""),"""","")),0)&gt;52,P256&amp;"-OVRSIZE-",P256))))</f>
        <v/>
      </c>
      <c r="H256" s="15" t="str">
        <v/>
      </c>
      <c r="I256" s="15" t="str">
        <v/>
      </c>
      <c r="J256" s="15" t="str">
        <v/>
      </c>
      <c r="K256" s="15" t="str">
        <v/>
      </c>
      <c r="L256" s="15" t="str">
        <v/>
      </c>
      <c r="M256" s="10" t="str">
        <v/>
      </c>
      <c r="N256" s="14"/>
      <c r="O256" s="15" t="str" cm="1">
        <f t="array" ref="O256">IFERROR(_xlfn.LET(
_xlpm.clean,TRIM(SUBSTITUTE(SUBSTITUTE(P256,CHAR(160),"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6" s="15"/>
      <c r="R256" t="str">
        <v/>
      </c>
      <c r="S256" t="str">
        <f t="shared" si="4"/>
        <v/>
      </c>
    </row>
    <row r="257" spans="1:19" ht="12.75">
      <c r="A257" s="15" t="str">
        <v/>
      </c>
      <c r="B257" s="15" t="str">
        <v/>
      </c>
      <c r="C257" s="15" t="str" cm="1">
        <f t="array" ref="C257">IFERROR(_xlfn.TEXTJOIN("",TRUE,_xlfn._xlws.FILTER(MID(S257,_xlfn.SEQUENCE(LEN(S257)),1),ISNUMBER(SEARCH(MID(S257,_xlfn.SEQUENCE(LEN(S257)),1),"ABCDEFGHIJKLMNOPQRSTUVWXYZabcdefghijklmnopqrstuvwxyz0123456789,")))),"")</f>
        <v/>
      </c>
      <c r="D257" s="15" t="str">
        <v/>
      </c>
      <c r="E257" s="16" t="str">
        <v/>
      </c>
      <c r="F257" s="15" t="str">
        <v/>
      </c>
      <c r="G257" s="20" t="str" cm="1">
        <f t="array" ref="G257">IF(TRIM(P257)="","",IF(SUM(COUNTIF(P257,{"*NLGD*","*FWG*"}))&gt;0,P257,IF(SUM(COUNTIF(P257,{"*GL*","*DGB*","*DGI*","*GT*","*CS*","*PWU*","*DBI*","*SWU*"}))=0,P257,IF(IFERROR(VALUE(SUBSTITUTE(SUBSTITUTE(O257,"W",""),"""","")),0)&gt;52,P257&amp;"-OVRSIZE-",P257))))</f>
        <v/>
      </c>
      <c r="H257" s="15" t="str">
        <v/>
      </c>
      <c r="I257" s="15" t="str">
        <v/>
      </c>
      <c r="J257" s="15" t="str">
        <v/>
      </c>
      <c r="K257" s="15" t="str">
        <v/>
      </c>
      <c r="L257" s="15" t="str">
        <v/>
      </c>
      <c r="M257" s="10" t="str">
        <v/>
      </c>
      <c r="N257" s="14"/>
      <c r="O257" s="15" t="str" cm="1">
        <f t="array" ref="O257">IFERROR(_xlfn.LET(
_xlpm.clean,TRIM(SUBSTITUTE(SUBSTITUTE(P257,CHAR(160),"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7" s="15"/>
      <c r="R257" t="str">
        <v/>
      </c>
      <c r="S257" t="str">
        <f t="shared" si="4"/>
        <v/>
      </c>
    </row>
    <row r="258" spans="1:19" ht="12.75">
      <c r="A258" s="15" t="str">
        <v/>
      </c>
      <c r="B258" s="15" t="str">
        <v/>
      </c>
      <c r="C258" s="15" t="str" cm="1">
        <f t="array" ref="C258">IFERROR(_xlfn.TEXTJOIN("",TRUE,_xlfn._xlws.FILTER(MID(S258,_xlfn.SEQUENCE(LEN(S258)),1),ISNUMBER(SEARCH(MID(S258,_xlfn.SEQUENCE(LEN(S258)),1),"ABCDEFGHIJKLMNOPQRSTUVWXYZabcdefghijklmnopqrstuvwxyz0123456789,")))),"")</f>
        <v/>
      </c>
      <c r="D258" s="15" t="str">
        <v/>
      </c>
      <c r="E258" s="16" t="str">
        <v/>
      </c>
      <c r="F258" s="15" t="str">
        <v/>
      </c>
      <c r="G258" s="20" t="str" cm="1">
        <f t="array" ref="G258">IF(TRIM(P258)="","",IF(SUM(COUNTIF(P258,{"*NLGD*","*FWG*"}))&gt;0,P258,IF(SUM(COUNTIF(P258,{"*GL*","*DGB*","*DGI*","*GT*","*CS*","*PWU*","*DBI*","*SWU*"}))=0,P258,IF(IFERROR(VALUE(SUBSTITUTE(SUBSTITUTE(O258,"W",""),"""","")),0)&gt;52,P258&amp;"-OVRSIZE-",P258))))</f>
        <v/>
      </c>
      <c r="H258" s="15" t="str">
        <v/>
      </c>
      <c r="I258" s="15" t="str">
        <v/>
      </c>
      <c r="J258" s="15" t="str">
        <v/>
      </c>
      <c r="K258" s="15" t="str">
        <v/>
      </c>
      <c r="L258" s="15" t="str">
        <v/>
      </c>
      <c r="M258" s="10" t="str">
        <v/>
      </c>
      <c r="N258" s="14"/>
      <c r="O258" s="15" t="str" cm="1">
        <f t="array" ref="O258">IFERROR(_xlfn.LET(
_xlpm.clean,TRIM(SUBSTITUTE(SUBSTITUTE(P258,CHAR(160),"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8" s="15"/>
      <c r="R258" t="str">
        <v/>
      </c>
      <c r="S258" t="str">
        <f t="shared" si="4"/>
        <v/>
      </c>
    </row>
    <row r="259" spans="1:19" ht="12.75">
      <c r="A259" s="15" t="str">
        <v/>
      </c>
      <c r="B259" s="15" t="str">
        <v/>
      </c>
      <c r="C259" s="15" t="str" cm="1">
        <f t="array" ref="C259">IFERROR(_xlfn.TEXTJOIN("",TRUE,_xlfn._xlws.FILTER(MID(S259,_xlfn.SEQUENCE(LEN(S259)),1),ISNUMBER(SEARCH(MID(S259,_xlfn.SEQUENCE(LEN(S259)),1),"ABCDEFGHIJKLMNOPQRSTUVWXYZabcdefghijklmnopqrstuvwxyz0123456789,")))),"")</f>
        <v/>
      </c>
      <c r="D259" s="15" t="str">
        <v/>
      </c>
      <c r="E259" s="16" t="str">
        <v/>
      </c>
      <c r="F259" s="15" t="str">
        <v/>
      </c>
      <c r="G259" s="20" t="str" cm="1">
        <f t="array" ref="G259">IF(TRIM(P259)="","",IF(SUM(COUNTIF(P259,{"*NLGD*","*FWG*"}))&gt;0,P259,IF(SUM(COUNTIF(P259,{"*GL*","*DGB*","*DGI*","*GT*","*CS*","*PWU*","*DBI*","*SWU*"}))=0,P259,IF(IFERROR(VALUE(SUBSTITUTE(SUBSTITUTE(O259,"W",""),"""","")),0)&gt;52,P259&amp;"-OVRSIZE-",P259))))</f>
        <v/>
      </c>
      <c r="H259" s="15" t="str">
        <v/>
      </c>
      <c r="I259" s="15" t="str">
        <v/>
      </c>
      <c r="J259" s="15" t="str">
        <v/>
      </c>
      <c r="K259" s="15" t="str">
        <v/>
      </c>
      <c r="L259" s="15" t="str">
        <v/>
      </c>
      <c r="M259" s="10" t="str">
        <v/>
      </c>
      <c r="N259" s="14"/>
      <c r="O259" s="15" t="str" cm="1">
        <f t="array" ref="O259">IFERROR(_xlfn.LET(
_xlpm.clean,TRIM(SUBSTITUTE(SUBSTITUTE(P259,CHAR(160),"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59" s="15"/>
      <c r="R259" t="str">
        <v/>
      </c>
      <c r="S259" t="str">
        <f t="shared" si="4"/>
        <v/>
      </c>
    </row>
    <row r="260" spans="1:19" ht="12.75">
      <c r="A260" s="15" t="str">
        <v/>
      </c>
      <c r="B260" s="15" t="str">
        <v/>
      </c>
      <c r="C260" s="15" t="str" cm="1">
        <f t="array" ref="C260">IFERROR(_xlfn.TEXTJOIN("",TRUE,_xlfn._xlws.FILTER(MID(S260,_xlfn.SEQUENCE(LEN(S260)),1),ISNUMBER(SEARCH(MID(S260,_xlfn.SEQUENCE(LEN(S260)),1),"ABCDEFGHIJKLMNOPQRSTUVWXYZabcdefghijklmnopqrstuvwxyz0123456789,")))),"")</f>
        <v/>
      </c>
      <c r="D260" s="15" t="str">
        <v/>
      </c>
      <c r="E260" s="16" t="str">
        <v/>
      </c>
      <c r="F260" s="15" t="str">
        <v/>
      </c>
      <c r="G260" s="20" t="str" cm="1">
        <f t="array" ref="G260">IF(TRIM(P260)="","",IF(SUM(COUNTIF(P260,{"*NLGD*","*FWG*"}))&gt;0,P260,IF(SUM(COUNTIF(P260,{"*GL*","*DGB*","*DGI*","*GT*","*CS*","*PWU*","*DBI*","*SWU*"}))=0,P260,IF(IFERROR(VALUE(SUBSTITUTE(SUBSTITUTE(O260,"W",""),"""","")),0)&gt;52,P260&amp;"-OVRSIZE-",P260))))</f>
        <v/>
      </c>
      <c r="H260" s="15" t="str">
        <v/>
      </c>
      <c r="I260" s="15" t="str">
        <v/>
      </c>
      <c r="J260" s="15" t="str">
        <v/>
      </c>
      <c r="K260" s="15" t="str">
        <v/>
      </c>
      <c r="L260" s="15" t="str">
        <v/>
      </c>
      <c r="M260" s="10" t="str">
        <v/>
      </c>
      <c r="N260" s="14"/>
      <c r="O260" s="15" t="str" cm="1">
        <f t="array" ref="O260">IFERROR(_xlfn.LET(
_xlpm.clean,TRIM(SUBSTITUTE(SUBSTITUTE(P260,CHAR(160),"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0" s="15"/>
      <c r="R260" t="str">
        <v/>
      </c>
      <c r="S260" t="str">
        <f t="shared" si="4"/>
        <v/>
      </c>
    </row>
    <row r="261" spans="1:19" ht="12.75">
      <c r="A261" s="15" t="str">
        <v/>
      </c>
      <c r="B261" s="15" t="str">
        <v/>
      </c>
      <c r="C261" s="15" t="str" cm="1">
        <f t="array" ref="C261">IFERROR(_xlfn.TEXTJOIN("",TRUE,_xlfn._xlws.FILTER(MID(S261,_xlfn.SEQUENCE(LEN(S261)),1),ISNUMBER(SEARCH(MID(S261,_xlfn.SEQUENCE(LEN(S261)),1),"ABCDEFGHIJKLMNOPQRSTUVWXYZabcdefghijklmnopqrstuvwxyz0123456789,")))),"")</f>
        <v/>
      </c>
      <c r="D261" s="15" t="str">
        <v/>
      </c>
      <c r="E261" s="16" t="str">
        <v/>
      </c>
      <c r="F261" s="15" t="str">
        <v/>
      </c>
      <c r="G261" s="20" t="str" cm="1">
        <f t="array" ref="G261">IF(TRIM(P261)="","",IF(SUM(COUNTIF(P261,{"*NLGD*","*FWG*"}))&gt;0,P261,IF(SUM(COUNTIF(P261,{"*GL*","*DGB*","*DGI*","*GT*","*CS*","*PWU*","*DBI*","*SWU*"}))=0,P261,IF(IFERROR(VALUE(SUBSTITUTE(SUBSTITUTE(O261,"W",""),"""","")),0)&gt;52,P261&amp;"-OVRSIZE-",P261))))</f>
        <v/>
      </c>
      <c r="H261" s="15" t="str">
        <v/>
      </c>
      <c r="I261" s="15" t="str">
        <v/>
      </c>
      <c r="J261" s="15" t="str">
        <v/>
      </c>
      <c r="K261" s="15" t="str">
        <v/>
      </c>
      <c r="L261" s="15" t="str">
        <v/>
      </c>
      <c r="M261" s="10" t="str">
        <v/>
      </c>
      <c r="N261" s="14"/>
      <c r="O261" s="15" t="str" cm="1">
        <f t="array" ref="O261">IFERROR(_xlfn.LET(
_xlpm.clean,TRIM(SUBSTITUTE(SUBSTITUTE(P261,CHAR(160),"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1" s="15"/>
      <c r="R261" t="str">
        <v/>
      </c>
      <c r="S261" t="str">
        <f t="shared" si="4"/>
        <v/>
      </c>
    </row>
    <row r="262" spans="1:19" ht="12.75">
      <c r="A262" s="15" t="str">
        <v/>
      </c>
      <c r="B262" s="15" t="str">
        <v/>
      </c>
      <c r="C262" s="15" t="str" cm="1">
        <f t="array" ref="C262">IFERROR(_xlfn.TEXTJOIN("",TRUE,_xlfn._xlws.FILTER(MID(S262,_xlfn.SEQUENCE(LEN(S262)),1),ISNUMBER(SEARCH(MID(S262,_xlfn.SEQUENCE(LEN(S262)),1),"ABCDEFGHIJKLMNOPQRSTUVWXYZabcdefghijklmnopqrstuvwxyz0123456789,")))),"")</f>
        <v/>
      </c>
      <c r="D262" s="15" t="str">
        <v/>
      </c>
      <c r="E262" s="16" t="str">
        <v/>
      </c>
      <c r="F262" s="15" t="str">
        <v/>
      </c>
      <c r="G262" s="20" t="str" cm="1">
        <f t="array" ref="G262">IF(TRIM(P262)="","",IF(SUM(COUNTIF(P262,{"*NLGD*","*FWG*"}))&gt;0,P262,IF(SUM(COUNTIF(P262,{"*GL*","*DGB*","*DGI*","*GT*","*CS*","*PWU*","*DBI*","*SWU*"}))=0,P262,IF(IFERROR(VALUE(SUBSTITUTE(SUBSTITUTE(O262,"W",""),"""","")),0)&gt;52,P262&amp;"-OVRSIZE-",P262))))</f>
        <v/>
      </c>
      <c r="H262" s="15" t="str">
        <v/>
      </c>
      <c r="I262" s="15" t="str">
        <v/>
      </c>
      <c r="J262" s="15" t="str">
        <v/>
      </c>
      <c r="K262" s="15" t="str">
        <v/>
      </c>
      <c r="L262" s="15" t="str">
        <v/>
      </c>
      <c r="M262" s="10" t="str">
        <v/>
      </c>
      <c r="N262" s="14"/>
      <c r="O262" s="15" t="str" cm="1">
        <f t="array" ref="O262">IFERROR(_xlfn.LET(
_xlpm.clean,TRIM(SUBSTITUTE(SUBSTITUTE(P262,CHAR(160),"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2" s="15"/>
      <c r="R262" t="str">
        <v/>
      </c>
      <c r="S262" t="str">
        <f t="shared" si="4"/>
        <v/>
      </c>
    </row>
    <row r="263" spans="1:19" ht="12.75">
      <c r="A263" s="15" t="str">
        <v/>
      </c>
      <c r="B263" s="15" t="str">
        <v/>
      </c>
      <c r="C263" s="15" t="str" cm="1">
        <f t="array" ref="C263">IFERROR(_xlfn.TEXTJOIN("",TRUE,_xlfn._xlws.FILTER(MID(S263,_xlfn.SEQUENCE(LEN(S263)),1),ISNUMBER(SEARCH(MID(S263,_xlfn.SEQUENCE(LEN(S263)),1),"ABCDEFGHIJKLMNOPQRSTUVWXYZabcdefghijklmnopqrstuvwxyz0123456789,")))),"")</f>
        <v/>
      </c>
      <c r="D263" s="15" t="str">
        <v/>
      </c>
      <c r="E263" s="16" t="str">
        <v/>
      </c>
      <c r="F263" s="15" t="str">
        <v/>
      </c>
      <c r="G263" s="20" t="str" cm="1">
        <f t="array" ref="G263">IF(TRIM(P263)="","",IF(SUM(COUNTIF(P263,{"*NLGD*","*FWG*"}))&gt;0,P263,IF(SUM(COUNTIF(P263,{"*GL*","*DGB*","*DGI*","*GT*","*CS*","*PWU*","*DBI*","*SWU*"}))=0,P263,IF(IFERROR(VALUE(SUBSTITUTE(SUBSTITUTE(O263,"W",""),"""","")),0)&gt;52,P263&amp;"-OVRSIZE-",P263))))</f>
        <v/>
      </c>
      <c r="H263" s="15" t="str">
        <v/>
      </c>
      <c r="I263" s="15" t="str">
        <v/>
      </c>
      <c r="J263" s="15" t="str">
        <v/>
      </c>
      <c r="K263" s="15" t="str">
        <v/>
      </c>
      <c r="L263" s="15" t="str">
        <v/>
      </c>
      <c r="M263" s="10" t="str">
        <v/>
      </c>
      <c r="N263" s="14"/>
      <c r="O263" s="15" t="str" cm="1">
        <f t="array" ref="O263">IFERROR(_xlfn.LET(
_xlpm.clean,TRIM(SUBSTITUTE(SUBSTITUTE(P263,CHAR(160),"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3" s="15"/>
      <c r="R263" t="str">
        <v/>
      </c>
      <c r="S263" t="str">
        <f t="shared" si="4"/>
        <v/>
      </c>
    </row>
    <row r="264" spans="1:19" ht="12.75">
      <c r="A264" s="15" t="str">
        <v/>
      </c>
      <c r="B264" s="15" t="str">
        <v/>
      </c>
      <c r="C264" s="15" t="str" cm="1">
        <f t="array" ref="C264">IFERROR(_xlfn.TEXTJOIN("",TRUE,_xlfn._xlws.FILTER(MID(S264,_xlfn.SEQUENCE(LEN(S264)),1),ISNUMBER(SEARCH(MID(S264,_xlfn.SEQUENCE(LEN(S264)),1),"ABCDEFGHIJKLMNOPQRSTUVWXYZabcdefghijklmnopqrstuvwxyz0123456789,")))),"")</f>
        <v/>
      </c>
      <c r="D264" s="15" t="str">
        <v/>
      </c>
      <c r="E264" s="16" t="str">
        <v/>
      </c>
      <c r="F264" s="15" t="str">
        <v/>
      </c>
      <c r="G264" s="20" t="str" cm="1">
        <f t="array" ref="G264">IF(TRIM(P264)="","",IF(SUM(COUNTIF(P264,{"*NLGD*","*FWG*"}))&gt;0,P264,IF(SUM(COUNTIF(P264,{"*GL*","*DGB*","*DGI*","*GT*","*CS*","*PWU*","*DBI*","*SWU*"}))=0,P264,IF(IFERROR(VALUE(SUBSTITUTE(SUBSTITUTE(O264,"W",""),"""","")),0)&gt;52,P264&amp;"-OVRSIZE-",P264))))</f>
        <v/>
      </c>
      <c r="H264" s="15" t="str">
        <v/>
      </c>
      <c r="I264" s="15" t="str">
        <v/>
      </c>
      <c r="J264" s="15" t="str">
        <v/>
      </c>
      <c r="K264" s="15" t="str">
        <v/>
      </c>
      <c r="L264" s="15" t="str">
        <v/>
      </c>
      <c r="M264" s="10" t="str">
        <v/>
      </c>
      <c r="N264" s="14"/>
      <c r="O264" s="15" t="str" cm="1">
        <f t="array" ref="O264">IFERROR(_xlfn.LET(
_xlpm.clean,TRIM(SUBSTITUTE(SUBSTITUTE(P264,CHAR(160),"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4" s="15"/>
      <c r="R264" t="str">
        <v/>
      </c>
      <c r="S264" t="str">
        <f t="shared" ref="S264:S327" si="5">IF(R264="","",_xlfn.LET(
_xlpm.x,TRIM(SUBSTITUTE(SUBSTITUTE(SUBSTITUTE(SUBSTITUTE(R264,":","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265" spans="1:19" ht="12.75">
      <c r="A265" s="15" t="str">
        <v/>
      </c>
      <c r="B265" s="15" t="str">
        <v/>
      </c>
      <c r="C265" s="15" t="str" cm="1">
        <f t="array" ref="C265">IFERROR(_xlfn.TEXTJOIN("",TRUE,_xlfn._xlws.FILTER(MID(S265,_xlfn.SEQUENCE(LEN(S265)),1),ISNUMBER(SEARCH(MID(S265,_xlfn.SEQUENCE(LEN(S265)),1),"ABCDEFGHIJKLMNOPQRSTUVWXYZabcdefghijklmnopqrstuvwxyz0123456789,")))),"")</f>
        <v/>
      </c>
      <c r="D265" s="15" t="str">
        <v/>
      </c>
      <c r="E265" s="16" t="str">
        <v/>
      </c>
      <c r="F265" s="15" t="str">
        <v/>
      </c>
      <c r="G265" s="20" t="str" cm="1">
        <f t="array" ref="G265">IF(TRIM(P265)="","",IF(SUM(COUNTIF(P265,{"*NLGD*","*FWG*"}))&gt;0,P265,IF(SUM(COUNTIF(P265,{"*GL*","*DGB*","*DGI*","*GT*","*CS*","*PWU*","*DBI*","*SWU*"}))=0,P265,IF(IFERROR(VALUE(SUBSTITUTE(SUBSTITUTE(O265,"W",""),"""","")),0)&gt;52,P265&amp;"-OVRSIZE-",P265))))</f>
        <v/>
      </c>
      <c r="H265" s="15" t="str">
        <v/>
      </c>
      <c r="I265" s="15" t="str">
        <v/>
      </c>
      <c r="J265" s="15" t="str">
        <v/>
      </c>
      <c r="K265" s="15" t="str">
        <v/>
      </c>
      <c r="L265" s="15" t="str">
        <v/>
      </c>
      <c r="M265" s="10" t="str">
        <v/>
      </c>
      <c r="N265" s="14"/>
      <c r="O265" s="15" t="str" cm="1">
        <f t="array" ref="O265">IFERROR(_xlfn.LET(
_xlpm.clean,TRIM(SUBSTITUTE(SUBSTITUTE(P265,CHAR(160),"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5" s="15"/>
      <c r="R265" t="str">
        <v/>
      </c>
      <c r="S265" t="str">
        <f t="shared" si="5"/>
        <v/>
      </c>
    </row>
    <row r="266" spans="1:19" ht="12.75">
      <c r="A266" s="15" t="str">
        <v/>
      </c>
      <c r="B266" s="15" t="str">
        <v/>
      </c>
      <c r="C266" s="15" t="str" cm="1">
        <f t="array" ref="C266">IFERROR(_xlfn.TEXTJOIN("",TRUE,_xlfn._xlws.FILTER(MID(S266,_xlfn.SEQUENCE(LEN(S266)),1),ISNUMBER(SEARCH(MID(S266,_xlfn.SEQUENCE(LEN(S266)),1),"ABCDEFGHIJKLMNOPQRSTUVWXYZabcdefghijklmnopqrstuvwxyz0123456789,")))),"")</f>
        <v/>
      </c>
      <c r="D266" s="15" t="str">
        <v/>
      </c>
      <c r="E266" s="16" t="str">
        <v/>
      </c>
      <c r="F266" s="15" t="str">
        <v/>
      </c>
      <c r="G266" s="20" t="str" cm="1">
        <f t="array" ref="G266">IF(TRIM(P266)="","",IF(SUM(COUNTIF(P266,{"*NLGD*","*FWG*"}))&gt;0,P266,IF(SUM(COUNTIF(P266,{"*GL*","*DGB*","*DGI*","*GT*","*CS*","*PWU*","*DBI*","*SWU*"}))=0,P266,IF(IFERROR(VALUE(SUBSTITUTE(SUBSTITUTE(O266,"W",""),"""","")),0)&gt;52,P266&amp;"-OVRSIZE-",P266))))</f>
        <v/>
      </c>
      <c r="H266" s="15" t="str">
        <v/>
      </c>
      <c r="I266" s="15" t="str">
        <v/>
      </c>
      <c r="J266" s="15" t="str">
        <v/>
      </c>
      <c r="K266" s="15" t="str">
        <v/>
      </c>
      <c r="L266" s="15" t="str">
        <v/>
      </c>
      <c r="M266" s="10" t="str">
        <v/>
      </c>
      <c r="N266" s="14"/>
      <c r="O266" s="15" t="str" cm="1">
        <f t="array" ref="O266">IFERROR(_xlfn.LET(
_xlpm.clean,TRIM(SUBSTITUTE(SUBSTITUTE(P266,CHAR(160),"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6" s="15"/>
      <c r="R266" t="str">
        <v/>
      </c>
      <c r="S266" t="str">
        <f t="shared" si="5"/>
        <v/>
      </c>
    </row>
    <row r="267" spans="1:19" ht="12.75">
      <c r="A267" s="15" t="str">
        <v/>
      </c>
      <c r="B267" s="15" t="str">
        <v/>
      </c>
      <c r="C267" s="15" t="str" cm="1">
        <f t="array" ref="C267">IFERROR(_xlfn.TEXTJOIN("",TRUE,_xlfn._xlws.FILTER(MID(S267,_xlfn.SEQUENCE(LEN(S267)),1),ISNUMBER(SEARCH(MID(S267,_xlfn.SEQUENCE(LEN(S267)),1),"ABCDEFGHIJKLMNOPQRSTUVWXYZabcdefghijklmnopqrstuvwxyz0123456789,")))),"")</f>
        <v/>
      </c>
      <c r="D267" s="15" t="str">
        <v/>
      </c>
      <c r="E267" s="16" t="str">
        <v/>
      </c>
      <c r="F267" s="15" t="str">
        <v/>
      </c>
      <c r="G267" s="20" t="str" cm="1">
        <f t="array" ref="G267">IF(TRIM(P267)="","",IF(SUM(COUNTIF(P267,{"*NLGD*","*FWG*"}))&gt;0,P267,IF(SUM(COUNTIF(P267,{"*GL*","*DGB*","*DGI*","*GT*","*CS*","*PWU*","*DBI*","*SWU*"}))=0,P267,IF(IFERROR(VALUE(SUBSTITUTE(SUBSTITUTE(O267,"W",""),"""","")),0)&gt;52,P267&amp;"-OVRSIZE-",P267))))</f>
        <v/>
      </c>
      <c r="H267" s="15" t="str">
        <v/>
      </c>
      <c r="I267" s="15" t="str">
        <v/>
      </c>
      <c r="J267" s="15" t="str">
        <v/>
      </c>
      <c r="K267" s="15" t="str">
        <v/>
      </c>
      <c r="L267" s="15" t="str">
        <v/>
      </c>
      <c r="M267" s="10" t="str">
        <v/>
      </c>
      <c r="N267" s="14"/>
      <c r="O267" s="15" t="str" cm="1">
        <f t="array" ref="O267">IFERROR(_xlfn.LET(
_xlpm.clean,TRIM(SUBSTITUTE(SUBSTITUTE(P267,CHAR(160),"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7" s="15"/>
      <c r="R267" t="str">
        <v/>
      </c>
      <c r="S267" t="str">
        <f t="shared" si="5"/>
        <v/>
      </c>
    </row>
    <row r="268" spans="1:19" ht="12.75">
      <c r="A268" s="15" t="str">
        <v/>
      </c>
      <c r="B268" s="15" t="str">
        <v/>
      </c>
      <c r="C268" s="15" t="str" cm="1">
        <f t="array" ref="C268">IFERROR(_xlfn.TEXTJOIN("",TRUE,_xlfn._xlws.FILTER(MID(S268,_xlfn.SEQUENCE(LEN(S268)),1),ISNUMBER(SEARCH(MID(S268,_xlfn.SEQUENCE(LEN(S268)),1),"ABCDEFGHIJKLMNOPQRSTUVWXYZabcdefghijklmnopqrstuvwxyz0123456789,")))),"")</f>
        <v/>
      </c>
      <c r="D268" s="15" t="str">
        <v/>
      </c>
      <c r="E268" s="16" t="str">
        <v/>
      </c>
      <c r="F268" s="15" t="str">
        <v/>
      </c>
      <c r="G268" s="20" t="str" cm="1">
        <f t="array" ref="G268">IF(TRIM(P268)="","",IF(SUM(COUNTIF(P268,{"*NLGD*","*FWG*"}))&gt;0,P268,IF(SUM(COUNTIF(P268,{"*GL*","*DGB*","*DGI*","*GT*","*CS*","*PWU*","*DBI*","*SWU*"}))=0,P268,IF(IFERROR(VALUE(SUBSTITUTE(SUBSTITUTE(O268,"W",""),"""","")),0)&gt;52,P268&amp;"-OVRSIZE-",P268))))</f>
        <v/>
      </c>
      <c r="H268" s="15" t="str">
        <v/>
      </c>
      <c r="I268" s="15" t="str">
        <v/>
      </c>
      <c r="J268" s="15" t="str">
        <v/>
      </c>
      <c r="K268" s="15" t="str">
        <v/>
      </c>
      <c r="L268" s="15" t="str">
        <v/>
      </c>
      <c r="M268" s="10" t="str">
        <v/>
      </c>
      <c r="N268" s="14"/>
      <c r="O268" s="15" t="str" cm="1">
        <f t="array" ref="O268">IFERROR(_xlfn.LET(
_xlpm.clean,TRIM(SUBSTITUTE(SUBSTITUTE(P268,CHAR(160),"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8" s="15"/>
      <c r="R268" t="str">
        <v/>
      </c>
      <c r="S268" t="str">
        <f t="shared" si="5"/>
        <v/>
      </c>
    </row>
    <row r="269" spans="1:19" ht="12.75">
      <c r="A269" s="15" t="str">
        <v/>
      </c>
      <c r="B269" s="15" t="str">
        <v/>
      </c>
      <c r="C269" s="15" t="str" cm="1">
        <f t="array" ref="C269">IFERROR(_xlfn.TEXTJOIN("",TRUE,_xlfn._xlws.FILTER(MID(S269,_xlfn.SEQUENCE(LEN(S269)),1),ISNUMBER(SEARCH(MID(S269,_xlfn.SEQUENCE(LEN(S269)),1),"ABCDEFGHIJKLMNOPQRSTUVWXYZabcdefghijklmnopqrstuvwxyz0123456789,")))),"")</f>
        <v/>
      </c>
      <c r="D269" s="15" t="str">
        <v/>
      </c>
      <c r="E269" s="16" t="str">
        <v/>
      </c>
      <c r="F269" s="15" t="str">
        <v/>
      </c>
      <c r="G269" s="20" t="str" cm="1">
        <f t="array" ref="G269">IF(TRIM(P269)="","",IF(SUM(COUNTIF(P269,{"*NLGD*","*FWG*"}))&gt;0,P269,IF(SUM(COUNTIF(P269,{"*GL*","*DGB*","*DGI*","*GT*","*CS*","*PWU*","*DBI*","*SWU*"}))=0,P269,IF(IFERROR(VALUE(SUBSTITUTE(SUBSTITUTE(O269,"W",""),"""","")),0)&gt;52,P269&amp;"-OVRSIZE-",P269))))</f>
        <v/>
      </c>
      <c r="H269" s="15" t="str">
        <v/>
      </c>
      <c r="I269" s="15" t="str">
        <v/>
      </c>
      <c r="J269" s="15" t="str">
        <v/>
      </c>
      <c r="K269" s="15" t="str">
        <v/>
      </c>
      <c r="L269" s="15" t="str">
        <v/>
      </c>
      <c r="M269" s="10" t="str">
        <v/>
      </c>
      <c r="N269" s="14"/>
      <c r="O269" s="15" t="str" cm="1">
        <f t="array" ref="O269">IFERROR(_xlfn.LET(
_xlpm.clean,TRIM(SUBSTITUTE(SUBSTITUTE(P269,CHAR(160),"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69" s="15"/>
      <c r="R269" t="str">
        <v/>
      </c>
      <c r="S269" t="str">
        <f t="shared" si="5"/>
        <v/>
      </c>
    </row>
    <row r="270" spans="1:19" ht="12.75">
      <c r="A270" s="15" t="str">
        <v/>
      </c>
      <c r="B270" s="15" t="str">
        <v/>
      </c>
      <c r="C270" s="15" t="str" cm="1">
        <f t="array" ref="C270">IFERROR(_xlfn.TEXTJOIN("",TRUE,_xlfn._xlws.FILTER(MID(S270,_xlfn.SEQUENCE(LEN(S270)),1),ISNUMBER(SEARCH(MID(S270,_xlfn.SEQUENCE(LEN(S270)),1),"ABCDEFGHIJKLMNOPQRSTUVWXYZabcdefghijklmnopqrstuvwxyz0123456789,")))),"")</f>
        <v/>
      </c>
      <c r="D270" s="15" t="str">
        <v/>
      </c>
      <c r="E270" s="16" t="str">
        <v/>
      </c>
      <c r="F270" s="15" t="str">
        <v/>
      </c>
      <c r="G270" s="20" t="str" cm="1">
        <f t="array" ref="G270">IF(TRIM(P270)="","",IF(SUM(COUNTIF(P270,{"*NLGD*","*FWG*"}))&gt;0,P270,IF(SUM(COUNTIF(P270,{"*GL*","*DGB*","*DGI*","*GT*","*CS*","*PWU*","*DBI*","*SWU*"}))=0,P270,IF(IFERROR(VALUE(SUBSTITUTE(SUBSTITUTE(O270,"W",""),"""","")),0)&gt;52,P270&amp;"-OVRSIZE-",P270))))</f>
        <v/>
      </c>
      <c r="H270" s="15" t="str">
        <v/>
      </c>
      <c r="I270" s="15" t="str">
        <v/>
      </c>
      <c r="J270" s="15" t="str">
        <v/>
      </c>
      <c r="K270" s="15" t="str">
        <v/>
      </c>
      <c r="L270" s="15" t="str">
        <v/>
      </c>
      <c r="M270" s="10" t="str">
        <v/>
      </c>
      <c r="N270" s="14"/>
      <c r="O270" s="15" t="str" cm="1">
        <f t="array" ref="O270">IFERROR(_xlfn.LET(
_xlpm.clean,TRIM(SUBSTITUTE(SUBSTITUTE(P270,CHAR(160),"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0" s="15"/>
      <c r="R270" t="str">
        <v/>
      </c>
      <c r="S270" t="str">
        <f t="shared" si="5"/>
        <v/>
      </c>
    </row>
    <row r="271" spans="1:19" ht="12.75">
      <c r="A271" s="15" t="str">
        <v/>
      </c>
      <c r="B271" s="15" t="str">
        <v/>
      </c>
      <c r="C271" s="15" t="str" cm="1">
        <f t="array" ref="C271">IFERROR(_xlfn.TEXTJOIN("",TRUE,_xlfn._xlws.FILTER(MID(S271,_xlfn.SEQUENCE(LEN(S271)),1),ISNUMBER(SEARCH(MID(S271,_xlfn.SEQUENCE(LEN(S271)),1),"ABCDEFGHIJKLMNOPQRSTUVWXYZabcdefghijklmnopqrstuvwxyz0123456789,")))),"")</f>
        <v/>
      </c>
      <c r="D271" s="15" t="str">
        <v/>
      </c>
      <c r="E271" s="16" t="str">
        <v/>
      </c>
      <c r="F271" s="15" t="str">
        <v/>
      </c>
      <c r="G271" s="20" t="str" cm="1">
        <f t="array" ref="G271">IF(TRIM(P271)="","",IF(SUM(COUNTIF(P271,{"*NLGD*","*FWG*"}))&gt;0,P271,IF(SUM(COUNTIF(P271,{"*GL*","*DGB*","*DGI*","*GT*","*CS*","*PWU*","*DBI*","*SWU*"}))=0,P271,IF(IFERROR(VALUE(SUBSTITUTE(SUBSTITUTE(O271,"W",""),"""","")),0)&gt;52,P271&amp;"-OVRSIZE-",P271))))</f>
        <v/>
      </c>
      <c r="H271" s="15" t="str">
        <v/>
      </c>
      <c r="I271" s="15" t="str">
        <v/>
      </c>
      <c r="J271" s="15" t="str">
        <v/>
      </c>
      <c r="K271" s="15" t="str">
        <v/>
      </c>
      <c r="L271" s="15" t="str">
        <v/>
      </c>
      <c r="M271" s="10" t="str">
        <v/>
      </c>
      <c r="N271" s="14"/>
      <c r="O271" s="15" t="str" cm="1">
        <f t="array" ref="O271">IFERROR(_xlfn.LET(
_xlpm.clean,TRIM(SUBSTITUTE(SUBSTITUTE(P271,CHAR(160),"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1" s="15"/>
      <c r="R271" t="str">
        <v/>
      </c>
      <c r="S271" t="str">
        <f t="shared" si="5"/>
        <v/>
      </c>
    </row>
    <row r="272" spans="1:19" ht="12.75">
      <c r="A272" s="15" t="str">
        <v/>
      </c>
      <c r="B272" s="15" t="str">
        <v/>
      </c>
      <c r="C272" s="15" t="str" cm="1">
        <f t="array" ref="C272">IFERROR(_xlfn.TEXTJOIN("",TRUE,_xlfn._xlws.FILTER(MID(S272,_xlfn.SEQUENCE(LEN(S272)),1),ISNUMBER(SEARCH(MID(S272,_xlfn.SEQUENCE(LEN(S272)),1),"ABCDEFGHIJKLMNOPQRSTUVWXYZabcdefghijklmnopqrstuvwxyz0123456789,")))),"")</f>
        <v/>
      </c>
      <c r="D272" s="15" t="str">
        <v/>
      </c>
      <c r="E272" s="16" t="str">
        <v/>
      </c>
      <c r="F272" s="15" t="str">
        <v/>
      </c>
      <c r="G272" s="20" t="str" cm="1">
        <f t="array" ref="G272">IF(TRIM(P272)="","",IF(SUM(COUNTIF(P272,{"*NLGD*","*FWG*"}))&gt;0,P272,IF(SUM(COUNTIF(P272,{"*GL*","*DGB*","*DGI*","*GT*","*CS*","*PWU*","*DBI*","*SWU*"}))=0,P272,IF(IFERROR(VALUE(SUBSTITUTE(SUBSTITUTE(O272,"W",""),"""","")),0)&gt;52,P272&amp;"-OVRSIZE-",P272))))</f>
        <v/>
      </c>
      <c r="H272" s="15" t="str">
        <v/>
      </c>
      <c r="I272" s="15" t="str">
        <v/>
      </c>
      <c r="J272" s="15" t="str">
        <v/>
      </c>
      <c r="K272" s="15" t="str">
        <v/>
      </c>
      <c r="L272" s="15" t="str">
        <v/>
      </c>
      <c r="M272" s="10" t="str">
        <v/>
      </c>
      <c r="N272" s="14"/>
      <c r="O272" s="15" t="str" cm="1">
        <f t="array" ref="O272">IFERROR(_xlfn.LET(
_xlpm.clean,TRIM(SUBSTITUTE(SUBSTITUTE(P272,CHAR(160),"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2" s="15"/>
      <c r="R272" t="str">
        <v/>
      </c>
      <c r="S272" t="str">
        <f t="shared" si="5"/>
        <v/>
      </c>
    </row>
    <row r="273" spans="1:19" ht="12.75">
      <c r="A273" s="15" t="str">
        <v/>
      </c>
      <c r="B273" s="15" t="str">
        <v/>
      </c>
      <c r="C273" s="15" t="str" cm="1">
        <f t="array" ref="C273">IFERROR(_xlfn.TEXTJOIN("",TRUE,_xlfn._xlws.FILTER(MID(S273,_xlfn.SEQUENCE(LEN(S273)),1),ISNUMBER(SEARCH(MID(S273,_xlfn.SEQUENCE(LEN(S273)),1),"ABCDEFGHIJKLMNOPQRSTUVWXYZabcdefghijklmnopqrstuvwxyz0123456789,")))),"")</f>
        <v/>
      </c>
      <c r="D273" s="15" t="str">
        <v/>
      </c>
      <c r="E273" s="16" t="str">
        <v/>
      </c>
      <c r="F273" s="15" t="str">
        <v/>
      </c>
      <c r="G273" s="20" t="str" cm="1">
        <f t="array" ref="G273">IF(TRIM(P273)="","",IF(SUM(COUNTIF(P273,{"*NLGD*","*FWG*"}))&gt;0,P273,IF(SUM(COUNTIF(P273,{"*GL*","*DGB*","*DGI*","*GT*","*CS*","*PWU*","*DBI*","*SWU*"}))=0,P273,IF(IFERROR(VALUE(SUBSTITUTE(SUBSTITUTE(O273,"W",""),"""","")),0)&gt;52,P273&amp;"-OVRSIZE-",P273))))</f>
        <v/>
      </c>
      <c r="H273" s="15" t="str">
        <v/>
      </c>
      <c r="I273" s="15" t="str">
        <v/>
      </c>
      <c r="J273" s="15" t="str">
        <v/>
      </c>
      <c r="K273" s="15" t="str">
        <v/>
      </c>
      <c r="L273" s="15" t="str">
        <v/>
      </c>
      <c r="M273" s="10" t="str">
        <v/>
      </c>
      <c r="N273" s="14"/>
      <c r="O273" s="15" t="str" cm="1">
        <f t="array" ref="O273">IFERROR(_xlfn.LET(
_xlpm.clean,TRIM(SUBSTITUTE(SUBSTITUTE(P273,CHAR(160),"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3" s="15"/>
      <c r="R273" t="str">
        <v/>
      </c>
      <c r="S273" t="str">
        <f t="shared" si="5"/>
        <v/>
      </c>
    </row>
    <row r="274" spans="1:19" ht="12.75">
      <c r="A274" s="15" t="str">
        <v/>
      </c>
      <c r="B274" s="15" t="str">
        <v/>
      </c>
      <c r="C274" s="15" t="str" cm="1">
        <f t="array" ref="C274">IFERROR(_xlfn.TEXTJOIN("",TRUE,_xlfn._xlws.FILTER(MID(S274,_xlfn.SEQUENCE(LEN(S274)),1),ISNUMBER(SEARCH(MID(S274,_xlfn.SEQUENCE(LEN(S274)),1),"ABCDEFGHIJKLMNOPQRSTUVWXYZabcdefghijklmnopqrstuvwxyz0123456789,")))),"")</f>
        <v/>
      </c>
      <c r="D274" s="15" t="str">
        <v/>
      </c>
      <c r="E274" s="16" t="str">
        <v/>
      </c>
      <c r="F274" s="15" t="str">
        <v/>
      </c>
      <c r="G274" s="20" t="str" cm="1">
        <f t="array" ref="G274">IF(TRIM(P274)="","",IF(SUM(COUNTIF(P274,{"*NLGD*","*FWG*"}))&gt;0,P274,IF(SUM(COUNTIF(P274,{"*GL*","*DGB*","*DGI*","*GT*","*CS*","*PWU*","*DBI*","*SWU*"}))=0,P274,IF(IFERROR(VALUE(SUBSTITUTE(SUBSTITUTE(O274,"W",""),"""","")),0)&gt;52,P274&amp;"-OVRSIZE-",P274))))</f>
        <v/>
      </c>
      <c r="H274" s="15" t="str">
        <v/>
      </c>
      <c r="I274" s="15" t="str">
        <v/>
      </c>
      <c r="J274" s="15" t="str">
        <v/>
      </c>
      <c r="K274" s="15" t="str">
        <v/>
      </c>
      <c r="L274" s="15" t="str">
        <v/>
      </c>
      <c r="M274" s="10" t="str">
        <v/>
      </c>
      <c r="N274" s="14"/>
      <c r="O274" s="15" t="str" cm="1">
        <f t="array" ref="O274">IFERROR(_xlfn.LET(
_xlpm.clean,TRIM(SUBSTITUTE(SUBSTITUTE(P274,CHAR(160),"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4" s="15"/>
      <c r="R274" t="str">
        <v/>
      </c>
      <c r="S274" t="str">
        <f t="shared" si="5"/>
        <v/>
      </c>
    </row>
    <row r="275" spans="1:19" ht="12.75">
      <c r="A275" s="15" t="str">
        <v/>
      </c>
      <c r="B275" s="15" t="str">
        <v/>
      </c>
      <c r="C275" s="15" t="str" cm="1">
        <f t="array" ref="C275">IFERROR(_xlfn.TEXTJOIN("",TRUE,_xlfn._xlws.FILTER(MID(S275,_xlfn.SEQUENCE(LEN(S275)),1),ISNUMBER(SEARCH(MID(S275,_xlfn.SEQUENCE(LEN(S275)),1),"ABCDEFGHIJKLMNOPQRSTUVWXYZabcdefghijklmnopqrstuvwxyz0123456789,")))),"")</f>
        <v/>
      </c>
      <c r="D275" s="15" t="str">
        <v/>
      </c>
      <c r="E275" s="16" t="str">
        <v/>
      </c>
      <c r="F275" s="15" t="str">
        <v/>
      </c>
      <c r="G275" s="20" t="str" cm="1">
        <f t="array" ref="G275">IF(TRIM(P275)="","",IF(SUM(COUNTIF(P275,{"*NLGD*","*FWG*"}))&gt;0,P275,IF(SUM(COUNTIF(P275,{"*GL*","*DGB*","*DGI*","*GT*","*CS*","*PWU*","*DBI*","*SWU*"}))=0,P275,IF(IFERROR(VALUE(SUBSTITUTE(SUBSTITUTE(O275,"W",""),"""","")),0)&gt;52,P275&amp;"-OVRSIZE-",P275))))</f>
        <v/>
      </c>
      <c r="H275" s="15" t="str">
        <v/>
      </c>
      <c r="I275" s="15" t="str">
        <v/>
      </c>
      <c r="J275" s="15" t="str">
        <v/>
      </c>
      <c r="K275" s="15" t="str">
        <v/>
      </c>
      <c r="L275" s="15" t="str">
        <v/>
      </c>
      <c r="M275" s="10" t="str">
        <v/>
      </c>
      <c r="N275" s="14"/>
      <c r="O275" s="15" t="str" cm="1">
        <f t="array" ref="O275">IFERROR(_xlfn.LET(
_xlpm.clean,TRIM(SUBSTITUTE(SUBSTITUTE(P275,CHAR(160),"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5" s="15"/>
      <c r="R275" t="str">
        <v/>
      </c>
      <c r="S275" t="str">
        <f t="shared" si="5"/>
        <v/>
      </c>
    </row>
    <row r="276" spans="1:19" ht="12.75">
      <c r="A276" s="15" t="str">
        <v/>
      </c>
      <c r="B276" s="15" t="str">
        <v/>
      </c>
      <c r="C276" s="15" t="str" cm="1">
        <f t="array" ref="C276">IFERROR(_xlfn.TEXTJOIN("",TRUE,_xlfn._xlws.FILTER(MID(S276,_xlfn.SEQUENCE(LEN(S276)),1),ISNUMBER(SEARCH(MID(S276,_xlfn.SEQUENCE(LEN(S276)),1),"ABCDEFGHIJKLMNOPQRSTUVWXYZabcdefghijklmnopqrstuvwxyz0123456789,")))),"")</f>
        <v/>
      </c>
      <c r="D276" s="15" t="str">
        <v/>
      </c>
      <c r="E276" s="16" t="str">
        <v/>
      </c>
      <c r="F276" s="15" t="str">
        <v/>
      </c>
      <c r="G276" s="20" t="str" cm="1">
        <f t="array" ref="G276">IF(TRIM(P276)="","",IF(SUM(COUNTIF(P276,{"*NLGD*","*FWG*"}))&gt;0,P276,IF(SUM(COUNTIF(P276,{"*GL*","*DGB*","*DGI*","*GT*","*CS*","*PWU*","*DBI*","*SWU*"}))=0,P276,IF(IFERROR(VALUE(SUBSTITUTE(SUBSTITUTE(O276,"W",""),"""","")),0)&gt;52,P276&amp;"-OVRSIZE-",P276))))</f>
        <v/>
      </c>
      <c r="H276" s="15" t="str">
        <v/>
      </c>
      <c r="I276" s="15" t="str">
        <v/>
      </c>
      <c r="J276" s="15" t="str">
        <v/>
      </c>
      <c r="K276" s="15" t="str">
        <v/>
      </c>
      <c r="L276" s="15" t="str">
        <v/>
      </c>
      <c r="M276" s="10" t="str">
        <v/>
      </c>
      <c r="N276" s="14"/>
      <c r="O276" s="15" t="str" cm="1">
        <f t="array" ref="O276">IFERROR(_xlfn.LET(
_xlpm.clean,TRIM(SUBSTITUTE(SUBSTITUTE(P276,CHAR(160),"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6" s="15"/>
      <c r="R276" t="str">
        <v/>
      </c>
      <c r="S276" t="str">
        <f t="shared" si="5"/>
        <v/>
      </c>
    </row>
    <row r="277" spans="1:19" ht="12.75">
      <c r="A277" s="15" t="str">
        <v/>
      </c>
      <c r="B277" s="15" t="str">
        <v/>
      </c>
      <c r="C277" s="15" t="str" cm="1">
        <f t="array" ref="C277">IFERROR(_xlfn.TEXTJOIN("",TRUE,_xlfn._xlws.FILTER(MID(S277,_xlfn.SEQUENCE(LEN(S277)),1),ISNUMBER(SEARCH(MID(S277,_xlfn.SEQUENCE(LEN(S277)),1),"ABCDEFGHIJKLMNOPQRSTUVWXYZabcdefghijklmnopqrstuvwxyz0123456789,")))),"")</f>
        <v/>
      </c>
      <c r="D277" s="15" t="str">
        <v/>
      </c>
      <c r="E277" s="16" t="str">
        <v/>
      </c>
      <c r="F277" s="15" t="str">
        <v/>
      </c>
      <c r="G277" s="20" t="str" cm="1">
        <f t="array" ref="G277">IF(TRIM(P277)="","",IF(SUM(COUNTIF(P277,{"*NLGD*","*FWG*"}))&gt;0,P277,IF(SUM(COUNTIF(P277,{"*GL*","*DGB*","*DGI*","*GT*","*CS*","*PWU*","*DBI*","*SWU*"}))=0,P277,IF(IFERROR(VALUE(SUBSTITUTE(SUBSTITUTE(O277,"W",""),"""","")),0)&gt;52,P277&amp;"-OVRSIZE-",P277))))</f>
        <v/>
      </c>
      <c r="H277" s="15" t="str">
        <v/>
      </c>
      <c r="I277" s="15" t="str">
        <v/>
      </c>
      <c r="J277" s="15" t="str">
        <v/>
      </c>
      <c r="K277" s="15" t="str">
        <v/>
      </c>
      <c r="L277" s="15" t="str">
        <v/>
      </c>
      <c r="M277" s="10" t="str">
        <v/>
      </c>
      <c r="N277" s="14"/>
      <c r="O277" s="15" t="str" cm="1">
        <f t="array" ref="O277">IFERROR(_xlfn.LET(
_xlpm.clean,TRIM(SUBSTITUTE(SUBSTITUTE(P277,CHAR(160),"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7" s="15"/>
      <c r="R277" t="str">
        <v/>
      </c>
      <c r="S277" t="str">
        <f t="shared" si="5"/>
        <v/>
      </c>
    </row>
    <row r="278" spans="1:19" ht="12.75">
      <c r="A278" s="15" t="str">
        <v/>
      </c>
      <c r="B278" s="15" t="str">
        <v/>
      </c>
      <c r="C278" s="15" t="str" cm="1">
        <f t="array" ref="C278">IFERROR(_xlfn.TEXTJOIN("",TRUE,_xlfn._xlws.FILTER(MID(S278,_xlfn.SEQUENCE(LEN(S278)),1),ISNUMBER(SEARCH(MID(S278,_xlfn.SEQUENCE(LEN(S278)),1),"ABCDEFGHIJKLMNOPQRSTUVWXYZabcdefghijklmnopqrstuvwxyz0123456789,")))),"")</f>
        <v/>
      </c>
      <c r="D278" s="15" t="str">
        <v/>
      </c>
      <c r="E278" s="16" t="str">
        <v/>
      </c>
      <c r="F278" s="15" t="str">
        <v/>
      </c>
      <c r="G278" s="20" t="str" cm="1">
        <f t="array" ref="G278">IF(TRIM(P278)="","",IF(SUM(COUNTIF(P278,{"*NLGD*","*FWG*"}))&gt;0,P278,IF(SUM(COUNTIF(P278,{"*GL*","*DGB*","*DGI*","*GT*","*CS*","*PWU*","*DBI*","*SWU*"}))=0,P278,IF(IFERROR(VALUE(SUBSTITUTE(SUBSTITUTE(O278,"W",""),"""","")),0)&gt;52,P278&amp;"-OVRSIZE-",P278))))</f>
        <v/>
      </c>
      <c r="H278" s="15" t="str">
        <v/>
      </c>
      <c r="I278" s="15" t="str">
        <v/>
      </c>
      <c r="J278" s="15" t="str">
        <v/>
      </c>
      <c r="K278" s="15" t="str">
        <v/>
      </c>
      <c r="L278" s="15" t="str">
        <v/>
      </c>
      <c r="M278" s="10" t="str">
        <v/>
      </c>
      <c r="N278" s="14"/>
      <c r="O278" s="15" t="str" cm="1">
        <f t="array" ref="O278">IFERROR(_xlfn.LET(
_xlpm.clean,TRIM(SUBSTITUTE(SUBSTITUTE(P278,CHAR(160),"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8" s="15"/>
      <c r="R278" t="str">
        <v/>
      </c>
      <c r="S278" t="str">
        <f t="shared" si="5"/>
        <v/>
      </c>
    </row>
    <row r="279" spans="1:19" ht="12.75">
      <c r="A279" s="15" t="str">
        <v/>
      </c>
      <c r="B279" s="15" t="str">
        <v/>
      </c>
      <c r="C279" s="15" t="str" cm="1">
        <f t="array" ref="C279">IFERROR(_xlfn.TEXTJOIN("",TRUE,_xlfn._xlws.FILTER(MID(S279,_xlfn.SEQUENCE(LEN(S279)),1),ISNUMBER(SEARCH(MID(S279,_xlfn.SEQUENCE(LEN(S279)),1),"ABCDEFGHIJKLMNOPQRSTUVWXYZabcdefghijklmnopqrstuvwxyz0123456789,")))),"")</f>
        <v/>
      </c>
      <c r="D279" s="15" t="str">
        <v/>
      </c>
      <c r="E279" s="16" t="str">
        <v/>
      </c>
      <c r="F279" s="15" t="str">
        <v/>
      </c>
      <c r="G279" s="20" t="str" cm="1">
        <f t="array" ref="G279">IF(TRIM(P279)="","",IF(SUM(COUNTIF(P279,{"*NLGD*","*FWG*"}))&gt;0,P279,IF(SUM(COUNTIF(P279,{"*GL*","*DGB*","*DGI*","*GT*","*CS*","*PWU*","*DBI*","*SWU*"}))=0,P279,IF(IFERROR(VALUE(SUBSTITUTE(SUBSTITUTE(O279,"W",""),"""","")),0)&gt;52,P279&amp;"-OVRSIZE-",P279))))</f>
        <v/>
      </c>
      <c r="H279" s="15" t="str">
        <v/>
      </c>
      <c r="I279" s="15" t="str">
        <v/>
      </c>
      <c r="J279" s="15" t="str">
        <v/>
      </c>
      <c r="K279" s="15" t="str">
        <v/>
      </c>
      <c r="L279" s="15" t="str">
        <v/>
      </c>
      <c r="M279" s="10" t="str">
        <v/>
      </c>
      <c r="N279" s="14"/>
      <c r="O279" s="15" t="str" cm="1">
        <f t="array" ref="O279">IFERROR(_xlfn.LET(
_xlpm.clean,TRIM(SUBSTITUTE(SUBSTITUTE(P279,CHAR(160),"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79" s="15"/>
      <c r="R279" t="str">
        <v/>
      </c>
      <c r="S279" t="str">
        <f t="shared" si="5"/>
        <v/>
      </c>
    </row>
    <row r="280" spans="1:19" ht="12.75">
      <c r="A280" s="15" t="str">
        <v/>
      </c>
      <c r="B280" s="15" t="str">
        <v/>
      </c>
      <c r="C280" s="15" t="str" cm="1">
        <f t="array" ref="C280">IFERROR(_xlfn.TEXTJOIN("",TRUE,_xlfn._xlws.FILTER(MID(S280,_xlfn.SEQUENCE(LEN(S280)),1),ISNUMBER(SEARCH(MID(S280,_xlfn.SEQUENCE(LEN(S280)),1),"ABCDEFGHIJKLMNOPQRSTUVWXYZabcdefghijklmnopqrstuvwxyz0123456789,")))),"")</f>
        <v/>
      </c>
      <c r="D280" s="15" t="str">
        <v/>
      </c>
      <c r="E280" s="16" t="str">
        <v/>
      </c>
      <c r="F280" s="15" t="str">
        <v/>
      </c>
      <c r="G280" s="20" t="str" cm="1">
        <f t="array" ref="G280">IF(TRIM(P280)="","",IF(SUM(COUNTIF(P280,{"*NLGD*","*FWG*"}))&gt;0,P280,IF(SUM(COUNTIF(P280,{"*GL*","*DGB*","*DGI*","*GT*","*CS*","*PWU*","*DBI*","*SWU*"}))=0,P280,IF(IFERROR(VALUE(SUBSTITUTE(SUBSTITUTE(O280,"W",""),"""","")),0)&gt;52,P280&amp;"-OVRSIZE-",P280))))</f>
        <v/>
      </c>
      <c r="H280" s="15" t="str">
        <v/>
      </c>
      <c r="I280" s="15" t="str">
        <v/>
      </c>
      <c r="J280" s="15" t="str">
        <v/>
      </c>
      <c r="K280" s="15" t="str">
        <v/>
      </c>
      <c r="L280" s="15" t="str">
        <v/>
      </c>
      <c r="M280" s="10" t="str">
        <v/>
      </c>
      <c r="N280" s="14"/>
      <c r="O280" s="15" t="str" cm="1">
        <f t="array" ref="O280">IFERROR(_xlfn.LET(
_xlpm.clean,TRIM(SUBSTITUTE(SUBSTITUTE(P280,CHAR(160),"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0" s="15"/>
      <c r="R280" t="str">
        <v/>
      </c>
      <c r="S280" t="str">
        <f t="shared" si="5"/>
        <v/>
      </c>
    </row>
    <row r="281" spans="1:19" ht="12.75">
      <c r="A281" s="15" t="str">
        <v/>
      </c>
      <c r="B281" s="15" t="str">
        <v/>
      </c>
      <c r="C281" s="15" t="str" cm="1">
        <f t="array" ref="C281">IFERROR(_xlfn.TEXTJOIN("",TRUE,_xlfn._xlws.FILTER(MID(S281,_xlfn.SEQUENCE(LEN(S281)),1),ISNUMBER(SEARCH(MID(S281,_xlfn.SEQUENCE(LEN(S281)),1),"ABCDEFGHIJKLMNOPQRSTUVWXYZabcdefghijklmnopqrstuvwxyz0123456789,")))),"")</f>
        <v/>
      </c>
      <c r="D281" s="15" t="str">
        <v/>
      </c>
      <c r="E281" s="16" t="str">
        <v/>
      </c>
      <c r="F281" s="15" t="str">
        <v/>
      </c>
      <c r="G281" s="20" t="str" cm="1">
        <f t="array" ref="G281">IF(TRIM(P281)="","",IF(SUM(COUNTIF(P281,{"*NLGD*","*FWG*"}))&gt;0,P281,IF(SUM(COUNTIF(P281,{"*GL*","*DGB*","*DGI*","*GT*","*CS*","*PWU*","*DBI*","*SWU*"}))=0,P281,IF(IFERROR(VALUE(SUBSTITUTE(SUBSTITUTE(O281,"W",""),"""","")),0)&gt;52,P281&amp;"-OVRSIZE-",P281))))</f>
        <v/>
      </c>
      <c r="H281" s="15" t="str">
        <v/>
      </c>
      <c r="I281" s="15" t="str">
        <v/>
      </c>
      <c r="J281" s="15" t="str">
        <v/>
      </c>
      <c r="K281" s="15" t="str">
        <v/>
      </c>
      <c r="L281" s="15" t="str">
        <v/>
      </c>
      <c r="M281" s="10" t="str">
        <v/>
      </c>
      <c r="N281" s="14"/>
      <c r="O281" s="15" t="str" cm="1">
        <f t="array" ref="O281">IFERROR(_xlfn.LET(
_xlpm.clean,TRIM(SUBSTITUTE(SUBSTITUTE(P281,CHAR(160),"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1" s="15"/>
      <c r="R281" t="str">
        <v/>
      </c>
      <c r="S281" t="str">
        <f t="shared" si="5"/>
        <v/>
      </c>
    </row>
    <row r="282" spans="1:19" ht="12.75">
      <c r="A282" s="15" t="str">
        <v/>
      </c>
      <c r="B282" s="15" t="str">
        <v/>
      </c>
      <c r="C282" s="15" t="str" cm="1">
        <f t="array" ref="C282">IFERROR(_xlfn.TEXTJOIN("",TRUE,_xlfn._xlws.FILTER(MID(S282,_xlfn.SEQUENCE(LEN(S282)),1),ISNUMBER(SEARCH(MID(S282,_xlfn.SEQUENCE(LEN(S282)),1),"ABCDEFGHIJKLMNOPQRSTUVWXYZabcdefghijklmnopqrstuvwxyz0123456789,")))),"")</f>
        <v/>
      </c>
      <c r="D282" s="15" t="str">
        <v/>
      </c>
      <c r="E282" s="16" t="str">
        <v/>
      </c>
      <c r="F282" s="15" t="str">
        <v/>
      </c>
      <c r="G282" s="20" t="str" cm="1">
        <f t="array" ref="G282">IF(TRIM(P282)="","",IF(SUM(COUNTIF(P282,{"*NLGD*","*FWG*"}))&gt;0,P282,IF(SUM(COUNTIF(P282,{"*GL*","*DGB*","*DGI*","*GT*","*CS*","*PWU*","*DBI*","*SWU*"}))=0,P282,IF(IFERROR(VALUE(SUBSTITUTE(SUBSTITUTE(O282,"W",""),"""","")),0)&gt;52,P282&amp;"-OVRSIZE-",P282))))</f>
        <v/>
      </c>
      <c r="H282" s="15" t="str">
        <v/>
      </c>
      <c r="I282" s="15" t="str">
        <v/>
      </c>
      <c r="J282" s="15" t="str">
        <v/>
      </c>
      <c r="K282" s="15" t="str">
        <v/>
      </c>
      <c r="L282" s="15" t="str">
        <v/>
      </c>
      <c r="M282" s="10" t="str">
        <v/>
      </c>
      <c r="N282" s="14"/>
      <c r="O282" s="15" t="str" cm="1">
        <f t="array" ref="O282">IFERROR(_xlfn.LET(
_xlpm.clean,TRIM(SUBSTITUTE(SUBSTITUTE(P282,CHAR(160),"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2" s="15"/>
      <c r="R282" t="str">
        <v/>
      </c>
      <c r="S282" t="str">
        <f t="shared" si="5"/>
        <v/>
      </c>
    </row>
    <row r="283" spans="1:19" ht="12.75">
      <c r="A283" s="15" t="str">
        <v/>
      </c>
      <c r="B283" s="15" t="str">
        <v/>
      </c>
      <c r="C283" s="15" t="str" cm="1">
        <f t="array" ref="C283">IFERROR(_xlfn.TEXTJOIN("",TRUE,_xlfn._xlws.FILTER(MID(S283,_xlfn.SEQUENCE(LEN(S283)),1),ISNUMBER(SEARCH(MID(S283,_xlfn.SEQUENCE(LEN(S283)),1),"ABCDEFGHIJKLMNOPQRSTUVWXYZabcdefghijklmnopqrstuvwxyz0123456789,")))),"")</f>
        <v/>
      </c>
      <c r="D283" s="15" t="str">
        <v/>
      </c>
      <c r="E283" s="16" t="str">
        <v/>
      </c>
      <c r="F283" s="15" t="str">
        <v/>
      </c>
      <c r="G283" s="20" t="str" cm="1">
        <f t="array" ref="G283">IF(TRIM(P283)="","",IF(SUM(COUNTIF(P283,{"*NLGD*","*FWG*"}))&gt;0,P283,IF(SUM(COUNTIF(P283,{"*GL*","*DGB*","*DGI*","*GT*","*CS*","*PWU*","*DBI*","*SWU*"}))=0,P283,IF(IFERROR(VALUE(SUBSTITUTE(SUBSTITUTE(O283,"W",""),"""","")),0)&gt;52,P283&amp;"-OVRSIZE-",P283))))</f>
        <v/>
      </c>
      <c r="H283" s="15" t="str">
        <v/>
      </c>
      <c r="I283" s="15" t="str">
        <v/>
      </c>
      <c r="J283" s="15" t="str">
        <v/>
      </c>
      <c r="K283" s="15" t="str">
        <v/>
      </c>
      <c r="L283" s="15" t="str">
        <v/>
      </c>
      <c r="M283" s="10" t="str">
        <v/>
      </c>
      <c r="N283" s="14"/>
      <c r="O283" s="15" t="str" cm="1">
        <f t="array" ref="O283">IFERROR(_xlfn.LET(
_xlpm.clean,TRIM(SUBSTITUTE(SUBSTITUTE(P283,CHAR(160),"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3" s="15"/>
      <c r="R283" t="str">
        <v/>
      </c>
      <c r="S283" t="str">
        <f t="shared" si="5"/>
        <v/>
      </c>
    </row>
    <row r="284" spans="1:19" ht="12.75">
      <c r="A284" s="15" t="str">
        <v/>
      </c>
      <c r="B284" s="15" t="str">
        <v/>
      </c>
      <c r="C284" s="15" t="str" cm="1">
        <f t="array" ref="C284">IFERROR(_xlfn.TEXTJOIN("",TRUE,_xlfn._xlws.FILTER(MID(S284,_xlfn.SEQUENCE(LEN(S284)),1),ISNUMBER(SEARCH(MID(S284,_xlfn.SEQUENCE(LEN(S284)),1),"ABCDEFGHIJKLMNOPQRSTUVWXYZabcdefghijklmnopqrstuvwxyz0123456789,")))),"")</f>
        <v/>
      </c>
      <c r="D284" s="15" t="str">
        <v/>
      </c>
      <c r="E284" s="16" t="str">
        <v/>
      </c>
      <c r="F284" s="15" t="str">
        <v/>
      </c>
      <c r="G284" s="20" t="str" cm="1">
        <f t="array" ref="G284">IF(TRIM(P284)="","",IF(SUM(COUNTIF(P284,{"*NLGD*","*FWG*"}))&gt;0,P284,IF(SUM(COUNTIF(P284,{"*GL*","*DGB*","*DGI*","*GT*","*CS*","*PWU*","*DBI*","*SWU*"}))=0,P284,IF(IFERROR(VALUE(SUBSTITUTE(SUBSTITUTE(O284,"W",""),"""","")),0)&gt;52,P284&amp;"-OVRSIZE-",P284))))</f>
        <v/>
      </c>
      <c r="H284" s="15" t="str">
        <v/>
      </c>
      <c r="I284" s="15" t="str">
        <v/>
      </c>
      <c r="J284" s="15" t="str">
        <v/>
      </c>
      <c r="K284" s="15" t="str">
        <v/>
      </c>
      <c r="L284" s="15" t="str">
        <v/>
      </c>
      <c r="M284" s="10" t="str">
        <v/>
      </c>
      <c r="N284" s="14"/>
      <c r="O284" s="15" t="str" cm="1">
        <f t="array" ref="O284">IFERROR(_xlfn.LET(
_xlpm.clean,TRIM(SUBSTITUTE(SUBSTITUTE(P284,CHAR(160),"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4" s="15"/>
      <c r="R284" t="str">
        <v/>
      </c>
      <c r="S284" t="str">
        <f t="shared" si="5"/>
        <v/>
      </c>
    </row>
    <row r="285" spans="1:19" ht="12.75">
      <c r="A285" s="15" t="str">
        <v/>
      </c>
      <c r="B285" s="15" t="str">
        <v/>
      </c>
      <c r="C285" s="15" t="str" cm="1">
        <f t="array" ref="C285">IFERROR(_xlfn.TEXTJOIN("",TRUE,_xlfn._xlws.FILTER(MID(S285,_xlfn.SEQUENCE(LEN(S285)),1),ISNUMBER(SEARCH(MID(S285,_xlfn.SEQUENCE(LEN(S285)),1),"ABCDEFGHIJKLMNOPQRSTUVWXYZabcdefghijklmnopqrstuvwxyz0123456789,")))),"")</f>
        <v/>
      </c>
      <c r="D285" s="15" t="str">
        <v/>
      </c>
      <c r="E285" s="16" t="str">
        <v/>
      </c>
      <c r="F285" s="15" t="str">
        <v/>
      </c>
      <c r="G285" s="20" t="str" cm="1">
        <f t="array" ref="G285">IF(TRIM(P285)="","",IF(SUM(COUNTIF(P285,{"*NLGD*","*FWG*"}))&gt;0,P285,IF(SUM(COUNTIF(P285,{"*GL*","*DGB*","*DGI*","*GT*","*CS*","*PWU*","*DBI*","*SWU*"}))=0,P285,IF(IFERROR(VALUE(SUBSTITUTE(SUBSTITUTE(O285,"W",""),"""","")),0)&gt;52,P285&amp;"-OVRSIZE-",P285))))</f>
        <v/>
      </c>
      <c r="H285" s="15" t="str">
        <v/>
      </c>
      <c r="I285" s="15" t="str">
        <v/>
      </c>
      <c r="J285" s="15" t="str">
        <v/>
      </c>
      <c r="K285" s="15" t="str">
        <v/>
      </c>
      <c r="L285" s="15" t="str">
        <v/>
      </c>
      <c r="M285" s="10" t="str">
        <v/>
      </c>
      <c r="N285" s="14"/>
      <c r="O285" s="15" t="str" cm="1">
        <f t="array" ref="O285">IFERROR(_xlfn.LET(
_xlpm.clean,TRIM(SUBSTITUTE(SUBSTITUTE(P285,CHAR(160),"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5" s="15"/>
      <c r="R285" t="str">
        <v/>
      </c>
      <c r="S285" t="str">
        <f t="shared" si="5"/>
        <v/>
      </c>
    </row>
    <row r="286" spans="1:19" ht="12.75">
      <c r="A286" s="15" t="str">
        <v/>
      </c>
      <c r="B286" s="15" t="str">
        <v/>
      </c>
      <c r="C286" s="15" t="str" cm="1">
        <f t="array" ref="C286">IFERROR(_xlfn.TEXTJOIN("",TRUE,_xlfn._xlws.FILTER(MID(S286,_xlfn.SEQUENCE(LEN(S286)),1),ISNUMBER(SEARCH(MID(S286,_xlfn.SEQUENCE(LEN(S286)),1),"ABCDEFGHIJKLMNOPQRSTUVWXYZabcdefghijklmnopqrstuvwxyz0123456789,")))),"")</f>
        <v/>
      </c>
      <c r="D286" s="15" t="str">
        <v/>
      </c>
      <c r="E286" s="16" t="str">
        <v/>
      </c>
      <c r="F286" s="15" t="str">
        <v/>
      </c>
      <c r="G286" s="20" t="str" cm="1">
        <f t="array" ref="G286">IF(TRIM(P286)="","",IF(SUM(COUNTIF(P286,{"*NLGD*","*FWG*"}))&gt;0,P286,IF(SUM(COUNTIF(P286,{"*GL*","*DGB*","*DGI*","*GT*","*CS*","*PWU*","*DBI*","*SWU*"}))=0,P286,IF(IFERROR(VALUE(SUBSTITUTE(SUBSTITUTE(O286,"W",""),"""","")),0)&gt;52,P286&amp;"-OVRSIZE-",P286))))</f>
        <v/>
      </c>
      <c r="H286" s="15" t="str">
        <v/>
      </c>
      <c r="I286" s="15" t="str">
        <v/>
      </c>
      <c r="J286" s="15" t="str">
        <v/>
      </c>
      <c r="K286" s="15" t="str">
        <v/>
      </c>
      <c r="L286" s="15" t="str">
        <v/>
      </c>
      <c r="M286" s="10" t="str">
        <v/>
      </c>
      <c r="N286" s="14"/>
      <c r="O286" s="15" t="str" cm="1">
        <f t="array" ref="O286">IFERROR(_xlfn.LET(
_xlpm.clean,TRIM(SUBSTITUTE(SUBSTITUTE(P286,CHAR(160),"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6" s="15"/>
      <c r="R286" t="str">
        <v/>
      </c>
      <c r="S286" t="str">
        <f t="shared" si="5"/>
        <v/>
      </c>
    </row>
    <row r="287" spans="1:19" ht="12.75">
      <c r="A287" s="15" t="str">
        <v/>
      </c>
      <c r="B287" s="15" t="str">
        <v/>
      </c>
      <c r="C287" s="15" t="str" cm="1">
        <f t="array" ref="C287">IFERROR(_xlfn.TEXTJOIN("",TRUE,_xlfn._xlws.FILTER(MID(S287,_xlfn.SEQUENCE(LEN(S287)),1),ISNUMBER(SEARCH(MID(S287,_xlfn.SEQUENCE(LEN(S287)),1),"ABCDEFGHIJKLMNOPQRSTUVWXYZabcdefghijklmnopqrstuvwxyz0123456789,")))),"")</f>
        <v/>
      </c>
      <c r="D287" s="15" t="str">
        <v/>
      </c>
      <c r="E287" s="16" t="str">
        <v/>
      </c>
      <c r="F287" s="15" t="str">
        <v/>
      </c>
      <c r="G287" s="20" t="str" cm="1">
        <f t="array" ref="G287">IF(TRIM(P287)="","",IF(SUM(COUNTIF(P287,{"*NLGD*","*FWG*"}))&gt;0,P287,IF(SUM(COUNTIF(P287,{"*GL*","*DGB*","*DGI*","*GT*","*CS*","*PWU*","*DBI*","*SWU*"}))=0,P287,IF(IFERROR(VALUE(SUBSTITUTE(SUBSTITUTE(O287,"W",""),"""","")),0)&gt;52,P287&amp;"-OVRSIZE-",P287))))</f>
        <v/>
      </c>
      <c r="H287" s="15" t="str">
        <v/>
      </c>
      <c r="I287" s="15" t="str">
        <v/>
      </c>
      <c r="J287" s="15" t="str">
        <v/>
      </c>
      <c r="K287" s="15" t="str">
        <v/>
      </c>
      <c r="L287" s="15" t="str">
        <v/>
      </c>
      <c r="M287" s="10" t="str">
        <v/>
      </c>
      <c r="N287" s="14"/>
      <c r="O287" s="15" t="str" cm="1">
        <f t="array" ref="O287">IFERROR(_xlfn.LET(
_xlpm.clean,TRIM(SUBSTITUTE(SUBSTITUTE(P287,CHAR(160),"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7" s="15"/>
      <c r="R287" t="str">
        <v/>
      </c>
      <c r="S287" t="str">
        <f t="shared" si="5"/>
        <v/>
      </c>
    </row>
    <row r="288" spans="1:19" ht="12.75">
      <c r="A288" s="15" t="str">
        <v/>
      </c>
      <c r="B288" s="15" t="str">
        <v/>
      </c>
      <c r="C288" s="15" t="str" cm="1">
        <f t="array" ref="C288">IFERROR(_xlfn.TEXTJOIN("",TRUE,_xlfn._xlws.FILTER(MID(S288,_xlfn.SEQUENCE(LEN(S288)),1),ISNUMBER(SEARCH(MID(S288,_xlfn.SEQUENCE(LEN(S288)),1),"ABCDEFGHIJKLMNOPQRSTUVWXYZabcdefghijklmnopqrstuvwxyz0123456789,")))),"")</f>
        <v/>
      </c>
      <c r="D288" s="15" t="str">
        <v/>
      </c>
      <c r="E288" s="16" t="str">
        <v/>
      </c>
      <c r="F288" s="15" t="str">
        <v/>
      </c>
      <c r="G288" s="20" t="str" cm="1">
        <f t="array" ref="G288">IF(TRIM(P288)="","",IF(SUM(COUNTIF(P288,{"*NLGD*","*FWG*"}))&gt;0,P288,IF(SUM(COUNTIF(P288,{"*GL*","*DGB*","*DGI*","*GT*","*CS*","*PWU*","*DBI*","*SWU*"}))=0,P288,IF(IFERROR(VALUE(SUBSTITUTE(SUBSTITUTE(O288,"W",""),"""","")),0)&gt;52,P288&amp;"-OVRSIZE-",P288))))</f>
        <v/>
      </c>
      <c r="H288" s="15" t="str">
        <v/>
      </c>
      <c r="I288" s="15" t="str">
        <v/>
      </c>
      <c r="J288" s="15" t="str">
        <v/>
      </c>
      <c r="K288" s="15" t="str">
        <v/>
      </c>
      <c r="L288" s="15" t="str">
        <v/>
      </c>
      <c r="M288" s="10" t="str">
        <v/>
      </c>
      <c r="N288" s="14"/>
      <c r="O288" s="15" t="str" cm="1">
        <f t="array" ref="O288">IFERROR(_xlfn.LET(
_xlpm.clean,TRIM(SUBSTITUTE(SUBSTITUTE(P288,CHAR(160),"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8" s="15"/>
      <c r="R288" t="str">
        <v/>
      </c>
      <c r="S288" t="str">
        <f t="shared" si="5"/>
        <v/>
      </c>
    </row>
    <row r="289" spans="1:19" ht="12.75">
      <c r="A289" s="15" t="str">
        <v/>
      </c>
      <c r="B289" s="15" t="str">
        <v/>
      </c>
      <c r="C289" s="15" t="str" cm="1">
        <f t="array" ref="C289">IFERROR(_xlfn.TEXTJOIN("",TRUE,_xlfn._xlws.FILTER(MID(S289,_xlfn.SEQUENCE(LEN(S289)),1),ISNUMBER(SEARCH(MID(S289,_xlfn.SEQUENCE(LEN(S289)),1),"ABCDEFGHIJKLMNOPQRSTUVWXYZabcdefghijklmnopqrstuvwxyz0123456789,")))),"")</f>
        <v/>
      </c>
      <c r="D289" s="15" t="str">
        <v/>
      </c>
      <c r="E289" s="16" t="str">
        <v/>
      </c>
      <c r="F289" s="15" t="str">
        <v/>
      </c>
      <c r="G289" s="20" t="str" cm="1">
        <f t="array" ref="G289">IF(TRIM(P289)="","",IF(SUM(COUNTIF(P289,{"*NLGD*","*FWG*"}))&gt;0,P289,IF(SUM(COUNTIF(P289,{"*GL*","*DGB*","*DGI*","*GT*","*CS*","*PWU*","*DBI*","*SWU*"}))=0,P289,IF(IFERROR(VALUE(SUBSTITUTE(SUBSTITUTE(O289,"W",""),"""","")),0)&gt;52,P289&amp;"-OVRSIZE-",P289))))</f>
        <v/>
      </c>
      <c r="H289" s="15" t="str">
        <v/>
      </c>
      <c r="I289" s="15" t="str">
        <v/>
      </c>
      <c r="J289" s="15" t="str">
        <v/>
      </c>
      <c r="K289" s="15" t="str">
        <v/>
      </c>
      <c r="L289" s="15" t="str">
        <v/>
      </c>
      <c r="M289" s="10" t="str">
        <v/>
      </c>
      <c r="N289" s="14"/>
      <c r="O289" s="15" t="str" cm="1">
        <f t="array" ref="O289">IFERROR(_xlfn.LET(
_xlpm.clean,TRIM(SUBSTITUTE(SUBSTITUTE(P289,CHAR(160),"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89" s="15"/>
      <c r="R289" t="str">
        <v/>
      </c>
      <c r="S289" t="str">
        <f t="shared" si="5"/>
        <v/>
      </c>
    </row>
    <row r="290" spans="1:19" ht="12.75">
      <c r="A290" s="15" t="str">
        <v/>
      </c>
      <c r="B290" s="15" t="str">
        <v/>
      </c>
      <c r="C290" s="15" t="str" cm="1">
        <f t="array" ref="C290">IFERROR(_xlfn.TEXTJOIN("",TRUE,_xlfn._xlws.FILTER(MID(S290,_xlfn.SEQUENCE(LEN(S290)),1),ISNUMBER(SEARCH(MID(S290,_xlfn.SEQUENCE(LEN(S290)),1),"ABCDEFGHIJKLMNOPQRSTUVWXYZabcdefghijklmnopqrstuvwxyz0123456789,")))),"")</f>
        <v/>
      </c>
      <c r="D290" s="15" t="str">
        <v/>
      </c>
      <c r="E290" s="16" t="str">
        <v/>
      </c>
      <c r="F290" s="15" t="str">
        <v/>
      </c>
      <c r="G290" s="20" t="str" cm="1">
        <f t="array" ref="G290">IF(TRIM(P290)="","",IF(SUM(COUNTIF(P290,{"*NLGD*","*FWG*"}))&gt;0,P290,IF(SUM(COUNTIF(P290,{"*GL*","*DGB*","*DGI*","*GT*","*CS*","*PWU*","*DBI*","*SWU*"}))=0,P290,IF(IFERROR(VALUE(SUBSTITUTE(SUBSTITUTE(O290,"W",""),"""","")),0)&gt;52,P290&amp;"-OVRSIZE-",P290))))</f>
        <v/>
      </c>
      <c r="H290" s="15" t="str">
        <v/>
      </c>
      <c r="I290" s="15" t="str">
        <v/>
      </c>
      <c r="J290" s="15" t="str">
        <v/>
      </c>
      <c r="K290" s="15" t="str">
        <v/>
      </c>
      <c r="L290" s="15" t="str">
        <v/>
      </c>
      <c r="M290" s="10" t="str">
        <v/>
      </c>
      <c r="N290" s="14"/>
      <c r="O290" s="15" t="str" cm="1">
        <f t="array" ref="O290">IFERROR(_xlfn.LET(
_xlpm.clean,TRIM(SUBSTITUTE(SUBSTITUTE(P290,CHAR(160),"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0" s="15"/>
      <c r="R290" t="str">
        <v/>
      </c>
      <c r="S290" t="str">
        <f t="shared" si="5"/>
        <v/>
      </c>
    </row>
    <row r="291" spans="1:19" ht="12.75">
      <c r="A291" s="15" t="str">
        <v/>
      </c>
      <c r="B291" s="15" t="str">
        <v/>
      </c>
      <c r="C291" s="15" t="str" cm="1">
        <f t="array" ref="C291">IFERROR(_xlfn.TEXTJOIN("",TRUE,_xlfn._xlws.FILTER(MID(S291,_xlfn.SEQUENCE(LEN(S291)),1),ISNUMBER(SEARCH(MID(S291,_xlfn.SEQUENCE(LEN(S291)),1),"ABCDEFGHIJKLMNOPQRSTUVWXYZabcdefghijklmnopqrstuvwxyz0123456789,")))),"")</f>
        <v/>
      </c>
      <c r="D291" s="15" t="str">
        <v/>
      </c>
      <c r="E291" s="16" t="str">
        <v/>
      </c>
      <c r="F291" s="15" t="str">
        <v/>
      </c>
      <c r="G291" s="20" t="str" cm="1">
        <f t="array" ref="G291">IF(TRIM(P291)="","",IF(SUM(COUNTIF(P291,{"*NLGD*","*FWG*"}))&gt;0,P291,IF(SUM(COUNTIF(P291,{"*GL*","*DGB*","*DGI*","*GT*","*CS*","*PWU*","*DBI*","*SWU*"}))=0,P291,IF(IFERROR(VALUE(SUBSTITUTE(SUBSTITUTE(O291,"W",""),"""","")),0)&gt;52,P291&amp;"-OVRSIZE-",P291))))</f>
        <v/>
      </c>
      <c r="H291" s="15" t="str">
        <v/>
      </c>
      <c r="I291" s="15" t="str">
        <v/>
      </c>
      <c r="J291" s="15" t="str">
        <v/>
      </c>
      <c r="K291" s="15" t="str">
        <v/>
      </c>
      <c r="L291" s="15" t="str">
        <v/>
      </c>
      <c r="M291" s="10" t="str">
        <v/>
      </c>
      <c r="N291" s="14"/>
      <c r="O291" s="15" t="str" cm="1">
        <f t="array" ref="O291">IFERROR(_xlfn.LET(
_xlpm.clean,TRIM(SUBSTITUTE(SUBSTITUTE(P291,CHAR(160),"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1" s="15"/>
      <c r="R291" t="str">
        <v/>
      </c>
      <c r="S291" t="str">
        <f t="shared" si="5"/>
        <v/>
      </c>
    </row>
    <row r="292" spans="1:19" ht="12.75">
      <c r="A292" s="15" t="str">
        <v/>
      </c>
      <c r="B292" s="15" t="str">
        <v/>
      </c>
      <c r="C292" s="15" t="str" cm="1">
        <f t="array" ref="C292">IFERROR(_xlfn.TEXTJOIN("",TRUE,_xlfn._xlws.FILTER(MID(S292,_xlfn.SEQUENCE(LEN(S292)),1),ISNUMBER(SEARCH(MID(S292,_xlfn.SEQUENCE(LEN(S292)),1),"ABCDEFGHIJKLMNOPQRSTUVWXYZabcdefghijklmnopqrstuvwxyz0123456789,")))),"")</f>
        <v/>
      </c>
      <c r="D292" s="15" t="str">
        <v/>
      </c>
      <c r="E292" s="16" t="str">
        <v/>
      </c>
      <c r="F292" s="15" t="str">
        <v/>
      </c>
      <c r="G292" s="20" t="str" cm="1">
        <f t="array" ref="G292">IF(TRIM(P292)="","",IF(SUM(COUNTIF(P292,{"*NLGD*","*FWG*"}))&gt;0,P292,IF(SUM(COUNTIF(P292,{"*GL*","*DGB*","*DGI*","*GT*","*CS*","*PWU*","*DBI*","*SWU*"}))=0,P292,IF(IFERROR(VALUE(SUBSTITUTE(SUBSTITUTE(O292,"W",""),"""","")),0)&gt;52,P292&amp;"-OVRSIZE-",P292))))</f>
        <v/>
      </c>
      <c r="H292" s="15" t="str">
        <v/>
      </c>
      <c r="I292" s="15" t="str">
        <v/>
      </c>
      <c r="J292" s="15" t="str">
        <v/>
      </c>
      <c r="K292" s="15" t="str">
        <v/>
      </c>
      <c r="L292" s="15" t="str">
        <v/>
      </c>
      <c r="M292" s="10" t="str">
        <v/>
      </c>
      <c r="N292" s="14"/>
      <c r="O292" s="15" t="str" cm="1">
        <f t="array" ref="O292">IFERROR(_xlfn.LET(
_xlpm.clean,TRIM(SUBSTITUTE(SUBSTITUTE(P292,CHAR(160),"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2" s="15"/>
      <c r="R292" t="str">
        <v/>
      </c>
      <c r="S292" t="str">
        <f t="shared" si="5"/>
        <v/>
      </c>
    </row>
    <row r="293" spans="1:19" ht="12.75">
      <c r="A293" s="15" t="str">
        <v/>
      </c>
      <c r="B293" s="15" t="str">
        <v/>
      </c>
      <c r="C293" s="15" t="str" cm="1">
        <f t="array" ref="C293">IFERROR(_xlfn.TEXTJOIN("",TRUE,_xlfn._xlws.FILTER(MID(S293,_xlfn.SEQUENCE(LEN(S293)),1),ISNUMBER(SEARCH(MID(S293,_xlfn.SEQUENCE(LEN(S293)),1),"ABCDEFGHIJKLMNOPQRSTUVWXYZabcdefghijklmnopqrstuvwxyz0123456789,")))),"")</f>
        <v/>
      </c>
      <c r="D293" s="15" t="str">
        <v/>
      </c>
      <c r="E293" s="16" t="str">
        <v/>
      </c>
      <c r="F293" s="15" t="str">
        <v/>
      </c>
      <c r="G293" s="20" t="str" cm="1">
        <f t="array" ref="G293">IF(TRIM(P293)="","",IF(SUM(COUNTIF(P293,{"*NLGD*","*FWG*"}))&gt;0,P293,IF(SUM(COUNTIF(P293,{"*GL*","*DGB*","*DGI*","*GT*","*CS*","*PWU*","*DBI*","*SWU*"}))=0,P293,IF(IFERROR(VALUE(SUBSTITUTE(SUBSTITUTE(O293,"W",""),"""","")),0)&gt;52,P293&amp;"-OVRSIZE-",P293))))</f>
        <v/>
      </c>
      <c r="H293" s="15" t="str">
        <v/>
      </c>
      <c r="I293" s="15" t="str">
        <v/>
      </c>
      <c r="J293" s="15" t="str">
        <v/>
      </c>
      <c r="K293" s="15" t="str">
        <v/>
      </c>
      <c r="L293" s="15" t="str">
        <v/>
      </c>
      <c r="M293" s="10" t="str">
        <v/>
      </c>
      <c r="N293" s="14"/>
      <c r="O293" s="15" t="str" cm="1">
        <f t="array" ref="O293">IFERROR(_xlfn.LET(
_xlpm.clean,TRIM(SUBSTITUTE(SUBSTITUTE(P293,CHAR(160),"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3" s="15"/>
      <c r="R293" t="str">
        <v/>
      </c>
      <c r="S293" t="str">
        <f t="shared" si="5"/>
        <v/>
      </c>
    </row>
    <row r="294" spans="1:19" ht="12.75">
      <c r="A294" s="15" t="str">
        <v/>
      </c>
      <c r="B294" s="15" t="str">
        <v/>
      </c>
      <c r="C294" s="15" t="str" cm="1">
        <f t="array" ref="C294">IFERROR(_xlfn.TEXTJOIN("",TRUE,_xlfn._xlws.FILTER(MID(S294,_xlfn.SEQUENCE(LEN(S294)),1),ISNUMBER(SEARCH(MID(S294,_xlfn.SEQUENCE(LEN(S294)),1),"ABCDEFGHIJKLMNOPQRSTUVWXYZabcdefghijklmnopqrstuvwxyz0123456789,")))),"")</f>
        <v/>
      </c>
      <c r="D294" s="15" t="str">
        <v/>
      </c>
      <c r="E294" s="16" t="str">
        <v/>
      </c>
      <c r="F294" s="15" t="str">
        <v/>
      </c>
      <c r="G294" s="20" t="str" cm="1">
        <f t="array" ref="G294">IF(TRIM(P294)="","",IF(SUM(COUNTIF(P294,{"*NLGD*","*FWG*"}))&gt;0,P294,IF(SUM(COUNTIF(P294,{"*GL*","*DGB*","*DGI*","*GT*","*CS*","*PWU*","*DBI*","*SWU*"}))=0,P294,IF(IFERROR(VALUE(SUBSTITUTE(SUBSTITUTE(O294,"W",""),"""","")),0)&gt;52,P294&amp;"-OVRSIZE-",P294))))</f>
        <v/>
      </c>
      <c r="H294" s="15" t="str">
        <v/>
      </c>
      <c r="I294" s="15" t="str">
        <v/>
      </c>
      <c r="J294" s="15" t="str">
        <v/>
      </c>
      <c r="K294" s="15" t="str">
        <v/>
      </c>
      <c r="L294" s="15" t="str">
        <v/>
      </c>
      <c r="M294" s="10" t="str">
        <v/>
      </c>
      <c r="N294" s="14"/>
      <c r="O294" s="15" t="str" cm="1">
        <f t="array" ref="O294">IFERROR(_xlfn.LET(
_xlpm.clean,TRIM(SUBSTITUTE(SUBSTITUTE(P294,CHAR(160),"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4" s="15"/>
      <c r="R294" t="str">
        <v/>
      </c>
      <c r="S294" t="str">
        <f t="shared" si="5"/>
        <v/>
      </c>
    </row>
    <row r="295" spans="1:19" ht="12.75">
      <c r="A295" s="15" t="str">
        <v/>
      </c>
      <c r="B295" s="15" t="str">
        <v/>
      </c>
      <c r="C295" s="15" t="str" cm="1">
        <f t="array" ref="C295">IFERROR(_xlfn.TEXTJOIN("",TRUE,_xlfn._xlws.FILTER(MID(S295,_xlfn.SEQUENCE(LEN(S295)),1),ISNUMBER(SEARCH(MID(S295,_xlfn.SEQUENCE(LEN(S295)),1),"ABCDEFGHIJKLMNOPQRSTUVWXYZabcdefghijklmnopqrstuvwxyz0123456789,")))),"")</f>
        <v/>
      </c>
      <c r="D295" s="15" t="str">
        <v/>
      </c>
      <c r="E295" s="16" t="str">
        <v/>
      </c>
      <c r="F295" s="15" t="str">
        <v/>
      </c>
      <c r="G295" s="20" t="str" cm="1">
        <f t="array" ref="G295">IF(TRIM(P295)="","",IF(SUM(COUNTIF(P295,{"*NLGD*","*FWG*"}))&gt;0,P295,IF(SUM(COUNTIF(P295,{"*GL*","*DGB*","*DGI*","*GT*","*CS*","*PWU*","*DBI*","*SWU*"}))=0,P295,IF(IFERROR(VALUE(SUBSTITUTE(SUBSTITUTE(O295,"W",""),"""","")),0)&gt;52,P295&amp;"-OVRSIZE-",P295))))</f>
        <v/>
      </c>
      <c r="H295" s="15" t="str">
        <v/>
      </c>
      <c r="I295" s="15" t="str">
        <v/>
      </c>
      <c r="J295" s="15" t="str">
        <v/>
      </c>
      <c r="K295" s="15" t="str">
        <v/>
      </c>
      <c r="L295" s="15" t="str">
        <v/>
      </c>
      <c r="M295" s="10" t="str">
        <v/>
      </c>
      <c r="N295" s="14"/>
      <c r="O295" s="15" t="str" cm="1">
        <f t="array" ref="O295">IFERROR(_xlfn.LET(
_xlpm.clean,TRIM(SUBSTITUTE(SUBSTITUTE(P295,CHAR(160),"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5" s="15"/>
      <c r="R295" t="str">
        <v/>
      </c>
      <c r="S295" t="str">
        <f t="shared" si="5"/>
        <v/>
      </c>
    </row>
    <row r="296" spans="1:19" ht="12.75">
      <c r="A296" s="15" t="str">
        <v/>
      </c>
      <c r="B296" s="15" t="str">
        <v/>
      </c>
      <c r="C296" s="15" t="str" cm="1">
        <f t="array" ref="C296">IFERROR(_xlfn.TEXTJOIN("",TRUE,_xlfn._xlws.FILTER(MID(S296,_xlfn.SEQUENCE(LEN(S296)),1),ISNUMBER(SEARCH(MID(S296,_xlfn.SEQUENCE(LEN(S296)),1),"ABCDEFGHIJKLMNOPQRSTUVWXYZabcdefghijklmnopqrstuvwxyz0123456789,")))),"")</f>
        <v/>
      </c>
      <c r="D296" s="15" t="str">
        <v/>
      </c>
      <c r="E296" s="16" t="str">
        <v/>
      </c>
      <c r="F296" s="15" t="str">
        <v/>
      </c>
      <c r="G296" s="20" t="str" cm="1">
        <f t="array" ref="G296">IF(TRIM(P296)="","",IF(SUM(COUNTIF(P296,{"*NLGD*","*FWG*"}))&gt;0,P296,IF(SUM(COUNTIF(P296,{"*GL*","*DGB*","*DGI*","*GT*","*CS*","*PWU*","*DBI*","*SWU*"}))=0,P296,IF(IFERROR(VALUE(SUBSTITUTE(SUBSTITUTE(O296,"W",""),"""","")),0)&gt;52,P296&amp;"-OVRSIZE-",P296))))</f>
        <v/>
      </c>
      <c r="H296" s="15" t="str">
        <v/>
      </c>
      <c r="I296" s="15" t="str">
        <v/>
      </c>
      <c r="J296" s="15" t="str">
        <v/>
      </c>
      <c r="K296" s="15" t="str">
        <v/>
      </c>
      <c r="L296" s="15" t="str">
        <v/>
      </c>
      <c r="M296" s="10" t="str">
        <v/>
      </c>
      <c r="N296" s="14"/>
      <c r="O296" s="15" t="str" cm="1">
        <f t="array" ref="O296">IFERROR(_xlfn.LET(
_xlpm.clean,TRIM(SUBSTITUTE(SUBSTITUTE(P296,CHAR(160),"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6" s="15"/>
      <c r="R296" t="str">
        <v/>
      </c>
      <c r="S296" t="str">
        <f t="shared" si="5"/>
        <v/>
      </c>
    </row>
    <row r="297" spans="1:19" ht="12.75">
      <c r="A297" s="15" t="str">
        <v/>
      </c>
      <c r="B297" s="15" t="str">
        <v/>
      </c>
      <c r="C297" s="15" t="str" cm="1">
        <f t="array" ref="C297">IFERROR(_xlfn.TEXTJOIN("",TRUE,_xlfn._xlws.FILTER(MID(S297,_xlfn.SEQUENCE(LEN(S297)),1),ISNUMBER(SEARCH(MID(S297,_xlfn.SEQUENCE(LEN(S297)),1),"ABCDEFGHIJKLMNOPQRSTUVWXYZabcdefghijklmnopqrstuvwxyz0123456789,")))),"")</f>
        <v/>
      </c>
      <c r="D297" s="15" t="str">
        <v/>
      </c>
      <c r="E297" s="16" t="str">
        <v/>
      </c>
      <c r="F297" s="15" t="str">
        <v/>
      </c>
      <c r="G297" s="20" t="str" cm="1">
        <f t="array" ref="G297">IF(TRIM(P297)="","",IF(SUM(COUNTIF(P297,{"*NLGD*","*FWG*"}))&gt;0,P297,IF(SUM(COUNTIF(P297,{"*GL*","*DGB*","*DGI*","*GT*","*CS*","*PWU*","*DBI*","*SWU*"}))=0,P297,IF(IFERROR(VALUE(SUBSTITUTE(SUBSTITUTE(O297,"W",""),"""","")),0)&gt;52,P297&amp;"-OVRSIZE-",P297))))</f>
        <v/>
      </c>
      <c r="H297" s="15" t="str">
        <v/>
      </c>
      <c r="I297" s="15" t="str">
        <v/>
      </c>
      <c r="J297" s="15" t="str">
        <v/>
      </c>
      <c r="K297" s="15" t="str">
        <v/>
      </c>
      <c r="L297" s="15" t="str">
        <v/>
      </c>
      <c r="M297" s="10" t="str">
        <v/>
      </c>
      <c r="N297" s="14"/>
      <c r="O297" s="15" t="str" cm="1">
        <f t="array" ref="O297">IFERROR(_xlfn.LET(
_xlpm.clean,TRIM(SUBSTITUTE(SUBSTITUTE(P297,CHAR(160),"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7" s="15"/>
      <c r="R297" t="str">
        <v/>
      </c>
      <c r="S297" t="str">
        <f t="shared" si="5"/>
        <v/>
      </c>
    </row>
    <row r="298" spans="1:19" ht="12.75">
      <c r="A298" s="15" t="str">
        <v/>
      </c>
      <c r="B298" s="15" t="str">
        <v/>
      </c>
      <c r="C298" s="15" t="str" cm="1">
        <f t="array" ref="C298">IFERROR(_xlfn.TEXTJOIN("",TRUE,_xlfn._xlws.FILTER(MID(S298,_xlfn.SEQUENCE(LEN(S298)),1),ISNUMBER(SEARCH(MID(S298,_xlfn.SEQUENCE(LEN(S298)),1),"ABCDEFGHIJKLMNOPQRSTUVWXYZabcdefghijklmnopqrstuvwxyz0123456789,")))),"")</f>
        <v/>
      </c>
      <c r="D298" s="15" t="str">
        <v/>
      </c>
      <c r="E298" s="16" t="str">
        <v/>
      </c>
      <c r="F298" s="15" t="str">
        <v/>
      </c>
      <c r="G298" s="20" t="str" cm="1">
        <f t="array" ref="G298">IF(TRIM(P298)="","",IF(SUM(COUNTIF(P298,{"*NLGD*","*FWG*"}))&gt;0,P298,IF(SUM(COUNTIF(P298,{"*GL*","*DGB*","*DGI*","*GT*","*CS*","*PWU*","*DBI*","*SWU*"}))=0,P298,IF(IFERROR(VALUE(SUBSTITUTE(SUBSTITUTE(O298,"W",""),"""","")),0)&gt;52,P298&amp;"-OVRSIZE-",P298))))</f>
        <v/>
      </c>
      <c r="H298" s="15" t="str">
        <v/>
      </c>
      <c r="I298" s="15" t="str">
        <v/>
      </c>
      <c r="J298" s="15" t="str">
        <v/>
      </c>
      <c r="K298" s="15" t="str">
        <v/>
      </c>
      <c r="L298" s="15" t="str">
        <v/>
      </c>
      <c r="M298" s="10" t="str">
        <v/>
      </c>
      <c r="N298" s="14"/>
      <c r="O298" s="15" t="str" cm="1">
        <f t="array" ref="O298">IFERROR(_xlfn.LET(
_xlpm.clean,TRIM(SUBSTITUTE(SUBSTITUTE(P298,CHAR(160),"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8" s="15"/>
      <c r="R298" t="str">
        <v/>
      </c>
      <c r="S298" t="str">
        <f t="shared" si="5"/>
        <v/>
      </c>
    </row>
    <row r="299" spans="1:19" ht="12.75">
      <c r="A299" s="15" t="str">
        <v/>
      </c>
      <c r="B299" s="15" t="str">
        <v/>
      </c>
      <c r="C299" s="15" t="str" cm="1">
        <f t="array" ref="C299">IFERROR(_xlfn.TEXTJOIN("",TRUE,_xlfn._xlws.FILTER(MID(S299,_xlfn.SEQUENCE(LEN(S299)),1),ISNUMBER(SEARCH(MID(S299,_xlfn.SEQUENCE(LEN(S299)),1),"ABCDEFGHIJKLMNOPQRSTUVWXYZabcdefghijklmnopqrstuvwxyz0123456789,")))),"")</f>
        <v/>
      </c>
      <c r="D299" s="15" t="str">
        <v/>
      </c>
      <c r="E299" s="16" t="str">
        <v/>
      </c>
      <c r="F299" s="15" t="str">
        <v/>
      </c>
      <c r="G299" s="20" t="str" cm="1">
        <f t="array" ref="G299">IF(TRIM(P299)="","",IF(SUM(COUNTIF(P299,{"*NLGD*","*FWG*"}))&gt;0,P299,IF(SUM(COUNTIF(P299,{"*GL*","*DGB*","*DGI*","*GT*","*CS*","*PWU*","*DBI*","*SWU*"}))=0,P299,IF(IFERROR(VALUE(SUBSTITUTE(SUBSTITUTE(O299,"W",""),"""","")),0)&gt;52,P299&amp;"-OVRSIZE-",P299))))</f>
        <v/>
      </c>
      <c r="H299" s="15" t="str">
        <v/>
      </c>
      <c r="I299" s="15" t="str">
        <v/>
      </c>
      <c r="J299" s="15" t="str">
        <v/>
      </c>
      <c r="K299" s="15" t="str">
        <v/>
      </c>
      <c r="L299" s="15" t="str">
        <v/>
      </c>
      <c r="M299" s="10" t="str">
        <v/>
      </c>
      <c r="N299" s="14"/>
      <c r="O299" s="15" t="str" cm="1">
        <f t="array" ref="O299">IFERROR(_xlfn.LET(
_xlpm.clean,TRIM(SUBSTITUTE(SUBSTITUTE(P299,CHAR(160),"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99" s="15"/>
      <c r="R299" t="str">
        <v/>
      </c>
      <c r="S299" t="str">
        <f t="shared" si="5"/>
        <v/>
      </c>
    </row>
    <row r="300" spans="1:19" ht="12.75">
      <c r="A300" s="15" t="str">
        <v/>
      </c>
      <c r="B300" s="15" t="str">
        <v/>
      </c>
      <c r="C300" s="15" t="str" cm="1">
        <f t="array" ref="C300">IFERROR(_xlfn.TEXTJOIN("",TRUE,_xlfn._xlws.FILTER(MID(S300,_xlfn.SEQUENCE(LEN(S300)),1),ISNUMBER(SEARCH(MID(S300,_xlfn.SEQUENCE(LEN(S300)),1),"ABCDEFGHIJKLMNOPQRSTUVWXYZabcdefghijklmnopqrstuvwxyz0123456789,")))),"")</f>
        <v/>
      </c>
      <c r="D300" s="15" t="str">
        <v/>
      </c>
      <c r="E300" s="16" t="str">
        <v/>
      </c>
      <c r="F300" s="15" t="str">
        <v/>
      </c>
      <c r="G300" s="20" t="str" cm="1">
        <f t="array" ref="G300">IF(TRIM(P300)="","",IF(SUM(COUNTIF(P300,{"*NLGD*","*FWG*"}))&gt;0,P300,IF(SUM(COUNTIF(P300,{"*GL*","*DGB*","*DGI*","*GT*","*CS*","*PWU*","*DBI*","*SWU*"}))=0,P300,IF(IFERROR(VALUE(SUBSTITUTE(SUBSTITUTE(O300,"W",""),"""","")),0)&gt;52,P300&amp;"-OVRSIZE-",P300))))</f>
        <v/>
      </c>
      <c r="H300" s="15" t="str">
        <v/>
      </c>
      <c r="I300" s="15" t="str">
        <v/>
      </c>
      <c r="J300" s="15" t="str">
        <v/>
      </c>
      <c r="K300" s="15" t="str">
        <v/>
      </c>
      <c r="L300" s="15" t="str">
        <v/>
      </c>
      <c r="M300" s="10" t="str">
        <v/>
      </c>
      <c r="N300" s="14"/>
      <c r="O300" s="15" t="str" cm="1">
        <f t="array" ref="O300">IFERROR(_xlfn.LET(
_xlpm.clean,TRIM(SUBSTITUTE(SUBSTITUTE(P300,CHAR(160),"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0" s="15"/>
      <c r="R300" t="str">
        <v/>
      </c>
      <c r="S300" t="str">
        <f t="shared" si="5"/>
        <v/>
      </c>
    </row>
    <row r="301" spans="1:19" ht="12.75">
      <c r="A301" s="15" t="str">
        <v/>
      </c>
      <c r="B301" s="15" t="str">
        <v/>
      </c>
      <c r="C301" s="15" t="str" cm="1">
        <f t="array" ref="C301">IFERROR(_xlfn.TEXTJOIN("",TRUE,_xlfn._xlws.FILTER(MID(S301,_xlfn.SEQUENCE(LEN(S301)),1),ISNUMBER(SEARCH(MID(S301,_xlfn.SEQUENCE(LEN(S301)),1),"ABCDEFGHIJKLMNOPQRSTUVWXYZabcdefghijklmnopqrstuvwxyz0123456789,")))),"")</f>
        <v/>
      </c>
      <c r="D301" s="15" t="str">
        <v/>
      </c>
      <c r="E301" s="16" t="str">
        <v/>
      </c>
      <c r="F301" s="15" t="str">
        <v/>
      </c>
      <c r="G301" s="20" t="str" cm="1">
        <f t="array" ref="G301">IF(TRIM(P301)="","",IF(SUM(COUNTIF(P301,{"*NLGD*","*FWG*"}))&gt;0,P301,IF(SUM(COUNTIF(P301,{"*GL*","*DGB*","*DGI*","*GT*","*CS*","*PWU*","*DBI*","*SWU*"}))=0,P301,IF(IFERROR(VALUE(SUBSTITUTE(SUBSTITUTE(O301,"W",""),"""","")),0)&gt;52,P301&amp;"-OVRSIZE-",P301))))</f>
        <v/>
      </c>
      <c r="H301" s="15" t="str">
        <v/>
      </c>
      <c r="I301" s="15" t="str">
        <v/>
      </c>
      <c r="J301" s="15" t="str">
        <v/>
      </c>
      <c r="K301" s="15" t="str">
        <v/>
      </c>
      <c r="L301" s="15" t="str">
        <v/>
      </c>
      <c r="M301" s="10" t="str">
        <v/>
      </c>
      <c r="N301" s="14"/>
      <c r="O301" s="15" t="str" cm="1">
        <f t="array" ref="O301">IFERROR(_xlfn.LET(
_xlpm.clean,TRIM(SUBSTITUTE(SUBSTITUTE(P301,CHAR(160),"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1" s="15"/>
      <c r="R301" t="str">
        <v/>
      </c>
      <c r="S301" t="str">
        <f t="shared" si="5"/>
        <v/>
      </c>
    </row>
    <row r="302" spans="1:19" ht="12.75">
      <c r="A302" s="15" t="str">
        <v/>
      </c>
      <c r="B302" s="15" t="str">
        <v/>
      </c>
      <c r="C302" s="15" t="str" cm="1">
        <f t="array" ref="C302">IFERROR(_xlfn.TEXTJOIN("",TRUE,_xlfn._xlws.FILTER(MID(S302,_xlfn.SEQUENCE(LEN(S302)),1),ISNUMBER(SEARCH(MID(S302,_xlfn.SEQUENCE(LEN(S302)),1),"ABCDEFGHIJKLMNOPQRSTUVWXYZabcdefghijklmnopqrstuvwxyz0123456789,")))),"")</f>
        <v/>
      </c>
      <c r="D302" s="15" t="str">
        <v/>
      </c>
      <c r="E302" s="16" t="str">
        <v/>
      </c>
      <c r="F302" s="15" t="str">
        <v/>
      </c>
      <c r="G302" s="20" t="str" cm="1">
        <f t="array" ref="G302">IF(TRIM(P302)="","",IF(SUM(COUNTIF(P302,{"*NLGD*","*FWG*"}))&gt;0,P302,IF(SUM(COUNTIF(P302,{"*GL*","*DGB*","*DGI*","*GT*","*CS*","*PWU*","*DBI*","*SWU*"}))=0,P302,IF(IFERROR(VALUE(SUBSTITUTE(SUBSTITUTE(O302,"W",""),"""","")),0)&gt;52,P302&amp;"-OVRSIZE-",P302))))</f>
        <v/>
      </c>
      <c r="H302" s="15" t="str">
        <v/>
      </c>
      <c r="I302" s="15" t="str">
        <v/>
      </c>
      <c r="J302" s="15" t="str">
        <v/>
      </c>
      <c r="K302" s="15" t="str">
        <v/>
      </c>
      <c r="L302" s="15" t="str">
        <v/>
      </c>
      <c r="M302" s="10" t="str">
        <v/>
      </c>
      <c r="N302" s="14"/>
      <c r="O302" s="15" t="str" cm="1">
        <f t="array" ref="O302">IFERROR(_xlfn.LET(
_xlpm.clean,TRIM(SUBSTITUTE(SUBSTITUTE(P302,CHAR(160),"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2" s="15"/>
      <c r="R302" t="str">
        <v/>
      </c>
      <c r="S302" t="str">
        <f t="shared" si="5"/>
        <v/>
      </c>
    </row>
    <row r="303" spans="1:19" ht="12.75">
      <c r="A303" s="15" t="str">
        <v/>
      </c>
      <c r="B303" s="15" t="str">
        <v/>
      </c>
      <c r="C303" s="15" t="str" cm="1">
        <f t="array" ref="C303">IFERROR(_xlfn.TEXTJOIN("",TRUE,_xlfn._xlws.FILTER(MID(S303,_xlfn.SEQUENCE(LEN(S303)),1),ISNUMBER(SEARCH(MID(S303,_xlfn.SEQUENCE(LEN(S303)),1),"ABCDEFGHIJKLMNOPQRSTUVWXYZabcdefghijklmnopqrstuvwxyz0123456789,")))),"")</f>
        <v/>
      </c>
      <c r="D303" s="15" t="str">
        <v/>
      </c>
      <c r="E303" s="16" t="str">
        <v/>
      </c>
      <c r="F303" s="15" t="str">
        <v/>
      </c>
      <c r="G303" s="20" t="str" cm="1">
        <f t="array" ref="G303">IF(TRIM(P303)="","",IF(SUM(COUNTIF(P303,{"*NLGD*","*FWG*"}))&gt;0,P303,IF(SUM(COUNTIF(P303,{"*GL*","*DGB*","*DGI*","*GT*","*CS*","*PWU*","*DBI*","*SWU*"}))=0,P303,IF(IFERROR(VALUE(SUBSTITUTE(SUBSTITUTE(O303,"W",""),"""","")),0)&gt;52,P303&amp;"-OVRSIZE-",P303))))</f>
        <v/>
      </c>
      <c r="H303" s="15" t="str">
        <v/>
      </c>
      <c r="I303" s="15" t="str">
        <v/>
      </c>
      <c r="J303" s="15" t="str">
        <v/>
      </c>
      <c r="K303" s="15" t="str">
        <v/>
      </c>
      <c r="L303" s="15" t="str">
        <v/>
      </c>
      <c r="M303" s="10" t="str">
        <v/>
      </c>
      <c r="N303" s="14"/>
      <c r="O303" s="15" t="str" cm="1">
        <f t="array" ref="O303">IFERROR(_xlfn.LET(
_xlpm.clean,TRIM(SUBSTITUTE(SUBSTITUTE(P303,CHAR(160),"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3" s="15"/>
      <c r="R303" t="str">
        <v/>
      </c>
      <c r="S303" t="str">
        <f t="shared" si="5"/>
        <v/>
      </c>
    </row>
    <row r="304" spans="1:19" ht="12.75">
      <c r="A304" s="15" t="str">
        <v/>
      </c>
      <c r="B304" s="15" t="str">
        <v/>
      </c>
      <c r="C304" s="15" t="str" cm="1">
        <f t="array" ref="C304">IFERROR(_xlfn.TEXTJOIN("",TRUE,_xlfn._xlws.FILTER(MID(S304,_xlfn.SEQUENCE(LEN(S304)),1),ISNUMBER(SEARCH(MID(S304,_xlfn.SEQUENCE(LEN(S304)),1),"ABCDEFGHIJKLMNOPQRSTUVWXYZabcdefghijklmnopqrstuvwxyz0123456789,")))),"")</f>
        <v/>
      </c>
      <c r="D304" s="15" t="str">
        <v/>
      </c>
      <c r="E304" s="16" t="str">
        <v/>
      </c>
      <c r="F304" s="15" t="str">
        <v/>
      </c>
      <c r="G304" s="20" t="str" cm="1">
        <f t="array" ref="G304">IF(TRIM(P304)="","",IF(SUM(COUNTIF(P304,{"*NLGD*","*FWG*"}))&gt;0,P304,IF(SUM(COUNTIF(P304,{"*GL*","*DGB*","*DGI*","*GT*","*CS*","*PWU*","*DBI*","*SWU*"}))=0,P304,IF(IFERROR(VALUE(SUBSTITUTE(SUBSTITUTE(O304,"W",""),"""","")),0)&gt;52,P304&amp;"-OVRSIZE-",P304))))</f>
        <v/>
      </c>
      <c r="H304" s="15" t="str">
        <v/>
      </c>
      <c r="I304" s="15" t="str">
        <v/>
      </c>
      <c r="J304" s="15" t="str">
        <v/>
      </c>
      <c r="K304" s="15" t="str">
        <v/>
      </c>
      <c r="L304" s="15" t="str">
        <v/>
      </c>
      <c r="M304" s="10" t="str">
        <v/>
      </c>
      <c r="N304" s="14"/>
      <c r="O304" s="15" t="str" cm="1">
        <f t="array" ref="O304">IFERROR(_xlfn.LET(
_xlpm.clean,TRIM(SUBSTITUTE(SUBSTITUTE(P304,CHAR(160),"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4" s="15"/>
      <c r="R304" t="str">
        <v/>
      </c>
      <c r="S304" t="str">
        <f t="shared" si="5"/>
        <v/>
      </c>
    </row>
    <row r="305" spans="1:19" ht="12.75">
      <c r="A305" s="15" t="str">
        <v/>
      </c>
      <c r="B305" s="15" t="str">
        <v/>
      </c>
      <c r="C305" s="15" t="str" cm="1">
        <f t="array" ref="C305">IFERROR(_xlfn.TEXTJOIN("",TRUE,_xlfn._xlws.FILTER(MID(S305,_xlfn.SEQUENCE(LEN(S305)),1),ISNUMBER(SEARCH(MID(S305,_xlfn.SEQUENCE(LEN(S305)),1),"ABCDEFGHIJKLMNOPQRSTUVWXYZabcdefghijklmnopqrstuvwxyz0123456789,")))),"")</f>
        <v/>
      </c>
      <c r="D305" s="15" t="str">
        <v/>
      </c>
      <c r="E305" s="16" t="str">
        <v/>
      </c>
      <c r="F305" s="15" t="str">
        <v/>
      </c>
      <c r="G305" s="20" t="str" cm="1">
        <f t="array" ref="G305">IF(TRIM(P305)="","",IF(SUM(COUNTIF(P305,{"*NLGD*","*FWG*"}))&gt;0,P305,IF(SUM(COUNTIF(P305,{"*GL*","*DGB*","*DGI*","*GT*","*CS*","*PWU*","*DBI*","*SWU*"}))=0,P305,IF(IFERROR(VALUE(SUBSTITUTE(SUBSTITUTE(O305,"W",""),"""","")),0)&gt;52,P305&amp;"-OVRSIZE-",P305))))</f>
        <v/>
      </c>
      <c r="H305" s="15" t="str">
        <v/>
      </c>
      <c r="I305" s="15" t="str">
        <v/>
      </c>
      <c r="J305" s="15" t="str">
        <v/>
      </c>
      <c r="K305" s="15" t="str">
        <v/>
      </c>
      <c r="L305" s="15" t="str">
        <v/>
      </c>
      <c r="M305" s="10" t="str">
        <v/>
      </c>
      <c r="N305" s="14"/>
      <c r="O305" s="15" t="str" cm="1">
        <f t="array" ref="O305">IFERROR(_xlfn.LET(
_xlpm.clean,TRIM(SUBSTITUTE(SUBSTITUTE(P305,CHAR(160),"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5" s="15"/>
      <c r="R305" t="str">
        <v/>
      </c>
      <c r="S305" t="str">
        <f t="shared" si="5"/>
        <v/>
      </c>
    </row>
    <row r="306" spans="1:19" ht="12.75">
      <c r="A306" s="15" t="str">
        <v/>
      </c>
      <c r="B306" s="15" t="str">
        <v/>
      </c>
      <c r="C306" s="15" t="str" cm="1">
        <f t="array" ref="C306">IFERROR(_xlfn.TEXTJOIN("",TRUE,_xlfn._xlws.FILTER(MID(S306,_xlfn.SEQUENCE(LEN(S306)),1),ISNUMBER(SEARCH(MID(S306,_xlfn.SEQUENCE(LEN(S306)),1),"ABCDEFGHIJKLMNOPQRSTUVWXYZabcdefghijklmnopqrstuvwxyz0123456789,")))),"")</f>
        <v/>
      </c>
      <c r="D306" s="15" t="str">
        <v/>
      </c>
      <c r="E306" s="16" t="str">
        <v/>
      </c>
      <c r="F306" s="15" t="str">
        <v/>
      </c>
      <c r="G306" s="20" t="str" cm="1">
        <f t="array" ref="G306">IF(TRIM(P306)="","",IF(SUM(COUNTIF(P306,{"*NLGD*","*FWG*"}))&gt;0,P306,IF(SUM(COUNTIF(P306,{"*GL*","*DGB*","*DGI*","*GT*","*CS*","*PWU*","*DBI*","*SWU*"}))=0,P306,IF(IFERROR(VALUE(SUBSTITUTE(SUBSTITUTE(O306,"W",""),"""","")),0)&gt;52,P306&amp;"-OVRSIZE-",P306))))</f>
        <v/>
      </c>
      <c r="H306" s="15" t="str">
        <v/>
      </c>
      <c r="I306" s="15" t="str">
        <v/>
      </c>
      <c r="J306" s="15" t="str">
        <v/>
      </c>
      <c r="K306" s="15" t="str">
        <v/>
      </c>
      <c r="L306" s="15" t="str">
        <v/>
      </c>
      <c r="M306" s="10" t="str">
        <v/>
      </c>
      <c r="N306" s="14"/>
      <c r="O306" s="15" t="str" cm="1">
        <f t="array" ref="O306">IFERROR(_xlfn.LET(
_xlpm.clean,TRIM(SUBSTITUTE(SUBSTITUTE(P306,CHAR(160),"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6" s="15"/>
      <c r="R306" t="str">
        <v/>
      </c>
      <c r="S306" t="str">
        <f t="shared" si="5"/>
        <v/>
      </c>
    </row>
    <row r="307" spans="1:19" ht="12.75">
      <c r="A307" s="15" t="str">
        <v/>
      </c>
      <c r="B307" s="15" t="str">
        <v/>
      </c>
      <c r="C307" s="15" t="str" cm="1">
        <f t="array" ref="C307">IFERROR(_xlfn.TEXTJOIN("",TRUE,_xlfn._xlws.FILTER(MID(S307,_xlfn.SEQUENCE(LEN(S307)),1),ISNUMBER(SEARCH(MID(S307,_xlfn.SEQUENCE(LEN(S307)),1),"ABCDEFGHIJKLMNOPQRSTUVWXYZabcdefghijklmnopqrstuvwxyz0123456789,")))),"")</f>
        <v/>
      </c>
      <c r="D307" s="15" t="str">
        <v/>
      </c>
      <c r="E307" s="16" t="str">
        <v/>
      </c>
      <c r="F307" s="15" t="str">
        <v/>
      </c>
      <c r="G307" s="20" t="str" cm="1">
        <f t="array" ref="G307">IF(TRIM(P307)="","",IF(SUM(COUNTIF(P307,{"*NLGD*","*FWG*"}))&gt;0,P307,IF(SUM(COUNTIF(P307,{"*GL*","*DGB*","*DGI*","*GT*","*CS*","*PWU*","*DBI*","*SWU*"}))=0,P307,IF(IFERROR(VALUE(SUBSTITUTE(SUBSTITUTE(O307,"W",""),"""","")),0)&gt;52,P307&amp;"-OVRSIZE-",P307))))</f>
        <v/>
      </c>
      <c r="H307" s="15" t="str">
        <v/>
      </c>
      <c r="I307" s="15" t="str">
        <v/>
      </c>
      <c r="J307" s="15" t="str">
        <v/>
      </c>
      <c r="K307" s="15" t="str">
        <v/>
      </c>
      <c r="L307" s="15" t="str">
        <v/>
      </c>
      <c r="M307" s="10" t="str">
        <v/>
      </c>
      <c r="N307" s="14"/>
      <c r="O307" s="15" t="str" cm="1">
        <f t="array" ref="O307">IFERROR(_xlfn.LET(
_xlpm.clean,TRIM(SUBSTITUTE(SUBSTITUTE(P307,CHAR(160),"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7" s="15"/>
      <c r="R307" t="str">
        <v/>
      </c>
      <c r="S307" t="str">
        <f t="shared" si="5"/>
        <v/>
      </c>
    </row>
    <row r="308" spans="1:19" ht="12.75">
      <c r="A308" s="15" t="str">
        <v/>
      </c>
      <c r="B308" s="15" t="str">
        <v/>
      </c>
      <c r="C308" s="15" t="str" cm="1">
        <f t="array" ref="C308">IFERROR(_xlfn.TEXTJOIN("",TRUE,_xlfn._xlws.FILTER(MID(S308,_xlfn.SEQUENCE(LEN(S308)),1),ISNUMBER(SEARCH(MID(S308,_xlfn.SEQUENCE(LEN(S308)),1),"ABCDEFGHIJKLMNOPQRSTUVWXYZabcdefghijklmnopqrstuvwxyz0123456789,")))),"")</f>
        <v/>
      </c>
      <c r="D308" s="15" t="str">
        <v/>
      </c>
      <c r="E308" s="16" t="str">
        <v/>
      </c>
      <c r="F308" s="15" t="str">
        <v/>
      </c>
      <c r="G308" s="20" t="str" cm="1">
        <f t="array" ref="G308">IF(TRIM(P308)="","",IF(SUM(COUNTIF(P308,{"*NLGD*","*FWG*"}))&gt;0,P308,IF(SUM(COUNTIF(P308,{"*GL*","*DGB*","*DGI*","*GT*","*CS*","*PWU*","*DBI*","*SWU*"}))=0,P308,IF(IFERROR(VALUE(SUBSTITUTE(SUBSTITUTE(O308,"W",""),"""","")),0)&gt;52,P308&amp;"-OVRSIZE-",P308))))</f>
        <v/>
      </c>
      <c r="H308" s="15" t="str">
        <v/>
      </c>
      <c r="I308" s="15" t="str">
        <v/>
      </c>
      <c r="J308" s="15" t="str">
        <v/>
      </c>
      <c r="K308" s="15" t="str">
        <v/>
      </c>
      <c r="L308" s="15" t="str">
        <v/>
      </c>
      <c r="M308" s="10" t="str">
        <v/>
      </c>
      <c r="N308" s="14"/>
      <c r="O308" s="15" t="str" cm="1">
        <f t="array" ref="O308">IFERROR(_xlfn.LET(
_xlpm.clean,TRIM(SUBSTITUTE(SUBSTITUTE(P308,CHAR(160),"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8" s="15"/>
      <c r="R308" t="str">
        <v/>
      </c>
      <c r="S308" t="str">
        <f t="shared" si="5"/>
        <v/>
      </c>
    </row>
    <row r="309" spans="1:19" ht="12.75">
      <c r="A309" s="15" t="str">
        <v/>
      </c>
      <c r="B309" s="15" t="str">
        <v/>
      </c>
      <c r="C309" s="15" t="str" cm="1">
        <f t="array" ref="C309">IFERROR(_xlfn.TEXTJOIN("",TRUE,_xlfn._xlws.FILTER(MID(S309,_xlfn.SEQUENCE(LEN(S309)),1),ISNUMBER(SEARCH(MID(S309,_xlfn.SEQUENCE(LEN(S309)),1),"ABCDEFGHIJKLMNOPQRSTUVWXYZabcdefghijklmnopqrstuvwxyz0123456789,")))),"")</f>
        <v/>
      </c>
      <c r="D309" s="15" t="str">
        <v/>
      </c>
      <c r="E309" s="16" t="str">
        <v/>
      </c>
      <c r="F309" s="15" t="str">
        <v/>
      </c>
      <c r="G309" s="20" t="str" cm="1">
        <f t="array" ref="G309">IF(TRIM(P309)="","",IF(SUM(COUNTIF(P309,{"*NLGD*","*FWG*"}))&gt;0,P309,IF(SUM(COUNTIF(P309,{"*GL*","*DGB*","*DGI*","*GT*","*CS*","*PWU*","*DBI*","*SWU*"}))=0,P309,IF(IFERROR(VALUE(SUBSTITUTE(SUBSTITUTE(O309,"W",""),"""","")),0)&gt;52,P309&amp;"-OVRSIZE-",P309))))</f>
        <v/>
      </c>
      <c r="H309" s="15" t="str">
        <v/>
      </c>
      <c r="I309" s="15" t="str">
        <v/>
      </c>
      <c r="J309" s="15" t="str">
        <v/>
      </c>
      <c r="K309" s="15" t="str">
        <v/>
      </c>
      <c r="L309" s="15" t="str">
        <v/>
      </c>
      <c r="M309" s="10" t="str">
        <v/>
      </c>
      <c r="N309" s="14"/>
      <c r="O309" s="15" t="str" cm="1">
        <f t="array" ref="O309">IFERROR(_xlfn.LET(
_xlpm.clean,TRIM(SUBSTITUTE(SUBSTITUTE(P309,CHAR(160),"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09" s="15"/>
      <c r="R309" t="str">
        <v/>
      </c>
      <c r="S309" t="str">
        <f t="shared" si="5"/>
        <v/>
      </c>
    </row>
    <row r="310" spans="1:19" ht="12.75">
      <c r="A310" s="15" t="str">
        <v/>
      </c>
      <c r="B310" s="15" t="str">
        <v/>
      </c>
      <c r="C310" s="15" t="str" cm="1">
        <f t="array" ref="C310">IFERROR(_xlfn.TEXTJOIN("",TRUE,_xlfn._xlws.FILTER(MID(S310,_xlfn.SEQUENCE(LEN(S310)),1),ISNUMBER(SEARCH(MID(S310,_xlfn.SEQUENCE(LEN(S310)),1),"ABCDEFGHIJKLMNOPQRSTUVWXYZabcdefghijklmnopqrstuvwxyz0123456789,")))),"")</f>
        <v/>
      </c>
      <c r="D310" s="15" t="str">
        <v/>
      </c>
      <c r="E310" s="16" t="str">
        <v/>
      </c>
      <c r="F310" s="15" t="str">
        <v/>
      </c>
      <c r="G310" s="20" t="str" cm="1">
        <f t="array" ref="G310">IF(TRIM(P310)="","",IF(SUM(COUNTIF(P310,{"*NLGD*","*FWG*"}))&gt;0,P310,IF(SUM(COUNTIF(P310,{"*GL*","*DGB*","*DGI*","*GT*","*CS*","*PWU*","*DBI*","*SWU*"}))=0,P310,IF(IFERROR(VALUE(SUBSTITUTE(SUBSTITUTE(O310,"W",""),"""","")),0)&gt;52,P310&amp;"-OVRSIZE-",P310))))</f>
        <v/>
      </c>
      <c r="H310" s="15" t="str">
        <v/>
      </c>
      <c r="I310" s="15" t="str">
        <v/>
      </c>
      <c r="J310" s="15" t="str">
        <v/>
      </c>
      <c r="K310" s="15" t="str">
        <v/>
      </c>
      <c r="L310" s="15" t="str">
        <v/>
      </c>
      <c r="M310" s="10" t="str">
        <v/>
      </c>
      <c r="N310" s="14"/>
      <c r="O310" s="15" t="str" cm="1">
        <f t="array" ref="O310">IFERROR(_xlfn.LET(
_xlpm.clean,TRIM(SUBSTITUTE(SUBSTITUTE(P310,CHAR(160),"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0" s="15"/>
      <c r="R310" t="str">
        <v/>
      </c>
      <c r="S310" t="str">
        <f t="shared" si="5"/>
        <v/>
      </c>
    </row>
    <row r="311" spans="1:19" ht="12.75">
      <c r="A311" s="15" t="str">
        <v/>
      </c>
      <c r="B311" s="15" t="str">
        <v/>
      </c>
      <c r="C311" s="15" t="str" cm="1">
        <f t="array" ref="C311">IFERROR(_xlfn.TEXTJOIN("",TRUE,_xlfn._xlws.FILTER(MID(S311,_xlfn.SEQUENCE(LEN(S311)),1),ISNUMBER(SEARCH(MID(S311,_xlfn.SEQUENCE(LEN(S311)),1),"ABCDEFGHIJKLMNOPQRSTUVWXYZabcdefghijklmnopqrstuvwxyz0123456789,")))),"")</f>
        <v/>
      </c>
      <c r="D311" s="15" t="str">
        <v/>
      </c>
      <c r="E311" s="16" t="str">
        <v/>
      </c>
      <c r="F311" s="15" t="str">
        <v/>
      </c>
      <c r="G311" s="20" t="str" cm="1">
        <f t="array" ref="G311">IF(TRIM(P311)="","",IF(SUM(COUNTIF(P311,{"*NLGD*","*FWG*"}))&gt;0,P311,IF(SUM(COUNTIF(P311,{"*GL*","*DGB*","*DGI*","*GT*","*CS*","*PWU*","*DBI*","*SWU*"}))=0,P311,IF(IFERROR(VALUE(SUBSTITUTE(SUBSTITUTE(O311,"W",""),"""","")),0)&gt;52,P311&amp;"-OVRSIZE-",P311))))</f>
        <v/>
      </c>
      <c r="H311" s="15" t="str">
        <v/>
      </c>
      <c r="I311" s="15" t="str">
        <v/>
      </c>
      <c r="J311" s="15" t="str">
        <v/>
      </c>
      <c r="K311" s="15" t="str">
        <v/>
      </c>
      <c r="L311" s="15" t="str">
        <v/>
      </c>
      <c r="M311" s="10" t="str">
        <v/>
      </c>
      <c r="N311" s="14"/>
      <c r="O311" s="15" t="str" cm="1">
        <f t="array" ref="O311">IFERROR(_xlfn.LET(
_xlpm.clean,TRIM(SUBSTITUTE(SUBSTITUTE(P311,CHAR(160),"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1" s="15"/>
      <c r="R311" t="str">
        <v/>
      </c>
      <c r="S311" t="str">
        <f t="shared" si="5"/>
        <v/>
      </c>
    </row>
    <row r="312" spans="1:19" ht="12.75">
      <c r="A312" s="15" t="str">
        <v/>
      </c>
      <c r="B312" s="15" t="str">
        <v/>
      </c>
      <c r="C312" s="15" t="str" cm="1">
        <f t="array" ref="C312">IFERROR(_xlfn.TEXTJOIN("",TRUE,_xlfn._xlws.FILTER(MID(S312,_xlfn.SEQUENCE(LEN(S312)),1),ISNUMBER(SEARCH(MID(S312,_xlfn.SEQUENCE(LEN(S312)),1),"ABCDEFGHIJKLMNOPQRSTUVWXYZabcdefghijklmnopqrstuvwxyz0123456789,")))),"")</f>
        <v/>
      </c>
      <c r="D312" s="15" t="str">
        <v/>
      </c>
      <c r="E312" s="16" t="str">
        <v/>
      </c>
      <c r="F312" s="15" t="str">
        <v/>
      </c>
      <c r="G312" s="20" t="str" cm="1">
        <f t="array" ref="G312">IF(TRIM(P312)="","",IF(SUM(COUNTIF(P312,{"*NLGD*","*FWG*"}))&gt;0,P312,IF(SUM(COUNTIF(P312,{"*GL*","*DGB*","*DGI*","*GT*","*CS*","*PWU*","*DBI*","*SWU*"}))=0,P312,IF(IFERROR(VALUE(SUBSTITUTE(SUBSTITUTE(O312,"W",""),"""","")),0)&gt;52,P312&amp;"-OVRSIZE-",P312))))</f>
        <v/>
      </c>
      <c r="H312" s="15" t="str">
        <v/>
      </c>
      <c r="I312" s="15" t="str">
        <v/>
      </c>
      <c r="J312" s="15" t="str">
        <v/>
      </c>
      <c r="K312" s="15" t="str">
        <v/>
      </c>
      <c r="L312" s="15" t="str">
        <v/>
      </c>
      <c r="M312" s="10" t="str">
        <v/>
      </c>
      <c r="N312" s="14"/>
      <c r="O312" s="15" t="str" cm="1">
        <f t="array" ref="O312">IFERROR(_xlfn.LET(
_xlpm.clean,TRIM(SUBSTITUTE(SUBSTITUTE(P312,CHAR(160),"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2" s="15"/>
      <c r="R312" t="str">
        <v/>
      </c>
      <c r="S312" t="str">
        <f t="shared" si="5"/>
        <v/>
      </c>
    </row>
    <row r="313" spans="1:19" ht="12.75">
      <c r="A313" s="15" t="str">
        <v/>
      </c>
      <c r="B313" s="15" t="str">
        <v/>
      </c>
      <c r="C313" s="15" t="str" cm="1">
        <f t="array" ref="C313">IFERROR(_xlfn.TEXTJOIN("",TRUE,_xlfn._xlws.FILTER(MID(S313,_xlfn.SEQUENCE(LEN(S313)),1),ISNUMBER(SEARCH(MID(S313,_xlfn.SEQUENCE(LEN(S313)),1),"ABCDEFGHIJKLMNOPQRSTUVWXYZabcdefghijklmnopqrstuvwxyz0123456789,")))),"")</f>
        <v/>
      </c>
      <c r="D313" s="15" t="str">
        <v/>
      </c>
      <c r="E313" s="16" t="str">
        <v/>
      </c>
      <c r="F313" s="15" t="str">
        <v/>
      </c>
      <c r="G313" s="20" t="str" cm="1">
        <f t="array" ref="G313">IF(TRIM(P313)="","",IF(SUM(COUNTIF(P313,{"*NLGD*","*FWG*"}))&gt;0,P313,IF(SUM(COUNTIF(P313,{"*GL*","*DGB*","*DGI*","*GT*","*CS*","*PWU*","*DBI*","*SWU*"}))=0,P313,IF(IFERROR(VALUE(SUBSTITUTE(SUBSTITUTE(O313,"W",""),"""","")),0)&gt;52,P313&amp;"-OVRSIZE-",P313))))</f>
        <v/>
      </c>
      <c r="H313" s="15" t="str">
        <v/>
      </c>
      <c r="I313" s="15" t="str">
        <v/>
      </c>
      <c r="J313" s="15" t="str">
        <v/>
      </c>
      <c r="K313" s="15" t="str">
        <v/>
      </c>
      <c r="L313" s="15" t="str">
        <v/>
      </c>
      <c r="M313" s="10" t="str">
        <v/>
      </c>
      <c r="N313" s="14"/>
      <c r="O313" s="15" t="str" cm="1">
        <f t="array" ref="O313">IFERROR(_xlfn.LET(
_xlpm.clean,TRIM(SUBSTITUTE(SUBSTITUTE(P313,CHAR(160),"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3" s="15"/>
      <c r="R313" t="str">
        <v/>
      </c>
      <c r="S313" t="str">
        <f t="shared" si="5"/>
        <v/>
      </c>
    </row>
    <row r="314" spans="1:19" ht="12.75">
      <c r="A314" s="15" t="str">
        <v/>
      </c>
      <c r="B314" s="15" t="str">
        <v/>
      </c>
      <c r="C314" s="15" t="str" cm="1">
        <f t="array" ref="C314">IFERROR(_xlfn.TEXTJOIN("",TRUE,_xlfn._xlws.FILTER(MID(S314,_xlfn.SEQUENCE(LEN(S314)),1),ISNUMBER(SEARCH(MID(S314,_xlfn.SEQUENCE(LEN(S314)),1),"ABCDEFGHIJKLMNOPQRSTUVWXYZabcdefghijklmnopqrstuvwxyz0123456789,")))),"")</f>
        <v/>
      </c>
      <c r="D314" s="15" t="str">
        <v/>
      </c>
      <c r="E314" s="16" t="str">
        <v/>
      </c>
      <c r="F314" s="15" t="str">
        <v/>
      </c>
      <c r="G314" s="20" t="str" cm="1">
        <f t="array" ref="G314">IF(TRIM(P314)="","",IF(SUM(COUNTIF(P314,{"*NLGD*","*FWG*"}))&gt;0,P314,IF(SUM(COUNTIF(P314,{"*GL*","*DGB*","*DGI*","*GT*","*CS*","*PWU*","*DBI*","*SWU*"}))=0,P314,IF(IFERROR(VALUE(SUBSTITUTE(SUBSTITUTE(O314,"W",""),"""","")),0)&gt;52,P314&amp;"-OVRSIZE-",P314))))</f>
        <v/>
      </c>
      <c r="H314" s="15" t="str">
        <v/>
      </c>
      <c r="I314" s="15" t="str">
        <v/>
      </c>
      <c r="J314" s="15" t="str">
        <v/>
      </c>
      <c r="K314" s="15" t="str">
        <v/>
      </c>
      <c r="L314" s="15" t="str">
        <v/>
      </c>
      <c r="M314" s="10" t="str">
        <v/>
      </c>
      <c r="N314" s="14"/>
      <c r="O314" s="15" t="str" cm="1">
        <f t="array" ref="O314">IFERROR(_xlfn.LET(
_xlpm.clean,TRIM(SUBSTITUTE(SUBSTITUTE(P314,CHAR(160),"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4" s="15"/>
      <c r="R314" t="str">
        <v/>
      </c>
      <c r="S314" t="str">
        <f t="shared" si="5"/>
        <v/>
      </c>
    </row>
    <row r="315" spans="1:19" ht="12.75">
      <c r="A315" s="15" t="str">
        <v/>
      </c>
      <c r="B315" s="15" t="str">
        <v/>
      </c>
      <c r="C315" s="15" t="str" cm="1">
        <f t="array" ref="C315">IFERROR(_xlfn.TEXTJOIN("",TRUE,_xlfn._xlws.FILTER(MID(S315,_xlfn.SEQUENCE(LEN(S315)),1),ISNUMBER(SEARCH(MID(S315,_xlfn.SEQUENCE(LEN(S315)),1),"ABCDEFGHIJKLMNOPQRSTUVWXYZabcdefghijklmnopqrstuvwxyz0123456789,")))),"")</f>
        <v/>
      </c>
      <c r="D315" s="15" t="str">
        <v/>
      </c>
      <c r="E315" s="16" t="str">
        <v/>
      </c>
      <c r="F315" s="15" t="str">
        <v/>
      </c>
      <c r="G315" s="20" t="str" cm="1">
        <f t="array" ref="G315">IF(TRIM(P315)="","",IF(SUM(COUNTIF(P315,{"*NLGD*","*FWG*"}))&gt;0,P315,IF(SUM(COUNTIF(P315,{"*GL*","*DGB*","*DGI*","*GT*","*CS*","*PWU*","*DBI*","*SWU*"}))=0,P315,IF(IFERROR(VALUE(SUBSTITUTE(SUBSTITUTE(O315,"W",""),"""","")),0)&gt;52,P315&amp;"-OVRSIZE-",P315))))</f>
        <v/>
      </c>
      <c r="H315" s="15" t="str">
        <v/>
      </c>
      <c r="I315" s="15" t="str">
        <v/>
      </c>
      <c r="J315" s="15" t="str">
        <v/>
      </c>
      <c r="K315" s="15" t="str">
        <v/>
      </c>
      <c r="L315" s="15" t="str">
        <v/>
      </c>
      <c r="M315" s="10" t="str">
        <v/>
      </c>
      <c r="N315" s="14"/>
      <c r="O315" s="15" t="str" cm="1">
        <f t="array" ref="O315">IFERROR(_xlfn.LET(
_xlpm.clean,TRIM(SUBSTITUTE(SUBSTITUTE(P315,CHAR(160),"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5" s="15"/>
      <c r="R315" t="str">
        <v/>
      </c>
      <c r="S315" t="str">
        <f t="shared" si="5"/>
        <v/>
      </c>
    </row>
    <row r="316" spans="1:19" ht="12.75">
      <c r="A316" s="15" t="str">
        <v/>
      </c>
      <c r="B316" s="15" t="str">
        <v/>
      </c>
      <c r="C316" s="15" t="str" cm="1">
        <f t="array" ref="C316">IFERROR(_xlfn.TEXTJOIN("",TRUE,_xlfn._xlws.FILTER(MID(S316,_xlfn.SEQUENCE(LEN(S316)),1),ISNUMBER(SEARCH(MID(S316,_xlfn.SEQUENCE(LEN(S316)),1),"ABCDEFGHIJKLMNOPQRSTUVWXYZabcdefghijklmnopqrstuvwxyz0123456789,")))),"")</f>
        <v/>
      </c>
      <c r="D316" s="15" t="str">
        <v/>
      </c>
      <c r="E316" s="16" t="str">
        <v/>
      </c>
      <c r="F316" s="15" t="str">
        <v/>
      </c>
      <c r="G316" s="20" t="str" cm="1">
        <f t="array" ref="G316">IF(TRIM(P316)="","",IF(SUM(COUNTIF(P316,{"*NLGD*","*FWG*"}))&gt;0,P316,IF(SUM(COUNTIF(P316,{"*GL*","*DGB*","*DGI*","*GT*","*CS*","*PWU*","*DBI*","*SWU*"}))=0,P316,IF(IFERROR(VALUE(SUBSTITUTE(SUBSTITUTE(O316,"W",""),"""","")),0)&gt;52,P316&amp;"-OVRSIZE-",P316))))</f>
        <v/>
      </c>
      <c r="H316" s="15" t="str">
        <v/>
      </c>
      <c r="I316" s="15" t="str">
        <v/>
      </c>
      <c r="J316" s="15" t="str">
        <v/>
      </c>
      <c r="K316" s="15" t="str">
        <v/>
      </c>
      <c r="L316" s="15" t="str">
        <v/>
      </c>
      <c r="M316" s="10" t="str">
        <v/>
      </c>
      <c r="N316" s="14"/>
      <c r="O316" s="15" t="str" cm="1">
        <f t="array" ref="O316">IFERROR(_xlfn.LET(
_xlpm.clean,TRIM(SUBSTITUTE(SUBSTITUTE(P316,CHAR(160),"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6" s="15"/>
      <c r="R316" t="str">
        <v/>
      </c>
      <c r="S316" t="str">
        <f t="shared" si="5"/>
        <v/>
      </c>
    </row>
    <row r="317" spans="1:19" ht="12.75">
      <c r="A317" s="15" t="str">
        <v/>
      </c>
      <c r="B317" s="15" t="str">
        <v/>
      </c>
      <c r="C317" s="15" t="str" cm="1">
        <f t="array" ref="C317">IFERROR(_xlfn.TEXTJOIN("",TRUE,_xlfn._xlws.FILTER(MID(S317,_xlfn.SEQUENCE(LEN(S317)),1),ISNUMBER(SEARCH(MID(S317,_xlfn.SEQUENCE(LEN(S317)),1),"ABCDEFGHIJKLMNOPQRSTUVWXYZabcdefghijklmnopqrstuvwxyz0123456789,")))),"")</f>
        <v/>
      </c>
      <c r="D317" s="15" t="str">
        <v/>
      </c>
      <c r="E317" s="16" t="str">
        <v/>
      </c>
      <c r="F317" s="15" t="str">
        <v/>
      </c>
      <c r="G317" s="20" t="str" cm="1">
        <f t="array" ref="G317">IF(TRIM(P317)="","",IF(SUM(COUNTIF(P317,{"*NLGD*","*FWG*"}))&gt;0,P317,IF(SUM(COUNTIF(P317,{"*GL*","*DGB*","*DGI*","*GT*","*CS*","*PWU*","*DBI*","*SWU*"}))=0,P317,IF(IFERROR(VALUE(SUBSTITUTE(SUBSTITUTE(O317,"W",""),"""","")),0)&gt;52,P317&amp;"-OVRSIZE-",P317))))</f>
        <v/>
      </c>
      <c r="H317" s="15" t="str">
        <v/>
      </c>
      <c r="I317" s="15" t="str">
        <v/>
      </c>
      <c r="J317" s="15" t="str">
        <v/>
      </c>
      <c r="K317" s="15" t="str">
        <v/>
      </c>
      <c r="L317" s="15" t="str">
        <v/>
      </c>
      <c r="M317" s="10" t="str">
        <v/>
      </c>
      <c r="N317" s="14"/>
      <c r="O317" s="15" t="str" cm="1">
        <f t="array" ref="O317">IFERROR(_xlfn.LET(
_xlpm.clean,TRIM(SUBSTITUTE(SUBSTITUTE(P317,CHAR(160),"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7" s="15"/>
      <c r="R317" t="str">
        <v/>
      </c>
      <c r="S317" t="str">
        <f t="shared" si="5"/>
        <v/>
      </c>
    </row>
    <row r="318" spans="1:19" ht="12.75">
      <c r="A318" s="15" t="str">
        <v/>
      </c>
      <c r="B318" s="15" t="str">
        <v/>
      </c>
      <c r="C318" s="15" t="str" cm="1">
        <f t="array" ref="C318">IFERROR(_xlfn.TEXTJOIN("",TRUE,_xlfn._xlws.FILTER(MID(S318,_xlfn.SEQUENCE(LEN(S318)),1),ISNUMBER(SEARCH(MID(S318,_xlfn.SEQUENCE(LEN(S318)),1),"ABCDEFGHIJKLMNOPQRSTUVWXYZabcdefghijklmnopqrstuvwxyz0123456789,")))),"")</f>
        <v/>
      </c>
      <c r="D318" s="15" t="str">
        <v/>
      </c>
      <c r="E318" s="16" t="str">
        <v/>
      </c>
      <c r="F318" s="15" t="str">
        <v/>
      </c>
      <c r="G318" s="20" t="str" cm="1">
        <f t="array" ref="G318">IF(TRIM(P318)="","",IF(SUM(COUNTIF(P318,{"*NLGD*","*FWG*"}))&gt;0,P318,IF(SUM(COUNTIF(P318,{"*GL*","*DGB*","*DGI*","*GT*","*CS*","*PWU*","*DBI*","*SWU*"}))=0,P318,IF(IFERROR(VALUE(SUBSTITUTE(SUBSTITUTE(O318,"W",""),"""","")),0)&gt;52,P318&amp;"-OVRSIZE-",P318))))</f>
        <v/>
      </c>
      <c r="H318" s="15" t="str">
        <v/>
      </c>
      <c r="I318" s="15" t="str">
        <v/>
      </c>
      <c r="J318" s="15" t="str">
        <v/>
      </c>
      <c r="K318" s="15" t="str">
        <v/>
      </c>
      <c r="L318" s="15" t="str">
        <v/>
      </c>
      <c r="M318" s="10" t="str">
        <v/>
      </c>
      <c r="N318" s="14"/>
      <c r="O318" s="15" t="str" cm="1">
        <f t="array" ref="O318">IFERROR(_xlfn.LET(
_xlpm.clean,TRIM(SUBSTITUTE(SUBSTITUTE(P318,CHAR(160),"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8" s="15"/>
      <c r="R318" t="str">
        <v/>
      </c>
      <c r="S318" t="str">
        <f t="shared" si="5"/>
        <v/>
      </c>
    </row>
    <row r="319" spans="1:19" ht="12.75">
      <c r="A319" s="15" t="str">
        <v/>
      </c>
      <c r="B319" s="15" t="str">
        <v/>
      </c>
      <c r="C319" s="15" t="str" cm="1">
        <f t="array" ref="C319">IFERROR(_xlfn.TEXTJOIN("",TRUE,_xlfn._xlws.FILTER(MID(S319,_xlfn.SEQUENCE(LEN(S319)),1),ISNUMBER(SEARCH(MID(S319,_xlfn.SEQUENCE(LEN(S319)),1),"ABCDEFGHIJKLMNOPQRSTUVWXYZabcdefghijklmnopqrstuvwxyz0123456789,")))),"")</f>
        <v/>
      </c>
      <c r="D319" s="15" t="str">
        <v/>
      </c>
      <c r="E319" s="16" t="str">
        <v/>
      </c>
      <c r="F319" s="15" t="str">
        <v/>
      </c>
      <c r="G319" s="20" t="str" cm="1">
        <f t="array" ref="G319">IF(TRIM(P319)="","",IF(SUM(COUNTIF(P319,{"*NLGD*","*FWG*"}))&gt;0,P319,IF(SUM(COUNTIF(P319,{"*GL*","*DGB*","*DGI*","*GT*","*CS*","*PWU*","*DBI*","*SWU*"}))=0,P319,IF(IFERROR(VALUE(SUBSTITUTE(SUBSTITUTE(O319,"W",""),"""","")),0)&gt;52,P319&amp;"-OVRSIZE-",P319))))</f>
        <v/>
      </c>
      <c r="H319" s="15" t="str">
        <v/>
      </c>
      <c r="I319" s="15" t="str">
        <v/>
      </c>
      <c r="J319" s="15" t="str">
        <v/>
      </c>
      <c r="K319" s="15" t="str">
        <v/>
      </c>
      <c r="L319" s="15" t="str">
        <v/>
      </c>
      <c r="M319" s="10" t="str">
        <v/>
      </c>
      <c r="N319" s="14"/>
      <c r="O319" s="15" t="str" cm="1">
        <f t="array" ref="O319">IFERROR(_xlfn.LET(
_xlpm.clean,TRIM(SUBSTITUTE(SUBSTITUTE(P319,CHAR(160),"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9" s="15"/>
      <c r="R319" t="str">
        <v/>
      </c>
      <c r="S319" t="str">
        <f t="shared" si="5"/>
        <v/>
      </c>
    </row>
    <row r="320" spans="1:19" ht="12.75">
      <c r="A320" s="15" t="str">
        <v/>
      </c>
      <c r="B320" s="15" t="str">
        <v/>
      </c>
      <c r="C320" s="15" t="str" cm="1">
        <f t="array" ref="C320">IFERROR(_xlfn.TEXTJOIN("",TRUE,_xlfn._xlws.FILTER(MID(S320,_xlfn.SEQUENCE(LEN(S320)),1),ISNUMBER(SEARCH(MID(S320,_xlfn.SEQUENCE(LEN(S320)),1),"ABCDEFGHIJKLMNOPQRSTUVWXYZabcdefghijklmnopqrstuvwxyz0123456789,")))),"")</f>
        <v/>
      </c>
      <c r="D320" s="15" t="str">
        <v/>
      </c>
      <c r="E320" s="16" t="str">
        <v/>
      </c>
      <c r="F320" s="15" t="str">
        <v/>
      </c>
      <c r="G320" s="20" t="str" cm="1">
        <f t="array" ref="G320">IF(TRIM(P320)="","",IF(SUM(COUNTIF(P320,{"*NLGD*","*FWG*"}))&gt;0,P320,IF(SUM(COUNTIF(P320,{"*GL*","*DGB*","*DGI*","*GT*","*CS*","*PWU*","*DBI*","*SWU*"}))=0,P320,IF(IFERROR(VALUE(SUBSTITUTE(SUBSTITUTE(O320,"W",""),"""","")),0)&gt;52,P320&amp;"-OVRSIZE-",P320))))</f>
        <v/>
      </c>
      <c r="H320" s="15" t="str">
        <v/>
      </c>
      <c r="I320" s="15" t="str">
        <v/>
      </c>
      <c r="J320" s="15" t="str">
        <v/>
      </c>
      <c r="K320" s="15" t="str">
        <v/>
      </c>
      <c r="L320" s="15" t="str">
        <v/>
      </c>
      <c r="M320" s="10" t="str">
        <v/>
      </c>
      <c r="N320" s="14"/>
      <c r="O320" s="15" t="str" cm="1">
        <f t="array" ref="O320">IFERROR(_xlfn.LET(
_xlpm.clean,TRIM(SUBSTITUTE(SUBSTITUTE(P320,CHAR(160),"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0" s="15"/>
      <c r="R320" t="str">
        <v/>
      </c>
      <c r="S320" t="str">
        <f t="shared" si="5"/>
        <v/>
      </c>
    </row>
    <row r="321" spans="1:19" ht="12.75">
      <c r="A321" s="15" t="str">
        <v/>
      </c>
      <c r="B321" s="15" t="str">
        <v/>
      </c>
      <c r="C321" s="15" t="str" cm="1">
        <f t="array" ref="C321">IFERROR(_xlfn.TEXTJOIN("",TRUE,_xlfn._xlws.FILTER(MID(S321,_xlfn.SEQUENCE(LEN(S321)),1),ISNUMBER(SEARCH(MID(S321,_xlfn.SEQUENCE(LEN(S321)),1),"ABCDEFGHIJKLMNOPQRSTUVWXYZabcdefghijklmnopqrstuvwxyz0123456789,")))),"")</f>
        <v/>
      </c>
      <c r="D321" s="15" t="str">
        <v/>
      </c>
      <c r="E321" s="16" t="str">
        <v/>
      </c>
      <c r="F321" s="15" t="str">
        <v/>
      </c>
      <c r="G321" s="20" t="str" cm="1">
        <f t="array" ref="G321">IF(TRIM(P321)="","",IF(SUM(COUNTIF(P321,{"*NLGD*","*FWG*"}))&gt;0,P321,IF(SUM(COUNTIF(P321,{"*GL*","*DGB*","*DGI*","*GT*","*CS*","*PWU*","*DBI*","*SWU*"}))=0,P321,IF(IFERROR(VALUE(SUBSTITUTE(SUBSTITUTE(O321,"W",""),"""","")),0)&gt;52,P321&amp;"-OVRSIZE-",P321))))</f>
        <v/>
      </c>
      <c r="H321" s="15" t="str">
        <v/>
      </c>
      <c r="I321" s="15" t="str">
        <v/>
      </c>
      <c r="J321" s="15" t="str">
        <v/>
      </c>
      <c r="K321" s="15" t="str">
        <v/>
      </c>
      <c r="L321" s="15" t="str">
        <v/>
      </c>
      <c r="M321" s="10" t="str">
        <v/>
      </c>
      <c r="N321" s="14"/>
      <c r="O321" s="15" t="str" cm="1">
        <f t="array" ref="O321">IFERROR(_xlfn.LET(
_xlpm.clean,TRIM(SUBSTITUTE(SUBSTITUTE(P321,CHAR(160),"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1" s="15"/>
      <c r="R321" t="str">
        <v/>
      </c>
      <c r="S321" t="str">
        <f t="shared" si="5"/>
        <v/>
      </c>
    </row>
    <row r="322" spans="1:19" ht="12.75">
      <c r="A322" s="15" t="str">
        <v/>
      </c>
      <c r="B322" s="15" t="str">
        <v/>
      </c>
      <c r="C322" s="15" t="str" cm="1">
        <f t="array" ref="C322">IFERROR(_xlfn.TEXTJOIN("",TRUE,_xlfn._xlws.FILTER(MID(S322,_xlfn.SEQUENCE(LEN(S322)),1),ISNUMBER(SEARCH(MID(S322,_xlfn.SEQUENCE(LEN(S322)),1),"ABCDEFGHIJKLMNOPQRSTUVWXYZabcdefghijklmnopqrstuvwxyz0123456789,")))),"")</f>
        <v/>
      </c>
      <c r="D322" s="15" t="str">
        <v/>
      </c>
      <c r="E322" s="16" t="str">
        <v/>
      </c>
      <c r="F322" s="15" t="str">
        <v/>
      </c>
      <c r="G322" s="20" t="str" cm="1">
        <f t="array" ref="G322">IF(TRIM(P322)="","",IF(SUM(COUNTIF(P322,{"*NLGD*","*FWG*"}))&gt;0,P322,IF(SUM(COUNTIF(P322,{"*GL*","*DGB*","*DGI*","*GT*","*CS*","*PWU*","*DBI*","*SWU*"}))=0,P322,IF(IFERROR(VALUE(SUBSTITUTE(SUBSTITUTE(O322,"W",""),"""","")),0)&gt;52,P322&amp;"-OVRSIZE-",P322))))</f>
        <v/>
      </c>
      <c r="H322" s="15" t="str">
        <v/>
      </c>
      <c r="I322" s="15" t="str">
        <v/>
      </c>
      <c r="J322" s="15" t="str">
        <v/>
      </c>
      <c r="K322" s="15" t="str">
        <v/>
      </c>
      <c r="L322" s="15" t="str">
        <v/>
      </c>
      <c r="M322" s="10" t="str">
        <v/>
      </c>
      <c r="N322" s="14"/>
      <c r="O322" s="15" t="str" cm="1">
        <f t="array" ref="O322">IFERROR(_xlfn.LET(
_xlpm.clean,TRIM(SUBSTITUTE(SUBSTITUTE(P322,CHAR(160),"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2" s="15"/>
      <c r="R322" t="str">
        <v/>
      </c>
      <c r="S322" t="str">
        <f t="shared" si="5"/>
        <v/>
      </c>
    </row>
    <row r="323" spans="1:19" ht="12.75">
      <c r="A323" s="15" t="str">
        <v/>
      </c>
      <c r="B323" s="15" t="str">
        <v/>
      </c>
      <c r="C323" s="15" t="str" cm="1">
        <f t="array" ref="C323">IFERROR(_xlfn.TEXTJOIN("",TRUE,_xlfn._xlws.FILTER(MID(S323,_xlfn.SEQUENCE(LEN(S323)),1),ISNUMBER(SEARCH(MID(S323,_xlfn.SEQUENCE(LEN(S323)),1),"ABCDEFGHIJKLMNOPQRSTUVWXYZabcdefghijklmnopqrstuvwxyz0123456789,")))),"")</f>
        <v/>
      </c>
      <c r="D323" s="15" t="str">
        <v/>
      </c>
      <c r="E323" s="16" t="str">
        <v/>
      </c>
      <c r="F323" s="15" t="str">
        <v/>
      </c>
      <c r="G323" s="20" t="str" cm="1">
        <f t="array" ref="G323">IF(TRIM(P323)="","",IF(SUM(COUNTIF(P323,{"*NLGD*","*FWG*"}))&gt;0,P323,IF(SUM(COUNTIF(P323,{"*GL*","*DGB*","*DGI*","*GT*","*CS*","*PWU*","*DBI*","*SWU*"}))=0,P323,IF(IFERROR(VALUE(SUBSTITUTE(SUBSTITUTE(O323,"W",""),"""","")),0)&gt;52,P323&amp;"-OVRSIZE-",P323))))</f>
        <v/>
      </c>
      <c r="H323" s="15" t="str">
        <v/>
      </c>
      <c r="I323" s="15" t="str">
        <v/>
      </c>
      <c r="J323" s="15" t="str">
        <v/>
      </c>
      <c r="K323" s="15" t="str">
        <v/>
      </c>
      <c r="L323" s="15" t="str">
        <v/>
      </c>
      <c r="M323" s="10" t="str">
        <v/>
      </c>
      <c r="N323" s="14"/>
      <c r="O323" s="15" t="str" cm="1">
        <f t="array" ref="O323">IFERROR(_xlfn.LET(
_xlpm.clean,TRIM(SUBSTITUTE(SUBSTITUTE(P323,CHAR(160),"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3" s="15"/>
      <c r="R323" t="str">
        <v/>
      </c>
      <c r="S323" t="str">
        <f t="shared" si="5"/>
        <v/>
      </c>
    </row>
    <row r="324" spans="1:19" ht="12.75">
      <c r="A324" s="15" t="str">
        <v/>
      </c>
      <c r="B324" s="15" t="str">
        <v/>
      </c>
      <c r="C324" s="15" t="str" cm="1">
        <f t="array" ref="C324">IFERROR(_xlfn.TEXTJOIN("",TRUE,_xlfn._xlws.FILTER(MID(S324,_xlfn.SEQUENCE(LEN(S324)),1),ISNUMBER(SEARCH(MID(S324,_xlfn.SEQUENCE(LEN(S324)),1),"ABCDEFGHIJKLMNOPQRSTUVWXYZabcdefghijklmnopqrstuvwxyz0123456789,")))),"")</f>
        <v/>
      </c>
      <c r="D324" s="15" t="str">
        <v/>
      </c>
      <c r="E324" s="16" t="str">
        <v/>
      </c>
      <c r="F324" s="15" t="str">
        <v/>
      </c>
      <c r="G324" s="20" t="str" cm="1">
        <f t="array" ref="G324">IF(TRIM(P324)="","",IF(SUM(COUNTIF(P324,{"*NLGD*","*FWG*"}))&gt;0,P324,IF(SUM(COUNTIF(P324,{"*GL*","*DGB*","*DGI*","*GT*","*CS*","*PWU*","*DBI*","*SWU*"}))=0,P324,IF(IFERROR(VALUE(SUBSTITUTE(SUBSTITUTE(O324,"W",""),"""","")),0)&gt;52,P324&amp;"-OVRSIZE-",P324))))</f>
        <v/>
      </c>
      <c r="H324" s="15" t="str">
        <v/>
      </c>
      <c r="I324" s="15" t="str">
        <v/>
      </c>
      <c r="J324" s="15" t="str">
        <v/>
      </c>
      <c r="K324" s="15" t="str">
        <v/>
      </c>
      <c r="L324" s="15" t="str">
        <v/>
      </c>
      <c r="M324" s="10" t="str">
        <v/>
      </c>
      <c r="N324" s="14"/>
      <c r="O324" s="15" t="str" cm="1">
        <f t="array" ref="O324">IFERROR(_xlfn.LET(
_xlpm.clean,TRIM(SUBSTITUTE(SUBSTITUTE(P324,CHAR(160),"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4" s="15"/>
      <c r="R324" t="str">
        <v/>
      </c>
      <c r="S324" t="str">
        <f t="shared" si="5"/>
        <v/>
      </c>
    </row>
    <row r="325" spans="1:19" ht="12.75">
      <c r="A325" s="15" t="str">
        <v/>
      </c>
      <c r="B325" s="15" t="str">
        <v/>
      </c>
      <c r="C325" s="15" t="str" cm="1">
        <f t="array" ref="C325">IFERROR(_xlfn.TEXTJOIN("",TRUE,_xlfn._xlws.FILTER(MID(S325,_xlfn.SEQUENCE(LEN(S325)),1),ISNUMBER(SEARCH(MID(S325,_xlfn.SEQUENCE(LEN(S325)),1),"ABCDEFGHIJKLMNOPQRSTUVWXYZabcdefghijklmnopqrstuvwxyz0123456789,")))),"")</f>
        <v/>
      </c>
      <c r="D325" s="15" t="str">
        <v/>
      </c>
      <c r="E325" s="16" t="str">
        <v/>
      </c>
      <c r="F325" s="15" t="str">
        <v/>
      </c>
      <c r="G325" s="20" t="str" cm="1">
        <f t="array" ref="G325">IF(TRIM(P325)="","",IF(SUM(COUNTIF(P325,{"*NLGD*","*FWG*"}))&gt;0,P325,IF(SUM(COUNTIF(P325,{"*GL*","*DGB*","*DGI*","*GT*","*CS*","*PWU*","*DBI*","*SWU*"}))=0,P325,IF(IFERROR(VALUE(SUBSTITUTE(SUBSTITUTE(O325,"W",""),"""","")),0)&gt;52,P325&amp;"-OVRSIZE-",P325))))</f>
        <v/>
      </c>
      <c r="H325" s="15" t="str">
        <v/>
      </c>
      <c r="I325" s="15" t="str">
        <v/>
      </c>
      <c r="J325" s="15" t="str">
        <v/>
      </c>
      <c r="K325" s="15" t="str">
        <v/>
      </c>
      <c r="L325" s="15" t="str">
        <v/>
      </c>
      <c r="M325" s="10" t="str">
        <v/>
      </c>
      <c r="N325" s="14"/>
      <c r="O325" s="15" t="str" cm="1">
        <f t="array" ref="O325">IFERROR(_xlfn.LET(
_xlpm.clean,TRIM(SUBSTITUTE(SUBSTITUTE(P325,CHAR(160),"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5" s="15"/>
      <c r="R325" t="str">
        <v/>
      </c>
      <c r="S325" t="str">
        <f t="shared" si="5"/>
        <v/>
      </c>
    </row>
    <row r="326" spans="1:19" ht="12.75">
      <c r="A326" s="15" t="str">
        <v/>
      </c>
      <c r="B326" s="15" t="str">
        <v/>
      </c>
      <c r="C326" s="15" t="str" cm="1">
        <f t="array" ref="C326">IFERROR(_xlfn.TEXTJOIN("",TRUE,_xlfn._xlws.FILTER(MID(S326,_xlfn.SEQUENCE(LEN(S326)),1),ISNUMBER(SEARCH(MID(S326,_xlfn.SEQUENCE(LEN(S326)),1),"ABCDEFGHIJKLMNOPQRSTUVWXYZabcdefghijklmnopqrstuvwxyz0123456789,")))),"")</f>
        <v/>
      </c>
      <c r="D326" s="15" t="str">
        <v/>
      </c>
      <c r="E326" s="16" t="str">
        <v/>
      </c>
      <c r="F326" s="15" t="str">
        <v/>
      </c>
      <c r="G326" s="20" t="str" cm="1">
        <f t="array" ref="G326">IF(TRIM(P326)="","",IF(SUM(COUNTIF(P326,{"*NLGD*","*FWG*"}))&gt;0,P326,IF(SUM(COUNTIF(P326,{"*GL*","*DGB*","*DGI*","*GT*","*CS*","*PWU*","*DBI*","*SWU*"}))=0,P326,IF(IFERROR(VALUE(SUBSTITUTE(SUBSTITUTE(O326,"W",""),"""","")),0)&gt;52,P326&amp;"-OVRSIZE-",P326))))</f>
        <v/>
      </c>
      <c r="H326" s="15" t="str">
        <v/>
      </c>
      <c r="I326" s="15" t="str">
        <v/>
      </c>
      <c r="J326" s="15" t="str">
        <v/>
      </c>
      <c r="K326" s="15" t="str">
        <v/>
      </c>
      <c r="L326" s="15" t="str">
        <v/>
      </c>
      <c r="M326" s="10" t="str">
        <v/>
      </c>
      <c r="N326" s="14"/>
      <c r="O326" s="15" t="str" cm="1">
        <f t="array" ref="O326">IFERROR(_xlfn.LET(
_xlpm.clean,TRIM(SUBSTITUTE(SUBSTITUTE(P326,CHAR(160),"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6" s="15"/>
      <c r="R326" t="str">
        <v/>
      </c>
      <c r="S326" t="str">
        <f t="shared" si="5"/>
        <v/>
      </c>
    </row>
    <row r="327" spans="1:19" ht="12.75">
      <c r="A327" s="15" t="str">
        <v/>
      </c>
      <c r="B327" s="15" t="str">
        <v/>
      </c>
      <c r="C327" s="15" t="str" cm="1">
        <f t="array" ref="C327">IFERROR(_xlfn.TEXTJOIN("",TRUE,_xlfn._xlws.FILTER(MID(S327,_xlfn.SEQUENCE(LEN(S327)),1),ISNUMBER(SEARCH(MID(S327,_xlfn.SEQUENCE(LEN(S327)),1),"ABCDEFGHIJKLMNOPQRSTUVWXYZabcdefghijklmnopqrstuvwxyz0123456789,")))),"")</f>
        <v/>
      </c>
      <c r="D327" s="15" t="str">
        <v/>
      </c>
      <c r="E327" s="16" t="str">
        <v/>
      </c>
      <c r="F327" s="15" t="str">
        <v/>
      </c>
      <c r="G327" s="20" t="str" cm="1">
        <f t="array" ref="G327">IF(TRIM(P327)="","",IF(SUM(COUNTIF(P327,{"*NLGD*","*FWG*"}))&gt;0,P327,IF(SUM(COUNTIF(P327,{"*GL*","*DGB*","*DGI*","*GT*","*CS*","*PWU*","*DBI*","*SWU*"}))=0,P327,IF(IFERROR(VALUE(SUBSTITUTE(SUBSTITUTE(O327,"W",""),"""","")),0)&gt;52,P327&amp;"-OVRSIZE-",P327))))</f>
        <v/>
      </c>
      <c r="H327" s="15" t="str">
        <v/>
      </c>
      <c r="I327" s="15" t="str">
        <v/>
      </c>
      <c r="J327" s="15" t="str">
        <v/>
      </c>
      <c r="K327" s="15" t="str">
        <v/>
      </c>
      <c r="L327" s="15" t="str">
        <v/>
      </c>
      <c r="M327" s="10" t="str">
        <v/>
      </c>
      <c r="N327" s="14"/>
      <c r="O327" s="15" t="str" cm="1">
        <f t="array" ref="O327">IFERROR(_xlfn.LET(
_xlpm.clean,TRIM(SUBSTITUTE(SUBSTITUTE(P327,CHAR(160),"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7" s="15"/>
      <c r="R327" t="str">
        <v/>
      </c>
      <c r="S327" t="str">
        <f t="shared" si="5"/>
        <v/>
      </c>
    </row>
    <row r="328" spans="1:19" ht="12.75">
      <c r="A328" s="15" t="str">
        <v/>
      </c>
      <c r="B328" s="15" t="str">
        <v/>
      </c>
      <c r="C328" s="15" t="str" cm="1">
        <f t="array" ref="C328">IFERROR(_xlfn.TEXTJOIN("",TRUE,_xlfn._xlws.FILTER(MID(S328,_xlfn.SEQUENCE(LEN(S328)),1),ISNUMBER(SEARCH(MID(S328,_xlfn.SEQUENCE(LEN(S328)),1),"ABCDEFGHIJKLMNOPQRSTUVWXYZabcdefghijklmnopqrstuvwxyz0123456789,")))),"")</f>
        <v/>
      </c>
      <c r="D328" s="15" t="str">
        <v/>
      </c>
      <c r="E328" s="16" t="str">
        <v/>
      </c>
      <c r="F328" s="15" t="str">
        <v/>
      </c>
      <c r="G328" s="20" t="str" cm="1">
        <f t="array" ref="G328">IF(TRIM(P328)="","",IF(SUM(COUNTIF(P328,{"*NLGD*","*FWG*"}))&gt;0,P328,IF(SUM(COUNTIF(P328,{"*GL*","*DGB*","*DGI*","*GT*","*CS*","*PWU*","*DBI*","*SWU*"}))=0,P328,IF(IFERROR(VALUE(SUBSTITUTE(SUBSTITUTE(O328,"W",""),"""","")),0)&gt;52,P328&amp;"-OVRSIZE-",P328))))</f>
        <v/>
      </c>
      <c r="H328" s="15" t="str">
        <v/>
      </c>
      <c r="I328" s="15" t="str">
        <v/>
      </c>
      <c r="J328" s="15" t="str">
        <v/>
      </c>
      <c r="K328" s="15" t="str">
        <v/>
      </c>
      <c r="L328" s="15" t="str">
        <v/>
      </c>
      <c r="M328" s="10" t="str">
        <v/>
      </c>
      <c r="N328" s="14"/>
      <c r="O328" s="15" t="str" cm="1">
        <f t="array" ref="O328">IFERROR(_xlfn.LET(
_xlpm.clean,TRIM(SUBSTITUTE(SUBSTITUTE(P328,CHAR(160),"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8" s="15"/>
      <c r="R328" t="str">
        <v/>
      </c>
      <c r="S328" t="str">
        <f t="shared" ref="S328:S391" si="6">IF(R328="","",_xlfn.LET(
_xlpm.x,TRIM(SUBSTITUTE(SUBSTITUTE(SUBSTITUTE(SUBSTITUTE(R328,":","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329" spans="1:19" ht="12.75">
      <c r="A329" s="15" t="str">
        <v/>
      </c>
      <c r="B329" s="15" t="str">
        <v/>
      </c>
      <c r="C329" s="15" t="str" cm="1">
        <f t="array" ref="C329">IFERROR(_xlfn.TEXTJOIN("",TRUE,_xlfn._xlws.FILTER(MID(S329,_xlfn.SEQUENCE(LEN(S329)),1),ISNUMBER(SEARCH(MID(S329,_xlfn.SEQUENCE(LEN(S329)),1),"ABCDEFGHIJKLMNOPQRSTUVWXYZabcdefghijklmnopqrstuvwxyz0123456789,")))),"")</f>
        <v/>
      </c>
      <c r="D329" s="15" t="str">
        <v/>
      </c>
      <c r="E329" s="16" t="str">
        <v/>
      </c>
      <c r="F329" s="15" t="str">
        <v/>
      </c>
      <c r="G329" s="20" t="str" cm="1">
        <f t="array" ref="G329">IF(TRIM(P329)="","",IF(SUM(COUNTIF(P329,{"*NLGD*","*FWG*"}))&gt;0,P329,IF(SUM(COUNTIF(P329,{"*GL*","*DGB*","*DGI*","*GT*","*CS*","*PWU*","*DBI*","*SWU*"}))=0,P329,IF(IFERROR(VALUE(SUBSTITUTE(SUBSTITUTE(O329,"W",""),"""","")),0)&gt;52,P329&amp;"-OVRSIZE-",P329))))</f>
        <v/>
      </c>
      <c r="H329" s="15" t="str">
        <v/>
      </c>
      <c r="I329" s="15" t="str">
        <v/>
      </c>
      <c r="J329" s="15" t="str">
        <v/>
      </c>
      <c r="K329" s="15" t="str">
        <v/>
      </c>
      <c r="L329" s="15" t="str">
        <v/>
      </c>
      <c r="M329" s="10" t="str">
        <v/>
      </c>
      <c r="N329" s="14"/>
      <c r="O329" s="15" t="str" cm="1">
        <f t="array" ref="O329">IFERROR(_xlfn.LET(
_xlpm.clean,TRIM(SUBSTITUTE(SUBSTITUTE(P329,CHAR(160),"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9" s="15"/>
      <c r="R329" t="str">
        <v/>
      </c>
      <c r="S329" t="str">
        <f t="shared" si="6"/>
        <v/>
      </c>
    </row>
    <row r="330" spans="1:19" ht="12.75">
      <c r="A330" s="15" t="str">
        <v/>
      </c>
      <c r="B330" s="15" t="str">
        <v/>
      </c>
      <c r="C330" s="15" t="str" cm="1">
        <f t="array" ref="C330">IFERROR(_xlfn.TEXTJOIN("",TRUE,_xlfn._xlws.FILTER(MID(S330,_xlfn.SEQUENCE(LEN(S330)),1),ISNUMBER(SEARCH(MID(S330,_xlfn.SEQUENCE(LEN(S330)),1),"ABCDEFGHIJKLMNOPQRSTUVWXYZabcdefghijklmnopqrstuvwxyz0123456789,")))),"")</f>
        <v/>
      </c>
      <c r="D330" s="15" t="str">
        <v/>
      </c>
      <c r="E330" s="16" t="str">
        <v/>
      </c>
      <c r="F330" s="15" t="str">
        <v/>
      </c>
      <c r="G330" s="20" t="str" cm="1">
        <f t="array" ref="G330">IF(TRIM(P330)="","",IF(SUM(COUNTIF(P330,{"*NLGD*","*FWG*"}))&gt;0,P330,IF(SUM(COUNTIF(P330,{"*GL*","*DGB*","*DGI*","*GT*","*CS*","*PWU*","*DBI*","*SWU*"}))=0,P330,IF(IFERROR(VALUE(SUBSTITUTE(SUBSTITUTE(O330,"W",""),"""","")),0)&gt;52,P330&amp;"-OVRSIZE-",P330))))</f>
        <v/>
      </c>
      <c r="H330" s="15" t="str">
        <v/>
      </c>
      <c r="I330" s="15" t="str">
        <v/>
      </c>
      <c r="J330" s="15" t="str">
        <v/>
      </c>
      <c r="K330" s="15" t="str">
        <v/>
      </c>
      <c r="L330" s="15" t="str">
        <v/>
      </c>
      <c r="M330" s="10" t="str">
        <v/>
      </c>
      <c r="N330" s="14"/>
      <c r="O330" s="15" t="str" cm="1">
        <f t="array" ref="O330">IFERROR(_xlfn.LET(
_xlpm.clean,TRIM(SUBSTITUTE(SUBSTITUTE(P330,CHAR(160),"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0" s="15"/>
      <c r="R330" t="str">
        <v/>
      </c>
      <c r="S330" t="str">
        <f t="shared" si="6"/>
        <v/>
      </c>
    </row>
    <row r="331" spans="1:19" ht="12.75">
      <c r="A331" s="15" t="str">
        <v/>
      </c>
      <c r="B331" s="15" t="str">
        <v/>
      </c>
      <c r="C331" s="15" t="str" cm="1">
        <f t="array" ref="C331">IFERROR(_xlfn.TEXTJOIN("",TRUE,_xlfn._xlws.FILTER(MID(S331,_xlfn.SEQUENCE(LEN(S331)),1),ISNUMBER(SEARCH(MID(S331,_xlfn.SEQUENCE(LEN(S331)),1),"ABCDEFGHIJKLMNOPQRSTUVWXYZabcdefghijklmnopqrstuvwxyz0123456789,")))),"")</f>
        <v/>
      </c>
      <c r="D331" s="15" t="str">
        <v/>
      </c>
      <c r="E331" s="16" t="str">
        <v/>
      </c>
      <c r="F331" s="15" t="str">
        <v/>
      </c>
      <c r="G331" s="20" t="str" cm="1">
        <f t="array" ref="G331">IF(TRIM(P331)="","",IF(SUM(COUNTIF(P331,{"*NLGD*","*FWG*"}))&gt;0,P331,IF(SUM(COUNTIF(P331,{"*GL*","*DGB*","*DGI*","*GT*","*CS*","*PWU*","*DBI*","*SWU*"}))=0,P331,IF(IFERROR(VALUE(SUBSTITUTE(SUBSTITUTE(O331,"W",""),"""","")),0)&gt;52,P331&amp;"-OVRSIZE-",P331))))</f>
        <v/>
      </c>
      <c r="H331" s="15" t="str">
        <v/>
      </c>
      <c r="I331" s="15" t="str">
        <v/>
      </c>
      <c r="J331" s="15" t="str">
        <v/>
      </c>
      <c r="K331" s="15" t="str">
        <v/>
      </c>
      <c r="L331" s="15" t="str">
        <v/>
      </c>
      <c r="M331" s="10" t="str">
        <v/>
      </c>
      <c r="N331" s="14"/>
      <c r="O331" s="15" t="str" cm="1">
        <f t="array" ref="O331">IFERROR(_xlfn.LET(
_xlpm.clean,TRIM(SUBSTITUTE(SUBSTITUTE(P331,CHAR(160),"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1" s="15"/>
      <c r="R331" t="str">
        <v/>
      </c>
      <c r="S331" t="str">
        <f t="shared" si="6"/>
        <v/>
      </c>
    </row>
    <row r="332" spans="1:19" ht="12.75">
      <c r="A332" s="15" t="str">
        <v/>
      </c>
      <c r="B332" s="15" t="str">
        <v/>
      </c>
      <c r="C332" s="15" t="str" cm="1">
        <f t="array" ref="C332">IFERROR(_xlfn.TEXTJOIN("",TRUE,_xlfn._xlws.FILTER(MID(S332,_xlfn.SEQUENCE(LEN(S332)),1),ISNUMBER(SEARCH(MID(S332,_xlfn.SEQUENCE(LEN(S332)),1),"ABCDEFGHIJKLMNOPQRSTUVWXYZabcdefghijklmnopqrstuvwxyz0123456789,")))),"")</f>
        <v/>
      </c>
      <c r="D332" s="15" t="str">
        <v/>
      </c>
      <c r="E332" s="16" t="str">
        <v/>
      </c>
      <c r="F332" s="15" t="str">
        <v/>
      </c>
      <c r="G332" s="20" t="str" cm="1">
        <f t="array" ref="G332">IF(TRIM(P332)="","",IF(SUM(COUNTIF(P332,{"*NLGD*","*FWG*"}))&gt;0,P332,IF(SUM(COUNTIF(P332,{"*GL*","*DGB*","*DGI*","*GT*","*CS*","*PWU*","*DBI*","*SWU*"}))=0,P332,IF(IFERROR(VALUE(SUBSTITUTE(SUBSTITUTE(O332,"W",""),"""","")),0)&gt;52,P332&amp;"-OVRSIZE-",P332))))</f>
        <v/>
      </c>
      <c r="H332" s="15" t="str">
        <v/>
      </c>
      <c r="I332" s="15" t="str">
        <v/>
      </c>
      <c r="J332" s="15" t="str">
        <v/>
      </c>
      <c r="K332" s="15" t="str">
        <v/>
      </c>
      <c r="L332" s="15" t="str">
        <v/>
      </c>
      <c r="M332" s="10" t="str">
        <v/>
      </c>
      <c r="N332" s="14"/>
      <c r="O332" s="15" t="str" cm="1">
        <f t="array" ref="O332">IFERROR(_xlfn.LET(
_xlpm.clean,TRIM(SUBSTITUTE(SUBSTITUTE(P332,CHAR(160),"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2" s="15"/>
      <c r="R332" t="str">
        <v/>
      </c>
      <c r="S332" t="str">
        <f t="shared" si="6"/>
        <v/>
      </c>
    </row>
    <row r="333" spans="1:19" ht="12.75">
      <c r="A333" s="15" t="str">
        <v/>
      </c>
      <c r="B333" s="15" t="str">
        <v/>
      </c>
      <c r="C333" s="15" t="str" cm="1">
        <f t="array" ref="C333">IFERROR(_xlfn.TEXTJOIN("",TRUE,_xlfn._xlws.FILTER(MID(S333,_xlfn.SEQUENCE(LEN(S333)),1),ISNUMBER(SEARCH(MID(S333,_xlfn.SEQUENCE(LEN(S333)),1),"ABCDEFGHIJKLMNOPQRSTUVWXYZabcdefghijklmnopqrstuvwxyz0123456789,")))),"")</f>
        <v/>
      </c>
      <c r="D333" s="15" t="str">
        <v/>
      </c>
      <c r="E333" s="16" t="str">
        <v/>
      </c>
      <c r="F333" s="15" t="str">
        <v/>
      </c>
      <c r="G333" s="20" t="str" cm="1">
        <f t="array" ref="G333">IF(TRIM(P333)="","",IF(SUM(COUNTIF(P333,{"*NLGD*","*FWG*"}))&gt;0,P333,IF(SUM(COUNTIF(P333,{"*GL*","*DGB*","*DGI*","*GT*","*CS*","*PWU*","*DBI*","*SWU*"}))=0,P333,IF(IFERROR(VALUE(SUBSTITUTE(SUBSTITUTE(O333,"W",""),"""","")),0)&gt;52,P333&amp;"-OVRSIZE-",P333))))</f>
        <v/>
      </c>
      <c r="H333" s="15" t="str">
        <v/>
      </c>
      <c r="I333" s="15" t="str">
        <v/>
      </c>
      <c r="J333" s="15" t="str">
        <v/>
      </c>
      <c r="K333" s="15" t="str">
        <v/>
      </c>
      <c r="L333" s="15" t="str">
        <v/>
      </c>
      <c r="M333" s="10" t="str">
        <v/>
      </c>
      <c r="N333" s="14"/>
      <c r="O333" s="15" t="str" cm="1">
        <f t="array" ref="O333">IFERROR(_xlfn.LET(
_xlpm.clean,TRIM(SUBSTITUTE(SUBSTITUTE(P333,CHAR(160),"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3" s="15"/>
      <c r="R333" t="str">
        <v/>
      </c>
      <c r="S333" t="str">
        <f t="shared" si="6"/>
        <v/>
      </c>
    </row>
    <row r="334" spans="1:19" ht="12.75">
      <c r="A334" s="15" t="str">
        <v/>
      </c>
      <c r="B334" s="15" t="str">
        <v/>
      </c>
      <c r="C334" s="15" t="str" cm="1">
        <f t="array" ref="C334">IFERROR(_xlfn.TEXTJOIN("",TRUE,_xlfn._xlws.FILTER(MID(S334,_xlfn.SEQUENCE(LEN(S334)),1),ISNUMBER(SEARCH(MID(S334,_xlfn.SEQUENCE(LEN(S334)),1),"ABCDEFGHIJKLMNOPQRSTUVWXYZabcdefghijklmnopqrstuvwxyz0123456789,")))),"")</f>
        <v/>
      </c>
      <c r="D334" s="15" t="str">
        <v/>
      </c>
      <c r="E334" s="16" t="str">
        <v/>
      </c>
      <c r="F334" s="15" t="str">
        <v/>
      </c>
      <c r="G334" s="20" t="str" cm="1">
        <f t="array" ref="G334">IF(TRIM(P334)="","",IF(SUM(COUNTIF(P334,{"*NLGD*","*FWG*"}))&gt;0,P334,IF(SUM(COUNTIF(P334,{"*GL*","*DGB*","*DGI*","*GT*","*CS*","*PWU*","*DBI*","*SWU*"}))=0,P334,IF(IFERROR(VALUE(SUBSTITUTE(SUBSTITUTE(O334,"W",""),"""","")),0)&gt;52,P334&amp;"-OVRSIZE-",P334))))</f>
        <v/>
      </c>
      <c r="H334" s="15" t="str">
        <v/>
      </c>
      <c r="I334" s="15" t="str">
        <v/>
      </c>
      <c r="J334" s="15" t="str">
        <v/>
      </c>
      <c r="K334" s="15" t="str">
        <v/>
      </c>
      <c r="L334" s="15" t="str">
        <v/>
      </c>
      <c r="M334" s="10" t="str">
        <v/>
      </c>
      <c r="N334" s="14"/>
      <c r="O334" s="15" t="str" cm="1">
        <f t="array" ref="O334">IFERROR(_xlfn.LET(
_xlpm.clean,TRIM(SUBSTITUTE(SUBSTITUTE(P334,CHAR(160),"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4" s="15"/>
      <c r="R334" t="str">
        <v/>
      </c>
      <c r="S334" t="str">
        <f t="shared" si="6"/>
        <v/>
      </c>
    </row>
    <row r="335" spans="1:19" ht="12.75">
      <c r="A335" s="15" t="str">
        <v/>
      </c>
      <c r="B335" s="15" t="str">
        <v/>
      </c>
      <c r="C335" s="15" t="str" cm="1">
        <f t="array" ref="C335">IFERROR(_xlfn.TEXTJOIN("",TRUE,_xlfn._xlws.FILTER(MID(S335,_xlfn.SEQUENCE(LEN(S335)),1),ISNUMBER(SEARCH(MID(S335,_xlfn.SEQUENCE(LEN(S335)),1),"ABCDEFGHIJKLMNOPQRSTUVWXYZabcdefghijklmnopqrstuvwxyz0123456789,")))),"")</f>
        <v/>
      </c>
      <c r="D335" s="15" t="str">
        <v/>
      </c>
      <c r="E335" s="16" t="str">
        <v/>
      </c>
      <c r="F335" s="15" t="str">
        <v/>
      </c>
      <c r="G335" s="20" t="str" cm="1">
        <f t="array" ref="G335">IF(TRIM(P335)="","",IF(SUM(COUNTIF(P335,{"*NLGD*","*FWG*"}))&gt;0,P335,IF(SUM(COUNTIF(P335,{"*GL*","*DGB*","*DGI*","*GT*","*CS*","*PWU*","*DBI*","*SWU*"}))=0,P335,IF(IFERROR(VALUE(SUBSTITUTE(SUBSTITUTE(O335,"W",""),"""","")),0)&gt;52,P335&amp;"-OVRSIZE-",P335))))</f>
        <v/>
      </c>
      <c r="H335" s="15" t="str">
        <v/>
      </c>
      <c r="I335" s="15" t="str">
        <v/>
      </c>
      <c r="J335" s="15" t="str">
        <v/>
      </c>
      <c r="K335" s="15" t="str">
        <v/>
      </c>
      <c r="L335" s="15" t="str">
        <v/>
      </c>
      <c r="M335" s="10" t="str">
        <v/>
      </c>
      <c r="N335" s="14"/>
      <c r="O335" s="15" t="str" cm="1">
        <f t="array" ref="O335">IFERROR(_xlfn.LET(
_xlpm.clean,TRIM(SUBSTITUTE(SUBSTITUTE(P335,CHAR(160),"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5" s="15"/>
      <c r="R335" t="str">
        <v/>
      </c>
      <c r="S335" t="str">
        <f t="shared" si="6"/>
        <v/>
      </c>
    </row>
    <row r="336" spans="1:19" ht="12.75">
      <c r="A336" s="15" t="str">
        <v/>
      </c>
      <c r="B336" s="15" t="str">
        <v/>
      </c>
      <c r="C336" s="15" t="str" cm="1">
        <f t="array" ref="C336">IFERROR(_xlfn.TEXTJOIN("",TRUE,_xlfn._xlws.FILTER(MID(S336,_xlfn.SEQUENCE(LEN(S336)),1),ISNUMBER(SEARCH(MID(S336,_xlfn.SEQUENCE(LEN(S336)),1),"ABCDEFGHIJKLMNOPQRSTUVWXYZabcdefghijklmnopqrstuvwxyz0123456789,")))),"")</f>
        <v/>
      </c>
      <c r="D336" s="15" t="str">
        <v/>
      </c>
      <c r="E336" s="16" t="str">
        <v/>
      </c>
      <c r="F336" s="15" t="str">
        <v/>
      </c>
      <c r="G336" s="20" t="str" cm="1">
        <f t="array" ref="G336">IF(TRIM(P336)="","",IF(SUM(COUNTIF(P336,{"*NLGD*","*FWG*"}))&gt;0,P336,IF(SUM(COUNTIF(P336,{"*GL*","*DGB*","*DGI*","*GT*","*CS*","*PWU*","*DBI*","*SWU*"}))=0,P336,IF(IFERROR(VALUE(SUBSTITUTE(SUBSTITUTE(O336,"W",""),"""","")),0)&gt;52,P336&amp;"-OVRSIZE-",P336))))</f>
        <v/>
      </c>
      <c r="H336" s="15" t="str">
        <v/>
      </c>
      <c r="I336" s="15" t="str">
        <v/>
      </c>
      <c r="J336" s="15" t="str">
        <v/>
      </c>
      <c r="K336" s="15" t="str">
        <v/>
      </c>
      <c r="L336" s="15" t="str">
        <v/>
      </c>
      <c r="M336" s="10" t="str">
        <v/>
      </c>
      <c r="N336" s="14"/>
      <c r="O336" s="15" t="str" cm="1">
        <f t="array" ref="O336">IFERROR(_xlfn.LET(
_xlpm.clean,TRIM(SUBSTITUTE(SUBSTITUTE(P336,CHAR(160),"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6" s="15"/>
      <c r="R336" t="str">
        <v/>
      </c>
      <c r="S336" t="str">
        <f t="shared" si="6"/>
        <v/>
      </c>
    </row>
    <row r="337" spans="1:19" ht="12.75">
      <c r="A337" s="15" t="str">
        <v/>
      </c>
      <c r="B337" s="15" t="str">
        <v/>
      </c>
      <c r="C337" s="15" t="str" cm="1">
        <f t="array" ref="C337">IFERROR(_xlfn.TEXTJOIN("",TRUE,_xlfn._xlws.FILTER(MID(S337,_xlfn.SEQUENCE(LEN(S337)),1),ISNUMBER(SEARCH(MID(S337,_xlfn.SEQUENCE(LEN(S337)),1),"ABCDEFGHIJKLMNOPQRSTUVWXYZabcdefghijklmnopqrstuvwxyz0123456789,")))),"")</f>
        <v/>
      </c>
      <c r="D337" s="15" t="str">
        <v/>
      </c>
      <c r="E337" s="16" t="str">
        <v/>
      </c>
      <c r="F337" s="15" t="str">
        <v/>
      </c>
      <c r="G337" s="20" t="str" cm="1">
        <f t="array" ref="G337">IF(TRIM(P337)="","",IF(SUM(COUNTIF(P337,{"*NLGD*","*FWG*"}))&gt;0,P337,IF(SUM(COUNTIF(P337,{"*GL*","*DGB*","*DGI*","*GT*","*CS*","*PWU*","*DBI*","*SWU*"}))=0,P337,IF(IFERROR(VALUE(SUBSTITUTE(SUBSTITUTE(O337,"W",""),"""","")),0)&gt;52,P337&amp;"-OVRSIZE-",P337))))</f>
        <v/>
      </c>
      <c r="H337" s="15" t="str">
        <v/>
      </c>
      <c r="I337" s="15" t="str">
        <v/>
      </c>
      <c r="J337" s="15" t="str">
        <v/>
      </c>
      <c r="K337" s="15" t="str">
        <v/>
      </c>
      <c r="L337" s="15" t="str">
        <v/>
      </c>
      <c r="M337" s="10" t="str">
        <v/>
      </c>
      <c r="N337" s="14"/>
      <c r="O337" s="15" t="str" cm="1">
        <f t="array" ref="O337">IFERROR(_xlfn.LET(
_xlpm.clean,TRIM(SUBSTITUTE(SUBSTITUTE(P337,CHAR(160),"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7" s="15"/>
      <c r="R337" t="str">
        <v/>
      </c>
      <c r="S337" t="str">
        <f t="shared" si="6"/>
        <v/>
      </c>
    </row>
    <row r="338" spans="1:19" ht="12.75">
      <c r="A338" s="15" t="str">
        <v/>
      </c>
      <c r="B338" s="15" t="str">
        <v/>
      </c>
      <c r="C338" s="15" t="str" cm="1">
        <f t="array" ref="C338">IFERROR(_xlfn.TEXTJOIN("",TRUE,_xlfn._xlws.FILTER(MID(S338,_xlfn.SEQUENCE(LEN(S338)),1),ISNUMBER(SEARCH(MID(S338,_xlfn.SEQUENCE(LEN(S338)),1),"ABCDEFGHIJKLMNOPQRSTUVWXYZabcdefghijklmnopqrstuvwxyz0123456789,")))),"")</f>
        <v/>
      </c>
      <c r="D338" s="15" t="str">
        <v/>
      </c>
      <c r="E338" s="16" t="str">
        <v/>
      </c>
      <c r="F338" s="15" t="str">
        <v/>
      </c>
      <c r="G338" s="20" t="str" cm="1">
        <f t="array" ref="G338">IF(TRIM(P338)="","",IF(SUM(COUNTIF(P338,{"*NLGD*","*FWG*"}))&gt;0,P338,IF(SUM(COUNTIF(P338,{"*GL*","*DGB*","*DGI*","*GT*","*CS*","*PWU*","*DBI*","*SWU*"}))=0,P338,IF(IFERROR(VALUE(SUBSTITUTE(SUBSTITUTE(O338,"W",""),"""","")),0)&gt;52,P338&amp;"-OVRSIZE-",P338))))</f>
        <v/>
      </c>
      <c r="H338" s="15" t="str">
        <v/>
      </c>
      <c r="I338" s="15" t="str">
        <v/>
      </c>
      <c r="J338" s="15" t="str">
        <v/>
      </c>
      <c r="K338" s="15" t="str">
        <v/>
      </c>
      <c r="L338" s="15" t="str">
        <v/>
      </c>
      <c r="M338" s="10" t="str">
        <v/>
      </c>
      <c r="N338" s="14"/>
      <c r="O338" s="15" t="str" cm="1">
        <f t="array" ref="O338">IFERROR(_xlfn.LET(
_xlpm.clean,TRIM(SUBSTITUTE(SUBSTITUTE(P338,CHAR(160),"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8" s="15"/>
      <c r="R338" t="str">
        <v/>
      </c>
      <c r="S338" t="str">
        <f t="shared" si="6"/>
        <v/>
      </c>
    </row>
    <row r="339" spans="1:19" ht="12.75">
      <c r="A339" s="15" t="str">
        <v/>
      </c>
      <c r="B339" s="15" t="str">
        <v/>
      </c>
      <c r="C339" s="15" t="str" cm="1">
        <f t="array" ref="C339">IFERROR(_xlfn.TEXTJOIN("",TRUE,_xlfn._xlws.FILTER(MID(S339,_xlfn.SEQUENCE(LEN(S339)),1),ISNUMBER(SEARCH(MID(S339,_xlfn.SEQUENCE(LEN(S339)),1),"ABCDEFGHIJKLMNOPQRSTUVWXYZabcdefghijklmnopqrstuvwxyz0123456789,")))),"")</f>
        <v/>
      </c>
      <c r="D339" s="15" t="str">
        <v/>
      </c>
      <c r="E339" s="16" t="str">
        <v/>
      </c>
      <c r="F339" s="15" t="str">
        <v/>
      </c>
      <c r="G339" s="20" t="str" cm="1">
        <f t="array" ref="G339">IF(TRIM(P339)="","",IF(SUM(COUNTIF(P339,{"*NLGD*","*FWG*"}))&gt;0,P339,IF(SUM(COUNTIF(P339,{"*GL*","*DGB*","*DGI*","*GT*","*CS*","*PWU*","*DBI*","*SWU*"}))=0,P339,IF(IFERROR(VALUE(SUBSTITUTE(SUBSTITUTE(O339,"W",""),"""","")),0)&gt;52,P339&amp;"-OVRSIZE-",P339))))</f>
        <v/>
      </c>
      <c r="H339" s="15" t="str">
        <v/>
      </c>
      <c r="I339" s="15" t="str">
        <v/>
      </c>
      <c r="J339" s="15" t="str">
        <v/>
      </c>
      <c r="K339" s="15" t="str">
        <v/>
      </c>
      <c r="L339" s="15" t="str">
        <v/>
      </c>
      <c r="M339" s="10" t="str">
        <v/>
      </c>
      <c r="N339" s="14"/>
      <c r="O339" s="15" t="str" cm="1">
        <f t="array" ref="O339">IFERROR(_xlfn.LET(
_xlpm.clean,TRIM(SUBSTITUTE(SUBSTITUTE(P339,CHAR(160),"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9" s="15"/>
      <c r="R339" t="str">
        <v/>
      </c>
      <c r="S339" t="str">
        <f t="shared" si="6"/>
        <v/>
      </c>
    </row>
    <row r="340" spans="1:19" ht="12.75">
      <c r="A340" s="15" t="str">
        <v/>
      </c>
      <c r="B340" s="15" t="str">
        <v/>
      </c>
      <c r="C340" s="15" t="str" cm="1">
        <f t="array" ref="C340">IFERROR(_xlfn.TEXTJOIN("",TRUE,_xlfn._xlws.FILTER(MID(S340,_xlfn.SEQUENCE(LEN(S340)),1),ISNUMBER(SEARCH(MID(S340,_xlfn.SEQUENCE(LEN(S340)),1),"ABCDEFGHIJKLMNOPQRSTUVWXYZabcdefghijklmnopqrstuvwxyz0123456789,")))),"")</f>
        <v/>
      </c>
      <c r="D340" s="15" t="str">
        <v/>
      </c>
      <c r="E340" s="16" t="str">
        <v/>
      </c>
      <c r="F340" s="15" t="str">
        <v/>
      </c>
      <c r="G340" s="20" t="str" cm="1">
        <f t="array" ref="G340">IF(TRIM(P340)="","",IF(SUM(COUNTIF(P340,{"*NLGD*","*FWG*"}))&gt;0,P340,IF(SUM(COUNTIF(P340,{"*GL*","*DGB*","*DGI*","*GT*","*CS*","*PWU*","*DBI*","*SWU*"}))=0,P340,IF(IFERROR(VALUE(SUBSTITUTE(SUBSTITUTE(O340,"W",""),"""","")),0)&gt;52,P340&amp;"-OVRSIZE-",P340))))</f>
        <v/>
      </c>
      <c r="H340" s="15" t="str">
        <v/>
      </c>
      <c r="I340" s="15" t="str">
        <v/>
      </c>
      <c r="J340" s="15" t="str">
        <v/>
      </c>
      <c r="K340" s="15" t="str">
        <v/>
      </c>
      <c r="L340" s="15" t="str">
        <v/>
      </c>
      <c r="M340" s="10" t="str">
        <v/>
      </c>
      <c r="N340" s="14"/>
      <c r="O340" s="15" t="str" cm="1">
        <f t="array" ref="O340">IFERROR(_xlfn.LET(
_xlpm.clean,TRIM(SUBSTITUTE(SUBSTITUTE(P340,CHAR(160),"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0" s="15"/>
      <c r="R340" t="str">
        <v/>
      </c>
      <c r="S340" t="str">
        <f t="shared" si="6"/>
        <v/>
      </c>
    </row>
    <row r="341" spans="1:19" ht="12.75">
      <c r="A341" s="15" t="str">
        <v/>
      </c>
      <c r="B341" s="15" t="str">
        <v/>
      </c>
      <c r="C341" s="15" t="str" cm="1">
        <f t="array" ref="C341">IFERROR(_xlfn.TEXTJOIN("",TRUE,_xlfn._xlws.FILTER(MID(S341,_xlfn.SEQUENCE(LEN(S341)),1),ISNUMBER(SEARCH(MID(S341,_xlfn.SEQUENCE(LEN(S341)),1),"ABCDEFGHIJKLMNOPQRSTUVWXYZabcdefghijklmnopqrstuvwxyz0123456789,")))),"")</f>
        <v/>
      </c>
      <c r="D341" s="15" t="str">
        <v/>
      </c>
      <c r="E341" s="16" t="str">
        <v/>
      </c>
      <c r="F341" s="15" t="str">
        <v/>
      </c>
      <c r="G341" s="20" t="str" cm="1">
        <f t="array" ref="G341">IF(TRIM(P341)="","",IF(SUM(COUNTIF(P341,{"*NLGD*","*FWG*"}))&gt;0,P341,IF(SUM(COUNTIF(P341,{"*GL*","*DGB*","*DGI*","*GT*","*CS*","*PWU*","*DBI*","*SWU*"}))=0,P341,IF(IFERROR(VALUE(SUBSTITUTE(SUBSTITUTE(O341,"W",""),"""","")),0)&gt;52,P341&amp;"-OVRSIZE-",P341))))</f>
        <v/>
      </c>
      <c r="H341" s="15" t="str">
        <v/>
      </c>
      <c r="I341" s="15" t="str">
        <v/>
      </c>
      <c r="J341" s="15" t="str">
        <v/>
      </c>
      <c r="K341" s="15" t="str">
        <v/>
      </c>
      <c r="L341" s="15" t="str">
        <v/>
      </c>
      <c r="M341" s="10" t="str">
        <v/>
      </c>
      <c r="N341" s="14"/>
      <c r="O341" s="15" t="str" cm="1">
        <f t="array" ref="O341">IFERROR(_xlfn.LET(
_xlpm.clean,TRIM(SUBSTITUTE(SUBSTITUTE(P341,CHAR(160),"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1" s="15"/>
      <c r="R341" t="str">
        <v/>
      </c>
      <c r="S341" t="str">
        <f t="shared" si="6"/>
        <v/>
      </c>
    </row>
    <row r="342" spans="1:19" ht="12.75">
      <c r="A342" s="15" t="str">
        <v/>
      </c>
      <c r="B342" s="15" t="str">
        <v/>
      </c>
      <c r="C342" s="15" t="str" cm="1">
        <f t="array" ref="C342">IFERROR(_xlfn.TEXTJOIN("",TRUE,_xlfn._xlws.FILTER(MID(S342,_xlfn.SEQUENCE(LEN(S342)),1),ISNUMBER(SEARCH(MID(S342,_xlfn.SEQUENCE(LEN(S342)),1),"ABCDEFGHIJKLMNOPQRSTUVWXYZabcdefghijklmnopqrstuvwxyz0123456789,")))),"")</f>
        <v/>
      </c>
      <c r="D342" s="15" t="str">
        <v/>
      </c>
      <c r="E342" s="16" t="str">
        <v/>
      </c>
      <c r="F342" s="15" t="str">
        <v/>
      </c>
      <c r="G342" s="20" t="str" cm="1">
        <f t="array" ref="G342">IF(TRIM(P342)="","",IF(SUM(COUNTIF(P342,{"*NLGD*","*FWG*"}))&gt;0,P342,IF(SUM(COUNTIF(P342,{"*GL*","*DGB*","*DGI*","*GT*","*CS*","*PWU*","*DBI*","*SWU*"}))=0,P342,IF(IFERROR(VALUE(SUBSTITUTE(SUBSTITUTE(O342,"W",""),"""","")),0)&gt;52,P342&amp;"-OVRSIZE-",P342))))</f>
        <v/>
      </c>
      <c r="H342" s="15" t="str">
        <v/>
      </c>
      <c r="I342" s="15" t="str">
        <v/>
      </c>
      <c r="J342" s="15" t="str">
        <v/>
      </c>
      <c r="K342" s="15" t="str">
        <v/>
      </c>
      <c r="L342" s="15" t="str">
        <v/>
      </c>
      <c r="M342" s="10" t="str">
        <v/>
      </c>
      <c r="N342" s="14"/>
      <c r="O342" s="15" t="str" cm="1">
        <f t="array" ref="O342">IFERROR(_xlfn.LET(
_xlpm.clean,TRIM(SUBSTITUTE(SUBSTITUTE(P342,CHAR(160),"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2" s="15"/>
      <c r="R342" t="str">
        <v/>
      </c>
      <c r="S342" t="str">
        <f t="shared" si="6"/>
        <v/>
      </c>
    </row>
    <row r="343" spans="1:19" ht="12.75">
      <c r="A343" s="15" t="str">
        <v/>
      </c>
      <c r="B343" s="15" t="str">
        <v/>
      </c>
      <c r="C343" s="15" t="str" cm="1">
        <f t="array" ref="C343">IFERROR(_xlfn.TEXTJOIN("",TRUE,_xlfn._xlws.FILTER(MID(S343,_xlfn.SEQUENCE(LEN(S343)),1),ISNUMBER(SEARCH(MID(S343,_xlfn.SEQUENCE(LEN(S343)),1),"ABCDEFGHIJKLMNOPQRSTUVWXYZabcdefghijklmnopqrstuvwxyz0123456789,")))),"")</f>
        <v/>
      </c>
      <c r="D343" s="15" t="str">
        <v/>
      </c>
      <c r="E343" s="16" t="str">
        <v/>
      </c>
      <c r="F343" s="15" t="str">
        <v/>
      </c>
      <c r="G343" s="20" t="str" cm="1">
        <f t="array" ref="G343">IF(TRIM(P343)="","",IF(SUM(COUNTIF(P343,{"*NLGD*","*FWG*"}))&gt;0,P343,IF(SUM(COUNTIF(P343,{"*GL*","*DGB*","*DGI*","*GT*","*CS*","*PWU*","*DBI*","*SWU*"}))=0,P343,IF(IFERROR(VALUE(SUBSTITUTE(SUBSTITUTE(O343,"W",""),"""","")),0)&gt;52,P343&amp;"-OVRSIZE-",P343))))</f>
        <v/>
      </c>
      <c r="H343" s="15" t="str">
        <v/>
      </c>
      <c r="I343" s="15" t="str">
        <v/>
      </c>
      <c r="J343" s="15" t="str">
        <v/>
      </c>
      <c r="K343" s="15" t="str">
        <v/>
      </c>
      <c r="L343" s="15" t="str">
        <v/>
      </c>
      <c r="M343" s="10" t="str">
        <v/>
      </c>
      <c r="N343" s="14"/>
      <c r="O343" s="15" t="str" cm="1">
        <f t="array" ref="O343">IFERROR(_xlfn.LET(
_xlpm.clean,TRIM(SUBSTITUTE(SUBSTITUTE(P343,CHAR(160),"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3" s="15"/>
      <c r="R343" t="str">
        <v/>
      </c>
      <c r="S343" t="str">
        <f t="shared" si="6"/>
        <v/>
      </c>
    </row>
    <row r="344" spans="1:19" ht="12.75">
      <c r="A344" s="15" t="str">
        <v/>
      </c>
      <c r="B344" s="15" t="str">
        <v/>
      </c>
      <c r="C344" s="15" t="str" cm="1">
        <f t="array" ref="C344">IFERROR(_xlfn.TEXTJOIN("",TRUE,_xlfn._xlws.FILTER(MID(S344,_xlfn.SEQUENCE(LEN(S344)),1),ISNUMBER(SEARCH(MID(S344,_xlfn.SEQUENCE(LEN(S344)),1),"ABCDEFGHIJKLMNOPQRSTUVWXYZabcdefghijklmnopqrstuvwxyz0123456789,")))),"")</f>
        <v/>
      </c>
      <c r="D344" s="15" t="str">
        <v/>
      </c>
      <c r="E344" s="16" t="str">
        <v/>
      </c>
      <c r="F344" s="15" t="str">
        <v/>
      </c>
      <c r="G344" s="20" t="str" cm="1">
        <f t="array" ref="G344">IF(TRIM(P344)="","",IF(SUM(COUNTIF(P344,{"*NLGD*","*FWG*"}))&gt;0,P344,IF(SUM(COUNTIF(P344,{"*GL*","*DGB*","*DGI*","*GT*","*CS*","*PWU*","*DBI*","*SWU*"}))=0,P344,IF(IFERROR(VALUE(SUBSTITUTE(SUBSTITUTE(O344,"W",""),"""","")),0)&gt;52,P344&amp;"-OVRSIZE-",P344))))</f>
        <v/>
      </c>
      <c r="H344" s="15" t="str">
        <v/>
      </c>
      <c r="I344" s="15" t="str">
        <v/>
      </c>
      <c r="J344" s="15" t="str">
        <v/>
      </c>
      <c r="K344" s="15" t="str">
        <v/>
      </c>
      <c r="L344" s="15" t="str">
        <v/>
      </c>
      <c r="M344" s="10" t="str">
        <v/>
      </c>
      <c r="N344" s="14"/>
      <c r="O344" s="15" t="str" cm="1">
        <f t="array" ref="O344">IFERROR(_xlfn.LET(
_xlpm.clean,TRIM(SUBSTITUTE(SUBSTITUTE(P344,CHAR(160),"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4" s="15"/>
      <c r="R344" t="str">
        <v/>
      </c>
      <c r="S344" t="str">
        <f t="shared" si="6"/>
        <v/>
      </c>
    </row>
    <row r="345" spans="1:19" ht="12.75">
      <c r="A345" s="15" t="str">
        <v/>
      </c>
      <c r="B345" s="15" t="str">
        <v/>
      </c>
      <c r="C345" s="15" t="str" cm="1">
        <f t="array" ref="C345">IFERROR(_xlfn.TEXTJOIN("",TRUE,_xlfn._xlws.FILTER(MID(S345,_xlfn.SEQUENCE(LEN(S345)),1),ISNUMBER(SEARCH(MID(S345,_xlfn.SEQUENCE(LEN(S345)),1),"ABCDEFGHIJKLMNOPQRSTUVWXYZabcdefghijklmnopqrstuvwxyz0123456789,")))),"")</f>
        <v/>
      </c>
      <c r="D345" s="15" t="str">
        <v/>
      </c>
      <c r="E345" s="16" t="str">
        <v/>
      </c>
      <c r="F345" s="15" t="str">
        <v/>
      </c>
      <c r="G345" s="20" t="str" cm="1">
        <f t="array" ref="G345">IF(TRIM(P345)="","",IF(SUM(COUNTIF(P345,{"*NLGD*","*FWG*"}))&gt;0,P345,IF(SUM(COUNTIF(P345,{"*GL*","*DGB*","*DGI*","*GT*","*CS*","*PWU*","*DBI*","*SWU*"}))=0,P345,IF(IFERROR(VALUE(SUBSTITUTE(SUBSTITUTE(O345,"W",""),"""","")),0)&gt;52,P345&amp;"-OVRSIZE-",P345))))</f>
        <v/>
      </c>
      <c r="H345" s="15" t="str">
        <v/>
      </c>
      <c r="I345" s="15" t="str">
        <v/>
      </c>
      <c r="J345" s="15" t="str">
        <v/>
      </c>
      <c r="K345" s="15" t="str">
        <v/>
      </c>
      <c r="L345" s="15" t="str">
        <v/>
      </c>
      <c r="M345" s="10" t="str">
        <v/>
      </c>
      <c r="N345" s="14"/>
      <c r="O345" s="15" t="str" cm="1">
        <f t="array" ref="O345">IFERROR(_xlfn.LET(
_xlpm.clean,TRIM(SUBSTITUTE(SUBSTITUTE(P345,CHAR(160),"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5" s="15"/>
      <c r="R345" t="str">
        <v/>
      </c>
      <c r="S345" t="str">
        <f t="shared" si="6"/>
        <v/>
      </c>
    </row>
    <row r="346" spans="1:19" ht="12.75">
      <c r="A346" s="15" t="str">
        <v/>
      </c>
      <c r="B346" s="15" t="str">
        <v/>
      </c>
      <c r="C346" s="15" t="str" cm="1">
        <f t="array" ref="C346">IFERROR(_xlfn.TEXTJOIN("",TRUE,_xlfn._xlws.FILTER(MID(S346,_xlfn.SEQUENCE(LEN(S346)),1),ISNUMBER(SEARCH(MID(S346,_xlfn.SEQUENCE(LEN(S346)),1),"ABCDEFGHIJKLMNOPQRSTUVWXYZabcdefghijklmnopqrstuvwxyz0123456789,")))),"")</f>
        <v/>
      </c>
      <c r="D346" s="15" t="str">
        <v/>
      </c>
      <c r="E346" s="16" t="str">
        <v/>
      </c>
      <c r="F346" s="15" t="str">
        <v/>
      </c>
      <c r="G346" s="20" t="str" cm="1">
        <f t="array" ref="G346">IF(TRIM(P346)="","",IF(SUM(COUNTIF(P346,{"*NLGD*","*FWG*"}))&gt;0,P346,IF(SUM(COUNTIF(P346,{"*GL*","*DGB*","*DGI*","*GT*","*CS*","*PWU*","*DBI*","*SWU*"}))=0,P346,IF(IFERROR(VALUE(SUBSTITUTE(SUBSTITUTE(O346,"W",""),"""","")),0)&gt;52,P346&amp;"-OVRSIZE-",P346))))</f>
        <v/>
      </c>
      <c r="H346" s="15" t="str">
        <v/>
      </c>
      <c r="I346" s="15" t="str">
        <v/>
      </c>
      <c r="J346" s="15" t="str">
        <v/>
      </c>
      <c r="K346" s="15" t="str">
        <v/>
      </c>
      <c r="L346" s="15" t="str">
        <v/>
      </c>
      <c r="M346" s="10" t="str">
        <v/>
      </c>
      <c r="N346" s="14"/>
      <c r="O346" s="15" t="str" cm="1">
        <f t="array" ref="O346">IFERROR(_xlfn.LET(
_xlpm.clean,TRIM(SUBSTITUTE(SUBSTITUTE(P346,CHAR(160),"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6" s="15"/>
      <c r="R346" t="str">
        <v/>
      </c>
      <c r="S346" t="str">
        <f t="shared" si="6"/>
        <v/>
      </c>
    </row>
    <row r="347" spans="1:19" ht="12.75">
      <c r="A347" s="15" t="str">
        <v/>
      </c>
      <c r="B347" s="15" t="str">
        <v/>
      </c>
      <c r="C347" s="15" t="str" cm="1">
        <f t="array" ref="C347">IFERROR(_xlfn.TEXTJOIN("",TRUE,_xlfn._xlws.FILTER(MID(S347,_xlfn.SEQUENCE(LEN(S347)),1),ISNUMBER(SEARCH(MID(S347,_xlfn.SEQUENCE(LEN(S347)),1),"ABCDEFGHIJKLMNOPQRSTUVWXYZabcdefghijklmnopqrstuvwxyz0123456789,")))),"")</f>
        <v/>
      </c>
      <c r="D347" s="15" t="str">
        <v/>
      </c>
      <c r="E347" s="16" t="str">
        <v/>
      </c>
      <c r="F347" s="15" t="str">
        <v/>
      </c>
      <c r="G347" s="20" t="str" cm="1">
        <f t="array" ref="G347">IF(TRIM(P347)="","",IF(SUM(COUNTIF(P347,{"*NLGD*","*FWG*"}))&gt;0,P347,IF(SUM(COUNTIF(P347,{"*GL*","*DGB*","*DGI*","*GT*","*CS*","*PWU*","*DBI*","*SWU*"}))=0,P347,IF(IFERROR(VALUE(SUBSTITUTE(SUBSTITUTE(O347,"W",""),"""","")),0)&gt;52,P347&amp;"-OVRSIZE-",P347))))</f>
        <v/>
      </c>
      <c r="H347" s="15" t="str">
        <v/>
      </c>
      <c r="I347" s="15" t="str">
        <v/>
      </c>
      <c r="J347" s="15" t="str">
        <v/>
      </c>
      <c r="K347" s="15" t="str">
        <v/>
      </c>
      <c r="L347" s="15" t="str">
        <v/>
      </c>
      <c r="M347" s="10" t="str">
        <v/>
      </c>
      <c r="N347" s="14"/>
      <c r="O347" s="15" t="str" cm="1">
        <f t="array" ref="O347">IFERROR(_xlfn.LET(
_xlpm.clean,TRIM(SUBSTITUTE(SUBSTITUTE(P347,CHAR(160),"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7" s="15"/>
      <c r="R347" t="str">
        <v/>
      </c>
      <c r="S347" t="str">
        <f t="shared" si="6"/>
        <v/>
      </c>
    </row>
    <row r="348" spans="1:19" ht="12.75">
      <c r="A348" s="15" t="str">
        <v/>
      </c>
      <c r="B348" s="15" t="str">
        <v/>
      </c>
      <c r="C348" s="15" t="str" cm="1">
        <f t="array" ref="C348">IFERROR(_xlfn.TEXTJOIN("",TRUE,_xlfn._xlws.FILTER(MID(S348,_xlfn.SEQUENCE(LEN(S348)),1),ISNUMBER(SEARCH(MID(S348,_xlfn.SEQUENCE(LEN(S348)),1),"ABCDEFGHIJKLMNOPQRSTUVWXYZabcdefghijklmnopqrstuvwxyz0123456789,")))),"")</f>
        <v/>
      </c>
      <c r="D348" s="15" t="str">
        <v/>
      </c>
      <c r="E348" s="16" t="str">
        <v/>
      </c>
      <c r="F348" s="15" t="str">
        <v/>
      </c>
      <c r="G348" s="20" t="str" cm="1">
        <f t="array" ref="G348">IF(TRIM(P348)="","",IF(SUM(COUNTIF(P348,{"*NLGD*","*FWG*"}))&gt;0,P348,IF(SUM(COUNTIF(P348,{"*GL*","*DGB*","*DGI*","*GT*","*CS*","*PWU*","*DBI*","*SWU*"}))=0,P348,IF(IFERROR(VALUE(SUBSTITUTE(SUBSTITUTE(O348,"W",""),"""","")),0)&gt;52,P348&amp;"-OVRSIZE-",P348))))</f>
        <v/>
      </c>
      <c r="H348" s="15" t="str">
        <v/>
      </c>
      <c r="I348" s="15" t="str">
        <v/>
      </c>
      <c r="J348" s="15" t="str">
        <v/>
      </c>
      <c r="K348" s="15" t="str">
        <v/>
      </c>
      <c r="L348" s="15" t="str">
        <v/>
      </c>
      <c r="M348" s="10" t="str">
        <v/>
      </c>
      <c r="N348" s="14"/>
      <c r="O348" s="15" t="str" cm="1">
        <f t="array" ref="O348">IFERROR(_xlfn.LET(
_xlpm.clean,TRIM(SUBSTITUTE(SUBSTITUTE(P348,CHAR(160),"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8" s="15"/>
      <c r="R348" t="str">
        <v/>
      </c>
      <c r="S348" t="str">
        <f t="shared" si="6"/>
        <v/>
      </c>
    </row>
    <row r="349" spans="1:19" ht="12.75">
      <c r="A349" s="15" t="str">
        <v/>
      </c>
      <c r="B349" s="15" t="str">
        <v/>
      </c>
      <c r="C349" s="15" t="str" cm="1">
        <f t="array" ref="C349">IFERROR(_xlfn.TEXTJOIN("",TRUE,_xlfn._xlws.FILTER(MID(S349,_xlfn.SEQUENCE(LEN(S349)),1),ISNUMBER(SEARCH(MID(S349,_xlfn.SEQUENCE(LEN(S349)),1),"ABCDEFGHIJKLMNOPQRSTUVWXYZabcdefghijklmnopqrstuvwxyz0123456789,")))),"")</f>
        <v/>
      </c>
      <c r="D349" s="15" t="str">
        <v/>
      </c>
      <c r="E349" s="16" t="str">
        <v/>
      </c>
      <c r="F349" s="15" t="str">
        <v/>
      </c>
      <c r="G349" s="20" t="str" cm="1">
        <f t="array" ref="G349">IF(TRIM(P349)="","",IF(SUM(COUNTIF(P349,{"*NLGD*","*FWG*"}))&gt;0,P349,IF(SUM(COUNTIF(P349,{"*GL*","*DGB*","*DGI*","*GT*","*CS*","*PWU*","*DBI*","*SWU*"}))=0,P349,IF(IFERROR(VALUE(SUBSTITUTE(SUBSTITUTE(O349,"W",""),"""","")),0)&gt;52,P349&amp;"-OVRSIZE-",P349))))</f>
        <v/>
      </c>
      <c r="H349" s="15" t="str">
        <v/>
      </c>
      <c r="I349" s="15" t="str">
        <v/>
      </c>
      <c r="J349" s="15" t="str">
        <v/>
      </c>
      <c r="K349" s="15" t="str">
        <v/>
      </c>
      <c r="L349" s="15" t="str">
        <v/>
      </c>
      <c r="M349" s="10" t="str">
        <v/>
      </c>
      <c r="N349" s="14"/>
      <c r="O349" s="15" t="str" cm="1">
        <f t="array" ref="O349">IFERROR(_xlfn.LET(
_xlpm.clean,TRIM(SUBSTITUTE(SUBSTITUTE(P349,CHAR(160),"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9" s="15"/>
      <c r="R349" t="str">
        <v/>
      </c>
      <c r="S349" t="str">
        <f t="shared" si="6"/>
        <v/>
      </c>
    </row>
    <row r="350" spans="1:19" ht="12.75">
      <c r="A350" s="15" t="str">
        <v/>
      </c>
      <c r="B350" s="15" t="str">
        <v/>
      </c>
      <c r="C350" s="15" t="str" cm="1">
        <f t="array" ref="C350">IFERROR(_xlfn.TEXTJOIN("",TRUE,_xlfn._xlws.FILTER(MID(S350,_xlfn.SEQUENCE(LEN(S350)),1),ISNUMBER(SEARCH(MID(S350,_xlfn.SEQUENCE(LEN(S350)),1),"ABCDEFGHIJKLMNOPQRSTUVWXYZabcdefghijklmnopqrstuvwxyz0123456789,")))),"")</f>
        <v/>
      </c>
      <c r="D350" s="15" t="str">
        <v/>
      </c>
      <c r="E350" s="16" t="str">
        <v/>
      </c>
      <c r="F350" s="15" t="str">
        <v/>
      </c>
      <c r="G350" s="20" t="str" cm="1">
        <f t="array" ref="G350">IF(TRIM(P350)="","",IF(SUM(COUNTIF(P350,{"*NLGD*","*FWG*"}))&gt;0,P350,IF(SUM(COUNTIF(P350,{"*GL*","*DGB*","*DGI*","*GT*","*CS*","*PWU*","*DBI*","*SWU*"}))=0,P350,IF(IFERROR(VALUE(SUBSTITUTE(SUBSTITUTE(O350,"W",""),"""","")),0)&gt;52,P350&amp;"-OVRSIZE-",P350))))</f>
        <v/>
      </c>
      <c r="H350" s="15" t="str">
        <v/>
      </c>
      <c r="I350" s="15" t="str">
        <v/>
      </c>
      <c r="J350" s="15" t="str">
        <v/>
      </c>
      <c r="K350" s="15" t="str">
        <v/>
      </c>
      <c r="L350" s="15" t="str">
        <v/>
      </c>
      <c r="M350" s="10" t="str">
        <v/>
      </c>
      <c r="N350" s="14"/>
      <c r="O350" s="15" t="str" cm="1">
        <f t="array" ref="O350">IFERROR(_xlfn.LET(
_xlpm.clean,TRIM(SUBSTITUTE(SUBSTITUTE(P350,CHAR(160),"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0" s="15"/>
      <c r="R350" t="str">
        <v/>
      </c>
      <c r="S350" t="str">
        <f t="shared" si="6"/>
        <v/>
      </c>
    </row>
    <row r="351" spans="1:19" ht="12.75">
      <c r="A351" s="15" t="str">
        <v/>
      </c>
      <c r="B351" s="15" t="str">
        <v/>
      </c>
      <c r="C351" s="15" t="str" cm="1">
        <f t="array" ref="C351">IFERROR(_xlfn.TEXTJOIN("",TRUE,_xlfn._xlws.FILTER(MID(S351,_xlfn.SEQUENCE(LEN(S351)),1),ISNUMBER(SEARCH(MID(S351,_xlfn.SEQUENCE(LEN(S351)),1),"ABCDEFGHIJKLMNOPQRSTUVWXYZabcdefghijklmnopqrstuvwxyz0123456789,")))),"")</f>
        <v/>
      </c>
      <c r="D351" s="15" t="str">
        <v/>
      </c>
      <c r="E351" s="16" t="str">
        <v/>
      </c>
      <c r="F351" s="15" t="str">
        <v/>
      </c>
      <c r="G351" s="20" t="str" cm="1">
        <f t="array" ref="G351">IF(TRIM(P351)="","",IF(SUM(COUNTIF(P351,{"*NLGD*","*FWG*"}))&gt;0,P351,IF(SUM(COUNTIF(P351,{"*GL*","*DGB*","*DGI*","*GT*","*CS*","*PWU*","*DBI*","*SWU*"}))=0,P351,IF(IFERROR(VALUE(SUBSTITUTE(SUBSTITUTE(O351,"W",""),"""","")),0)&gt;52,P351&amp;"-OVRSIZE-",P351))))</f>
        <v/>
      </c>
      <c r="H351" s="15" t="str">
        <v/>
      </c>
      <c r="I351" s="15" t="str">
        <v/>
      </c>
      <c r="J351" s="15" t="str">
        <v/>
      </c>
      <c r="K351" s="15" t="str">
        <v/>
      </c>
      <c r="L351" s="15" t="str">
        <v/>
      </c>
      <c r="M351" s="10" t="str">
        <v/>
      </c>
      <c r="N351" s="14"/>
      <c r="O351" s="15" t="str" cm="1">
        <f t="array" ref="O351">IFERROR(_xlfn.LET(
_xlpm.clean,TRIM(SUBSTITUTE(SUBSTITUTE(P351,CHAR(160),"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1" s="15"/>
      <c r="R351" t="str">
        <v/>
      </c>
      <c r="S351" t="str">
        <f t="shared" si="6"/>
        <v/>
      </c>
    </row>
    <row r="352" spans="1:19" ht="12.75">
      <c r="A352" s="15" t="str">
        <v/>
      </c>
      <c r="B352" s="15" t="str">
        <v/>
      </c>
      <c r="C352" s="15" t="str" cm="1">
        <f t="array" ref="C352">IFERROR(_xlfn.TEXTJOIN("",TRUE,_xlfn._xlws.FILTER(MID(S352,_xlfn.SEQUENCE(LEN(S352)),1),ISNUMBER(SEARCH(MID(S352,_xlfn.SEQUENCE(LEN(S352)),1),"ABCDEFGHIJKLMNOPQRSTUVWXYZabcdefghijklmnopqrstuvwxyz0123456789,")))),"")</f>
        <v/>
      </c>
      <c r="D352" s="15" t="str">
        <v/>
      </c>
      <c r="E352" s="16" t="str">
        <v/>
      </c>
      <c r="F352" s="15" t="str">
        <v/>
      </c>
      <c r="G352" s="20" t="str" cm="1">
        <f t="array" ref="G352">IF(TRIM(P352)="","",IF(SUM(COUNTIF(P352,{"*NLGD*","*FWG*"}))&gt;0,P352,IF(SUM(COUNTIF(P352,{"*GL*","*DGB*","*DGI*","*GT*","*CS*","*PWU*","*DBI*","*SWU*"}))=0,P352,IF(IFERROR(VALUE(SUBSTITUTE(SUBSTITUTE(O352,"W",""),"""","")),0)&gt;52,P352&amp;"-OVRSIZE-",P352))))</f>
        <v/>
      </c>
      <c r="H352" s="15" t="str">
        <v/>
      </c>
      <c r="I352" s="15" t="str">
        <v/>
      </c>
      <c r="J352" s="15" t="str">
        <v/>
      </c>
      <c r="K352" s="15" t="str">
        <v/>
      </c>
      <c r="L352" s="15" t="str">
        <v/>
      </c>
      <c r="M352" s="10" t="str">
        <v/>
      </c>
      <c r="N352" s="14"/>
      <c r="O352" s="15" t="str" cm="1">
        <f t="array" ref="O352">IFERROR(_xlfn.LET(
_xlpm.clean,TRIM(SUBSTITUTE(SUBSTITUTE(P352,CHAR(160),"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2" s="15"/>
      <c r="R352" t="str">
        <v/>
      </c>
      <c r="S352" t="str">
        <f t="shared" si="6"/>
        <v/>
      </c>
    </row>
    <row r="353" spans="1:19" ht="12.75">
      <c r="A353" s="15" t="str">
        <v/>
      </c>
      <c r="B353" s="15" t="str">
        <v/>
      </c>
      <c r="C353" s="15" t="str" cm="1">
        <f t="array" ref="C353">IFERROR(_xlfn.TEXTJOIN("",TRUE,_xlfn._xlws.FILTER(MID(S353,_xlfn.SEQUENCE(LEN(S353)),1),ISNUMBER(SEARCH(MID(S353,_xlfn.SEQUENCE(LEN(S353)),1),"ABCDEFGHIJKLMNOPQRSTUVWXYZabcdefghijklmnopqrstuvwxyz0123456789,")))),"")</f>
        <v/>
      </c>
      <c r="D353" s="15" t="str">
        <v/>
      </c>
      <c r="E353" s="16" t="str">
        <v/>
      </c>
      <c r="F353" s="15" t="str">
        <v/>
      </c>
      <c r="G353" s="20" t="str" cm="1">
        <f t="array" ref="G353">IF(TRIM(P353)="","",IF(SUM(COUNTIF(P353,{"*NLGD*","*FWG*"}))&gt;0,P353,IF(SUM(COUNTIF(P353,{"*GL*","*DGB*","*DGI*","*GT*","*CS*","*PWU*","*DBI*","*SWU*"}))=0,P353,IF(IFERROR(VALUE(SUBSTITUTE(SUBSTITUTE(O353,"W",""),"""","")),0)&gt;52,P353&amp;"-OVRSIZE-",P353))))</f>
        <v/>
      </c>
      <c r="H353" s="15" t="str">
        <v/>
      </c>
      <c r="I353" s="15" t="str">
        <v/>
      </c>
      <c r="J353" s="15" t="str">
        <v/>
      </c>
      <c r="K353" s="15" t="str">
        <v/>
      </c>
      <c r="L353" s="15" t="str">
        <v/>
      </c>
      <c r="M353" s="10" t="str">
        <v/>
      </c>
      <c r="N353" s="14"/>
      <c r="O353" s="15" t="str" cm="1">
        <f t="array" ref="O353">IFERROR(_xlfn.LET(
_xlpm.clean,TRIM(SUBSTITUTE(SUBSTITUTE(P353,CHAR(160),"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3" s="15"/>
      <c r="R353" t="str">
        <v/>
      </c>
      <c r="S353" t="str">
        <f t="shared" si="6"/>
        <v/>
      </c>
    </row>
    <row r="354" spans="1:19" ht="12.75">
      <c r="A354" s="15" t="str">
        <v/>
      </c>
      <c r="B354" s="15" t="str">
        <v/>
      </c>
      <c r="C354" s="15" t="str" cm="1">
        <f t="array" ref="C354">IFERROR(_xlfn.TEXTJOIN("",TRUE,_xlfn._xlws.FILTER(MID(S354,_xlfn.SEQUENCE(LEN(S354)),1),ISNUMBER(SEARCH(MID(S354,_xlfn.SEQUENCE(LEN(S354)),1),"ABCDEFGHIJKLMNOPQRSTUVWXYZabcdefghijklmnopqrstuvwxyz0123456789,")))),"")</f>
        <v/>
      </c>
      <c r="D354" s="15" t="str">
        <v/>
      </c>
      <c r="E354" s="16" t="str">
        <v/>
      </c>
      <c r="F354" s="15" t="str">
        <v/>
      </c>
      <c r="G354" s="20" t="str" cm="1">
        <f t="array" ref="G354">IF(TRIM(P354)="","",IF(SUM(COUNTIF(P354,{"*NLGD*","*FWG*"}))&gt;0,P354,IF(SUM(COUNTIF(P354,{"*GL*","*DGB*","*DGI*","*GT*","*CS*","*PWU*","*DBI*","*SWU*"}))=0,P354,IF(IFERROR(VALUE(SUBSTITUTE(SUBSTITUTE(O354,"W",""),"""","")),0)&gt;52,P354&amp;"-OVRSIZE-",P354))))</f>
        <v/>
      </c>
      <c r="H354" s="15" t="str">
        <v/>
      </c>
      <c r="I354" s="15" t="str">
        <v/>
      </c>
      <c r="J354" s="15" t="str">
        <v/>
      </c>
      <c r="K354" s="15" t="str">
        <v/>
      </c>
      <c r="L354" s="15" t="str">
        <v/>
      </c>
      <c r="M354" s="10" t="str">
        <v/>
      </c>
      <c r="N354" s="14"/>
      <c r="O354" s="15" t="str" cm="1">
        <f t="array" ref="O354">IFERROR(_xlfn.LET(
_xlpm.clean,TRIM(SUBSTITUTE(SUBSTITUTE(P354,CHAR(160),"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4" s="15"/>
      <c r="R354" t="str">
        <v/>
      </c>
      <c r="S354" t="str">
        <f t="shared" si="6"/>
        <v/>
      </c>
    </row>
    <row r="355" spans="1:19" ht="12.75">
      <c r="A355" s="15" t="str">
        <v/>
      </c>
      <c r="B355" s="15" t="str">
        <v/>
      </c>
      <c r="C355" s="15" t="str" cm="1">
        <f t="array" ref="C355">IFERROR(_xlfn.TEXTJOIN("",TRUE,_xlfn._xlws.FILTER(MID(S355,_xlfn.SEQUENCE(LEN(S355)),1),ISNUMBER(SEARCH(MID(S355,_xlfn.SEQUENCE(LEN(S355)),1),"ABCDEFGHIJKLMNOPQRSTUVWXYZabcdefghijklmnopqrstuvwxyz0123456789,")))),"")</f>
        <v/>
      </c>
      <c r="D355" s="15" t="str">
        <v/>
      </c>
      <c r="E355" s="16" t="str">
        <v/>
      </c>
      <c r="F355" s="15" t="str">
        <v/>
      </c>
      <c r="G355" s="20" t="str" cm="1">
        <f t="array" ref="G355">IF(TRIM(P355)="","",IF(SUM(COUNTIF(P355,{"*NLGD*","*FWG*"}))&gt;0,P355,IF(SUM(COUNTIF(P355,{"*GL*","*DGB*","*DGI*","*GT*","*CS*","*PWU*","*DBI*","*SWU*"}))=0,P355,IF(IFERROR(VALUE(SUBSTITUTE(SUBSTITUTE(O355,"W",""),"""","")),0)&gt;52,P355&amp;"-OVRSIZE-",P355))))</f>
        <v/>
      </c>
      <c r="H355" s="15" t="str">
        <v/>
      </c>
      <c r="I355" s="15" t="str">
        <v/>
      </c>
      <c r="J355" s="15" t="str">
        <v/>
      </c>
      <c r="K355" s="15" t="str">
        <v/>
      </c>
      <c r="L355" s="15" t="str">
        <v/>
      </c>
      <c r="M355" s="10" t="str">
        <v/>
      </c>
      <c r="N355" s="14"/>
      <c r="O355" s="15" t="str" cm="1">
        <f t="array" ref="O355">IFERROR(_xlfn.LET(
_xlpm.clean,TRIM(SUBSTITUTE(SUBSTITUTE(P355,CHAR(160),"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5" s="15"/>
      <c r="R355" t="str">
        <v/>
      </c>
      <c r="S355" t="str">
        <f t="shared" si="6"/>
        <v/>
      </c>
    </row>
    <row r="356" spans="1:19" ht="12.75">
      <c r="A356" s="15" t="str">
        <v/>
      </c>
      <c r="B356" s="15" t="str">
        <v/>
      </c>
      <c r="C356" s="15" t="str" cm="1">
        <f t="array" ref="C356">IFERROR(_xlfn.TEXTJOIN("",TRUE,_xlfn._xlws.FILTER(MID(S356,_xlfn.SEQUENCE(LEN(S356)),1),ISNUMBER(SEARCH(MID(S356,_xlfn.SEQUENCE(LEN(S356)),1),"ABCDEFGHIJKLMNOPQRSTUVWXYZabcdefghijklmnopqrstuvwxyz0123456789,")))),"")</f>
        <v/>
      </c>
      <c r="D356" s="15" t="str">
        <v/>
      </c>
      <c r="E356" s="16" t="str">
        <v/>
      </c>
      <c r="F356" s="15" t="str">
        <v/>
      </c>
      <c r="G356" s="20" t="str" cm="1">
        <f t="array" ref="G356">IF(TRIM(P356)="","",IF(SUM(COUNTIF(P356,{"*NLGD*","*FWG*"}))&gt;0,P356,IF(SUM(COUNTIF(P356,{"*GL*","*DGB*","*DGI*","*GT*","*CS*","*PWU*","*DBI*","*SWU*"}))=0,P356,IF(IFERROR(VALUE(SUBSTITUTE(SUBSTITUTE(O356,"W",""),"""","")),0)&gt;52,P356&amp;"-OVRSIZE-",P356))))</f>
        <v/>
      </c>
      <c r="H356" s="15" t="str">
        <v/>
      </c>
      <c r="I356" s="15" t="str">
        <v/>
      </c>
      <c r="J356" s="15" t="str">
        <v/>
      </c>
      <c r="K356" s="15" t="str">
        <v/>
      </c>
      <c r="L356" s="15" t="str">
        <v/>
      </c>
      <c r="M356" s="10" t="str">
        <v/>
      </c>
      <c r="N356" s="14"/>
      <c r="O356" s="15" t="str" cm="1">
        <f t="array" ref="O356">IFERROR(_xlfn.LET(
_xlpm.clean,TRIM(SUBSTITUTE(SUBSTITUTE(P356,CHAR(160),"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6" s="15"/>
      <c r="R356" t="str">
        <v/>
      </c>
      <c r="S356" t="str">
        <f t="shared" si="6"/>
        <v/>
      </c>
    </row>
    <row r="357" spans="1:19" ht="12.75">
      <c r="A357" s="15" t="str">
        <v/>
      </c>
      <c r="B357" s="15" t="str">
        <v/>
      </c>
      <c r="C357" s="15" t="str" cm="1">
        <f t="array" ref="C357">IFERROR(_xlfn.TEXTJOIN("",TRUE,_xlfn._xlws.FILTER(MID(S357,_xlfn.SEQUENCE(LEN(S357)),1),ISNUMBER(SEARCH(MID(S357,_xlfn.SEQUENCE(LEN(S357)),1),"ABCDEFGHIJKLMNOPQRSTUVWXYZabcdefghijklmnopqrstuvwxyz0123456789,")))),"")</f>
        <v/>
      </c>
      <c r="D357" s="15" t="str">
        <v/>
      </c>
      <c r="E357" s="16" t="str">
        <v/>
      </c>
      <c r="F357" s="15" t="str">
        <v/>
      </c>
      <c r="G357" s="20" t="str" cm="1">
        <f t="array" ref="G357">IF(TRIM(P357)="","",IF(SUM(COUNTIF(P357,{"*NLGD*","*FWG*"}))&gt;0,P357,IF(SUM(COUNTIF(P357,{"*GL*","*DGB*","*DGI*","*GT*","*CS*","*PWU*","*DBI*","*SWU*"}))=0,P357,IF(IFERROR(VALUE(SUBSTITUTE(SUBSTITUTE(O357,"W",""),"""","")),0)&gt;52,P357&amp;"-OVRSIZE-",P357))))</f>
        <v/>
      </c>
      <c r="H357" s="15" t="str">
        <v/>
      </c>
      <c r="I357" s="15" t="str">
        <v/>
      </c>
      <c r="J357" s="15" t="str">
        <v/>
      </c>
      <c r="K357" s="15" t="str">
        <v/>
      </c>
      <c r="L357" s="15" t="str">
        <v/>
      </c>
      <c r="M357" s="10" t="str">
        <v/>
      </c>
      <c r="N357" s="14"/>
      <c r="O357" s="15" t="str" cm="1">
        <f t="array" ref="O357">IFERROR(_xlfn.LET(
_xlpm.clean,TRIM(SUBSTITUTE(SUBSTITUTE(P357,CHAR(160),"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7" s="15"/>
      <c r="R357" t="str">
        <v/>
      </c>
      <c r="S357" t="str">
        <f t="shared" si="6"/>
        <v/>
      </c>
    </row>
    <row r="358" spans="1:19" ht="12.75">
      <c r="A358" s="15" t="str">
        <v/>
      </c>
      <c r="B358" s="15" t="str">
        <v/>
      </c>
      <c r="C358" s="15" t="str" cm="1">
        <f t="array" ref="C358">IFERROR(_xlfn.TEXTJOIN("",TRUE,_xlfn._xlws.FILTER(MID(S358,_xlfn.SEQUENCE(LEN(S358)),1),ISNUMBER(SEARCH(MID(S358,_xlfn.SEQUENCE(LEN(S358)),1),"ABCDEFGHIJKLMNOPQRSTUVWXYZabcdefghijklmnopqrstuvwxyz0123456789,")))),"")</f>
        <v/>
      </c>
      <c r="D358" s="15" t="str">
        <v/>
      </c>
      <c r="E358" s="16" t="str">
        <v/>
      </c>
      <c r="F358" s="15" t="str">
        <v/>
      </c>
      <c r="G358" s="20" t="str" cm="1">
        <f t="array" ref="G358">IF(TRIM(P358)="","",IF(SUM(COUNTIF(P358,{"*NLGD*","*FWG*"}))&gt;0,P358,IF(SUM(COUNTIF(P358,{"*GL*","*DGB*","*DGI*","*GT*","*CS*","*PWU*","*DBI*","*SWU*"}))=0,P358,IF(IFERROR(VALUE(SUBSTITUTE(SUBSTITUTE(O358,"W",""),"""","")),0)&gt;52,P358&amp;"-OVRSIZE-",P358))))</f>
        <v/>
      </c>
      <c r="H358" s="15" t="str">
        <v/>
      </c>
      <c r="I358" s="15" t="str">
        <v/>
      </c>
      <c r="J358" s="15" t="str">
        <v/>
      </c>
      <c r="K358" s="15" t="str">
        <v/>
      </c>
      <c r="L358" s="15" t="str">
        <v/>
      </c>
      <c r="M358" s="10" t="str">
        <v/>
      </c>
      <c r="N358" s="14"/>
      <c r="O358" s="15" t="str" cm="1">
        <f t="array" ref="O358">IFERROR(_xlfn.LET(
_xlpm.clean,TRIM(SUBSTITUTE(SUBSTITUTE(P358,CHAR(160),"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8" s="15"/>
      <c r="R358" t="str">
        <v/>
      </c>
      <c r="S358" t="str">
        <f t="shared" si="6"/>
        <v/>
      </c>
    </row>
    <row r="359" spans="1:19" ht="12.75">
      <c r="A359" s="15" t="str">
        <v/>
      </c>
      <c r="B359" s="15" t="str">
        <v/>
      </c>
      <c r="C359" s="15" t="str" cm="1">
        <f t="array" ref="C359">IFERROR(_xlfn.TEXTJOIN("",TRUE,_xlfn._xlws.FILTER(MID(S359,_xlfn.SEQUENCE(LEN(S359)),1),ISNUMBER(SEARCH(MID(S359,_xlfn.SEQUENCE(LEN(S359)),1),"ABCDEFGHIJKLMNOPQRSTUVWXYZabcdefghijklmnopqrstuvwxyz0123456789,")))),"")</f>
        <v/>
      </c>
      <c r="D359" s="15" t="str">
        <v/>
      </c>
      <c r="E359" s="16" t="str">
        <v/>
      </c>
      <c r="F359" s="15" t="str">
        <v/>
      </c>
      <c r="G359" s="20" t="str" cm="1">
        <f t="array" ref="G359">IF(TRIM(P359)="","",IF(SUM(COUNTIF(P359,{"*NLGD*","*FWG*"}))&gt;0,P359,IF(SUM(COUNTIF(P359,{"*GL*","*DGB*","*DGI*","*GT*","*CS*","*PWU*","*DBI*","*SWU*"}))=0,P359,IF(IFERROR(VALUE(SUBSTITUTE(SUBSTITUTE(O359,"W",""),"""","")),0)&gt;52,P359&amp;"-OVRSIZE-",P359))))</f>
        <v/>
      </c>
      <c r="H359" s="15" t="str">
        <v/>
      </c>
      <c r="I359" s="15" t="str">
        <v/>
      </c>
      <c r="J359" s="15" t="str">
        <v/>
      </c>
      <c r="K359" s="15" t="str">
        <v/>
      </c>
      <c r="L359" s="15" t="str">
        <v/>
      </c>
      <c r="M359" s="10" t="str">
        <v/>
      </c>
      <c r="N359" s="14"/>
      <c r="O359" s="15" t="str" cm="1">
        <f t="array" ref="O359">IFERROR(_xlfn.LET(
_xlpm.clean,TRIM(SUBSTITUTE(SUBSTITUTE(P359,CHAR(160),"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9" s="15"/>
      <c r="R359" t="str">
        <v/>
      </c>
      <c r="S359" t="str">
        <f t="shared" si="6"/>
        <v/>
      </c>
    </row>
    <row r="360" spans="1:19" ht="12.75">
      <c r="A360" s="15" t="str">
        <v/>
      </c>
      <c r="B360" s="15" t="str">
        <v/>
      </c>
      <c r="C360" s="15" t="str" cm="1">
        <f t="array" ref="C360">IFERROR(_xlfn.TEXTJOIN("",TRUE,_xlfn._xlws.FILTER(MID(S360,_xlfn.SEQUENCE(LEN(S360)),1),ISNUMBER(SEARCH(MID(S360,_xlfn.SEQUENCE(LEN(S360)),1),"ABCDEFGHIJKLMNOPQRSTUVWXYZabcdefghijklmnopqrstuvwxyz0123456789,")))),"")</f>
        <v/>
      </c>
      <c r="D360" s="15" t="str">
        <v/>
      </c>
      <c r="E360" s="16" t="str">
        <v/>
      </c>
      <c r="F360" s="15" t="str">
        <v/>
      </c>
      <c r="G360" s="20" t="str" cm="1">
        <f t="array" ref="G360">IF(TRIM(P360)="","",IF(SUM(COUNTIF(P360,{"*NLGD*","*FWG*"}))&gt;0,P360,IF(SUM(COUNTIF(P360,{"*GL*","*DGB*","*DGI*","*GT*","*CS*","*PWU*","*DBI*","*SWU*"}))=0,P360,IF(IFERROR(VALUE(SUBSTITUTE(SUBSTITUTE(O360,"W",""),"""","")),0)&gt;52,P360&amp;"-OVRSIZE-",P360))))</f>
        <v/>
      </c>
      <c r="H360" s="15" t="str">
        <v/>
      </c>
      <c r="I360" s="15" t="str">
        <v/>
      </c>
      <c r="J360" s="15" t="str">
        <v/>
      </c>
      <c r="K360" s="15" t="str">
        <v/>
      </c>
      <c r="L360" s="15" t="str">
        <v/>
      </c>
      <c r="M360" s="10" t="str">
        <v/>
      </c>
      <c r="N360" s="14"/>
      <c r="O360" s="15" t="str" cm="1">
        <f t="array" ref="O360">IFERROR(_xlfn.LET(
_xlpm.clean,TRIM(SUBSTITUTE(SUBSTITUTE(P360,CHAR(160),"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0" s="15"/>
      <c r="R360" t="str">
        <v/>
      </c>
      <c r="S360" t="str">
        <f t="shared" si="6"/>
        <v/>
      </c>
    </row>
    <row r="361" spans="1:19" ht="12.75">
      <c r="A361" s="15" t="str">
        <v/>
      </c>
      <c r="B361" s="15" t="str">
        <v/>
      </c>
      <c r="C361" s="15" t="str" cm="1">
        <f t="array" ref="C361">IFERROR(_xlfn.TEXTJOIN("",TRUE,_xlfn._xlws.FILTER(MID(S361,_xlfn.SEQUENCE(LEN(S361)),1),ISNUMBER(SEARCH(MID(S361,_xlfn.SEQUENCE(LEN(S361)),1),"ABCDEFGHIJKLMNOPQRSTUVWXYZabcdefghijklmnopqrstuvwxyz0123456789,")))),"")</f>
        <v/>
      </c>
      <c r="D361" s="15" t="str">
        <v/>
      </c>
      <c r="E361" s="16" t="str">
        <v/>
      </c>
      <c r="F361" s="15" t="str">
        <v/>
      </c>
      <c r="G361" s="20" t="str" cm="1">
        <f t="array" ref="G361">IF(TRIM(P361)="","",IF(SUM(COUNTIF(P361,{"*NLGD*","*FWG*"}))&gt;0,P361,IF(SUM(COUNTIF(P361,{"*GL*","*DGB*","*DGI*","*GT*","*CS*","*PWU*","*DBI*","*SWU*"}))=0,P361,IF(IFERROR(VALUE(SUBSTITUTE(SUBSTITUTE(O361,"W",""),"""","")),0)&gt;52,P361&amp;"-OVRSIZE-",P361))))</f>
        <v/>
      </c>
      <c r="H361" s="15" t="str">
        <v/>
      </c>
      <c r="I361" s="15" t="str">
        <v/>
      </c>
      <c r="J361" s="15" t="str">
        <v/>
      </c>
      <c r="K361" s="15" t="str">
        <v/>
      </c>
      <c r="L361" s="15" t="str">
        <v/>
      </c>
      <c r="M361" s="10" t="str">
        <v/>
      </c>
      <c r="N361" s="14"/>
      <c r="O361" s="15" t="str" cm="1">
        <f t="array" ref="O361">IFERROR(_xlfn.LET(
_xlpm.clean,TRIM(SUBSTITUTE(SUBSTITUTE(P361,CHAR(160),"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1" s="15"/>
      <c r="R361" t="str">
        <v/>
      </c>
      <c r="S361" t="str">
        <f t="shared" si="6"/>
        <v/>
      </c>
    </row>
    <row r="362" spans="1:19" ht="12.75">
      <c r="A362" s="15" t="str">
        <v/>
      </c>
      <c r="B362" s="15" t="str">
        <v/>
      </c>
      <c r="C362" s="15" t="str" cm="1">
        <f t="array" ref="C362">IFERROR(_xlfn.TEXTJOIN("",TRUE,_xlfn._xlws.FILTER(MID(S362,_xlfn.SEQUENCE(LEN(S362)),1),ISNUMBER(SEARCH(MID(S362,_xlfn.SEQUENCE(LEN(S362)),1),"ABCDEFGHIJKLMNOPQRSTUVWXYZabcdefghijklmnopqrstuvwxyz0123456789,")))),"")</f>
        <v/>
      </c>
      <c r="D362" s="15" t="str">
        <v/>
      </c>
      <c r="E362" s="16" t="str">
        <v/>
      </c>
      <c r="F362" s="15" t="str">
        <v/>
      </c>
      <c r="G362" s="20" t="str" cm="1">
        <f t="array" ref="G362">IF(TRIM(P362)="","",IF(SUM(COUNTIF(P362,{"*NLGD*","*FWG*"}))&gt;0,P362,IF(SUM(COUNTIF(P362,{"*GL*","*DGB*","*DGI*","*GT*","*CS*","*PWU*","*DBI*","*SWU*"}))=0,P362,IF(IFERROR(VALUE(SUBSTITUTE(SUBSTITUTE(O362,"W",""),"""","")),0)&gt;52,P362&amp;"-OVRSIZE-",P362))))</f>
        <v/>
      </c>
      <c r="H362" s="15" t="str">
        <v/>
      </c>
      <c r="I362" s="15" t="str">
        <v/>
      </c>
      <c r="J362" s="15" t="str">
        <v/>
      </c>
      <c r="K362" s="15" t="str">
        <v/>
      </c>
      <c r="L362" s="15" t="str">
        <v/>
      </c>
      <c r="M362" s="10" t="str">
        <v/>
      </c>
      <c r="N362" s="14"/>
      <c r="O362" s="15" t="str" cm="1">
        <f t="array" ref="O362">IFERROR(_xlfn.LET(
_xlpm.clean,TRIM(SUBSTITUTE(SUBSTITUTE(P362,CHAR(160),"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2" s="15"/>
      <c r="R362" t="str">
        <v/>
      </c>
      <c r="S362" t="str">
        <f t="shared" si="6"/>
        <v/>
      </c>
    </row>
    <row r="363" spans="1:19" ht="12.75">
      <c r="A363" s="15" t="str">
        <v/>
      </c>
      <c r="B363" s="15" t="str">
        <v/>
      </c>
      <c r="C363" s="15" t="str" cm="1">
        <f t="array" ref="C363">IFERROR(_xlfn.TEXTJOIN("",TRUE,_xlfn._xlws.FILTER(MID(S363,_xlfn.SEQUENCE(LEN(S363)),1),ISNUMBER(SEARCH(MID(S363,_xlfn.SEQUENCE(LEN(S363)),1),"ABCDEFGHIJKLMNOPQRSTUVWXYZabcdefghijklmnopqrstuvwxyz0123456789,")))),"")</f>
        <v/>
      </c>
      <c r="D363" s="15" t="str">
        <v/>
      </c>
      <c r="E363" s="16" t="str">
        <v/>
      </c>
      <c r="F363" s="15" t="str">
        <v/>
      </c>
      <c r="G363" s="20" t="str" cm="1">
        <f t="array" ref="G363">IF(TRIM(P363)="","",IF(SUM(COUNTIF(P363,{"*NLGD*","*FWG*"}))&gt;0,P363,IF(SUM(COUNTIF(P363,{"*GL*","*DGB*","*DGI*","*GT*","*CS*","*PWU*","*DBI*","*SWU*"}))=0,P363,IF(IFERROR(VALUE(SUBSTITUTE(SUBSTITUTE(O363,"W",""),"""","")),0)&gt;52,P363&amp;"-OVRSIZE-",P363))))</f>
        <v/>
      </c>
      <c r="H363" s="15" t="str">
        <v/>
      </c>
      <c r="I363" s="15" t="str">
        <v/>
      </c>
      <c r="J363" s="15" t="str">
        <v/>
      </c>
      <c r="K363" s="15" t="str">
        <v/>
      </c>
      <c r="L363" s="15" t="str">
        <v/>
      </c>
      <c r="M363" s="10" t="str">
        <v/>
      </c>
      <c r="N363" s="14"/>
      <c r="O363" s="15" t="str" cm="1">
        <f t="array" ref="O363">IFERROR(_xlfn.LET(
_xlpm.clean,TRIM(SUBSTITUTE(SUBSTITUTE(P363,CHAR(160),"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3" s="15"/>
      <c r="R363" t="str">
        <v/>
      </c>
      <c r="S363" t="str">
        <f t="shared" si="6"/>
        <v/>
      </c>
    </row>
    <row r="364" spans="1:19" ht="12.75">
      <c r="A364" s="15" t="str">
        <v/>
      </c>
      <c r="B364" s="15" t="str">
        <v/>
      </c>
      <c r="C364" s="15" t="str" cm="1">
        <f t="array" ref="C364">IFERROR(_xlfn.TEXTJOIN("",TRUE,_xlfn._xlws.FILTER(MID(S364,_xlfn.SEQUENCE(LEN(S364)),1),ISNUMBER(SEARCH(MID(S364,_xlfn.SEQUENCE(LEN(S364)),1),"ABCDEFGHIJKLMNOPQRSTUVWXYZabcdefghijklmnopqrstuvwxyz0123456789,")))),"")</f>
        <v/>
      </c>
      <c r="D364" s="15" t="str">
        <v/>
      </c>
      <c r="E364" s="16" t="str">
        <v/>
      </c>
      <c r="F364" s="15" t="str">
        <v/>
      </c>
      <c r="G364" s="20" t="str" cm="1">
        <f t="array" ref="G364">IF(TRIM(P364)="","",IF(SUM(COUNTIF(P364,{"*NLGD*","*FWG*"}))&gt;0,P364,IF(SUM(COUNTIF(P364,{"*GL*","*DGB*","*DGI*","*GT*","*CS*","*PWU*","*DBI*","*SWU*"}))=0,P364,IF(IFERROR(VALUE(SUBSTITUTE(SUBSTITUTE(O364,"W",""),"""","")),0)&gt;52,P364&amp;"-OVRSIZE-",P364))))</f>
        <v/>
      </c>
      <c r="H364" s="15" t="str">
        <v/>
      </c>
      <c r="I364" s="15" t="str">
        <v/>
      </c>
      <c r="J364" s="15" t="str">
        <v/>
      </c>
      <c r="K364" s="15" t="str">
        <v/>
      </c>
      <c r="L364" s="15" t="str">
        <v/>
      </c>
      <c r="M364" s="10" t="str">
        <v/>
      </c>
      <c r="N364" s="14"/>
      <c r="O364" s="15" t="str" cm="1">
        <f t="array" ref="O364">IFERROR(_xlfn.LET(
_xlpm.clean,TRIM(SUBSTITUTE(SUBSTITUTE(P364,CHAR(160),"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4" s="15"/>
      <c r="R364" t="str">
        <v/>
      </c>
      <c r="S364" t="str">
        <f t="shared" si="6"/>
        <v/>
      </c>
    </row>
    <row r="365" spans="1:19" ht="12.75">
      <c r="A365" s="15" t="str">
        <v/>
      </c>
      <c r="B365" s="15" t="str">
        <v/>
      </c>
      <c r="C365" s="15" t="str" cm="1">
        <f t="array" ref="C365">IFERROR(_xlfn.TEXTJOIN("",TRUE,_xlfn._xlws.FILTER(MID(S365,_xlfn.SEQUENCE(LEN(S365)),1),ISNUMBER(SEARCH(MID(S365,_xlfn.SEQUENCE(LEN(S365)),1),"ABCDEFGHIJKLMNOPQRSTUVWXYZabcdefghijklmnopqrstuvwxyz0123456789,")))),"")</f>
        <v/>
      </c>
      <c r="D365" s="15" t="str">
        <v/>
      </c>
      <c r="E365" s="16" t="str">
        <v/>
      </c>
      <c r="F365" s="15" t="str">
        <v/>
      </c>
      <c r="G365" s="20" t="str" cm="1">
        <f t="array" ref="G365">IF(TRIM(P365)="","",IF(SUM(COUNTIF(P365,{"*NLGD*","*FWG*"}))&gt;0,P365,IF(SUM(COUNTIF(P365,{"*GL*","*DGB*","*DGI*","*GT*","*CS*","*PWU*","*DBI*","*SWU*"}))=0,P365,IF(IFERROR(VALUE(SUBSTITUTE(SUBSTITUTE(O365,"W",""),"""","")),0)&gt;52,P365&amp;"-OVRSIZE-",P365))))</f>
        <v/>
      </c>
      <c r="H365" s="15" t="str">
        <v/>
      </c>
      <c r="I365" s="15" t="str">
        <v/>
      </c>
      <c r="J365" s="15" t="str">
        <v/>
      </c>
      <c r="K365" s="15" t="str">
        <v/>
      </c>
      <c r="L365" s="15" t="str">
        <v/>
      </c>
      <c r="M365" s="10" t="str">
        <v/>
      </c>
      <c r="N365" s="14"/>
      <c r="O365" s="15" t="str" cm="1">
        <f t="array" ref="O365">IFERROR(_xlfn.LET(
_xlpm.clean,TRIM(SUBSTITUTE(SUBSTITUTE(P365,CHAR(160),"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5" s="15"/>
      <c r="R365" t="str">
        <v/>
      </c>
      <c r="S365" t="str">
        <f t="shared" si="6"/>
        <v/>
      </c>
    </row>
    <row r="366" spans="1:19" ht="12.75">
      <c r="A366" s="15" t="str">
        <v/>
      </c>
      <c r="B366" s="15" t="str">
        <v/>
      </c>
      <c r="C366" s="15" t="str" cm="1">
        <f t="array" ref="C366">IFERROR(_xlfn.TEXTJOIN("",TRUE,_xlfn._xlws.FILTER(MID(S366,_xlfn.SEQUENCE(LEN(S366)),1),ISNUMBER(SEARCH(MID(S366,_xlfn.SEQUENCE(LEN(S366)),1),"ABCDEFGHIJKLMNOPQRSTUVWXYZabcdefghijklmnopqrstuvwxyz0123456789,")))),"")</f>
        <v/>
      </c>
      <c r="D366" s="15" t="str">
        <v/>
      </c>
      <c r="E366" s="16" t="str">
        <v/>
      </c>
      <c r="F366" s="15" t="str">
        <v/>
      </c>
      <c r="G366" s="20" t="str" cm="1">
        <f t="array" ref="G366">IF(TRIM(P366)="","",IF(SUM(COUNTIF(P366,{"*NLGD*","*FWG*"}))&gt;0,P366,IF(SUM(COUNTIF(P366,{"*GL*","*DGB*","*DGI*","*GT*","*CS*","*PWU*","*DBI*","*SWU*"}))=0,P366,IF(IFERROR(VALUE(SUBSTITUTE(SUBSTITUTE(O366,"W",""),"""","")),0)&gt;52,P366&amp;"-OVRSIZE-",P366))))</f>
        <v/>
      </c>
      <c r="H366" s="15" t="str">
        <v/>
      </c>
      <c r="I366" s="15" t="str">
        <v/>
      </c>
      <c r="J366" s="15" t="str">
        <v/>
      </c>
      <c r="K366" s="15" t="str">
        <v/>
      </c>
      <c r="L366" s="15" t="str">
        <v/>
      </c>
      <c r="M366" s="10" t="str">
        <v/>
      </c>
      <c r="N366" s="14"/>
      <c r="O366" s="15" t="str" cm="1">
        <f t="array" ref="O366">IFERROR(_xlfn.LET(
_xlpm.clean,TRIM(SUBSTITUTE(SUBSTITUTE(P366,CHAR(160),"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6" s="15"/>
      <c r="R366" t="str">
        <v/>
      </c>
      <c r="S366" t="str">
        <f t="shared" si="6"/>
        <v/>
      </c>
    </row>
    <row r="367" spans="1:19" ht="12.75">
      <c r="A367" s="15" t="str">
        <v/>
      </c>
      <c r="B367" s="15" t="str">
        <v/>
      </c>
      <c r="C367" s="15" t="str" cm="1">
        <f t="array" ref="C367">IFERROR(_xlfn.TEXTJOIN("",TRUE,_xlfn._xlws.FILTER(MID(S367,_xlfn.SEQUENCE(LEN(S367)),1),ISNUMBER(SEARCH(MID(S367,_xlfn.SEQUENCE(LEN(S367)),1),"ABCDEFGHIJKLMNOPQRSTUVWXYZabcdefghijklmnopqrstuvwxyz0123456789,")))),"")</f>
        <v/>
      </c>
      <c r="D367" s="15" t="str">
        <v/>
      </c>
      <c r="E367" s="16" t="str">
        <v/>
      </c>
      <c r="F367" s="15" t="str">
        <v/>
      </c>
      <c r="G367" s="20" t="str" cm="1">
        <f t="array" ref="G367">IF(TRIM(P367)="","",IF(SUM(COUNTIF(P367,{"*NLGD*","*FWG*"}))&gt;0,P367,IF(SUM(COUNTIF(P367,{"*GL*","*DGB*","*DGI*","*GT*","*CS*","*PWU*","*DBI*","*SWU*"}))=0,P367,IF(IFERROR(VALUE(SUBSTITUTE(SUBSTITUTE(O367,"W",""),"""","")),0)&gt;52,P367&amp;"-OVRSIZE-",P367))))</f>
        <v/>
      </c>
      <c r="H367" s="15" t="str">
        <v/>
      </c>
      <c r="I367" s="15" t="str">
        <v/>
      </c>
      <c r="J367" s="15" t="str">
        <v/>
      </c>
      <c r="K367" s="15" t="str">
        <v/>
      </c>
      <c r="L367" s="15" t="str">
        <v/>
      </c>
      <c r="M367" s="10" t="str">
        <v/>
      </c>
      <c r="N367" s="14"/>
      <c r="O367" s="15" t="str" cm="1">
        <f t="array" ref="O367">IFERROR(_xlfn.LET(
_xlpm.clean,TRIM(SUBSTITUTE(SUBSTITUTE(P367,CHAR(160),"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7" s="15"/>
      <c r="R367" t="str">
        <v/>
      </c>
      <c r="S367" t="str">
        <f t="shared" si="6"/>
        <v/>
      </c>
    </row>
    <row r="368" spans="1:19" ht="12.75">
      <c r="A368" s="15" t="str">
        <v/>
      </c>
      <c r="B368" s="15" t="str">
        <v/>
      </c>
      <c r="C368" s="15" t="str" cm="1">
        <f t="array" ref="C368">IFERROR(_xlfn.TEXTJOIN("",TRUE,_xlfn._xlws.FILTER(MID(S368,_xlfn.SEQUENCE(LEN(S368)),1),ISNUMBER(SEARCH(MID(S368,_xlfn.SEQUENCE(LEN(S368)),1),"ABCDEFGHIJKLMNOPQRSTUVWXYZabcdefghijklmnopqrstuvwxyz0123456789,")))),"")</f>
        <v/>
      </c>
      <c r="D368" s="15" t="str">
        <v/>
      </c>
      <c r="E368" s="16" t="str">
        <v/>
      </c>
      <c r="F368" s="15" t="str">
        <v/>
      </c>
      <c r="G368" s="20" t="str" cm="1">
        <f t="array" ref="G368">IF(TRIM(P368)="","",IF(SUM(COUNTIF(P368,{"*NLGD*","*FWG*"}))&gt;0,P368,IF(SUM(COUNTIF(P368,{"*GL*","*DGB*","*DGI*","*GT*","*CS*","*PWU*","*DBI*","*SWU*"}))=0,P368,IF(IFERROR(VALUE(SUBSTITUTE(SUBSTITUTE(O368,"W",""),"""","")),0)&gt;52,P368&amp;"-OVRSIZE-",P368))))</f>
        <v/>
      </c>
      <c r="H368" s="15" t="str">
        <v/>
      </c>
      <c r="I368" s="15" t="str">
        <v/>
      </c>
      <c r="J368" s="15" t="str">
        <v/>
      </c>
      <c r="K368" s="15" t="str">
        <v/>
      </c>
      <c r="L368" s="15" t="str">
        <v/>
      </c>
      <c r="M368" s="10" t="str">
        <v/>
      </c>
      <c r="N368" s="14"/>
      <c r="O368" s="15" t="str" cm="1">
        <f t="array" ref="O368">IFERROR(_xlfn.LET(
_xlpm.clean,TRIM(SUBSTITUTE(SUBSTITUTE(P368,CHAR(160),"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8" s="15"/>
      <c r="R368" t="str">
        <v/>
      </c>
      <c r="S368" t="str">
        <f t="shared" si="6"/>
        <v/>
      </c>
    </row>
    <row r="369" spans="1:19" ht="12.75">
      <c r="A369" s="15" t="str">
        <v/>
      </c>
      <c r="B369" s="15" t="str">
        <v/>
      </c>
      <c r="C369" s="15" t="str" cm="1">
        <f t="array" ref="C369">IFERROR(_xlfn.TEXTJOIN("",TRUE,_xlfn._xlws.FILTER(MID(S369,_xlfn.SEQUENCE(LEN(S369)),1),ISNUMBER(SEARCH(MID(S369,_xlfn.SEQUENCE(LEN(S369)),1),"ABCDEFGHIJKLMNOPQRSTUVWXYZabcdefghijklmnopqrstuvwxyz0123456789,")))),"")</f>
        <v/>
      </c>
      <c r="D369" s="15" t="str">
        <v/>
      </c>
      <c r="E369" s="16" t="str">
        <v/>
      </c>
      <c r="F369" s="15" t="str">
        <v/>
      </c>
      <c r="G369" s="20" t="str" cm="1">
        <f t="array" ref="G369">IF(TRIM(P369)="","",IF(SUM(COUNTIF(P369,{"*NLGD*","*FWG*"}))&gt;0,P369,IF(SUM(COUNTIF(P369,{"*GL*","*DGB*","*DGI*","*GT*","*CS*","*PWU*","*DBI*","*SWU*"}))=0,P369,IF(IFERROR(VALUE(SUBSTITUTE(SUBSTITUTE(O369,"W",""),"""","")),0)&gt;52,P369&amp;"-OVRSIZE-",P369))))</f>
        <v/>
      </c>
      <c r="H369" s="15" t="str">
        <v/>
      </c>
      <c r="I369" s="15" t="str">
        <v/>
      </c>
      <c r="J369" s="15" t="str">
        <v/>
      </c>
      <c r="K369" s="15" t="str">
        <v/>
      </c>
      <c r="L369" s="15" t="str">
        <v/>
      </c>
      <c r="M369" s="10" t="str">
        <v/>
      </c>
      <c r="N369" s="14"/>
      <c r="O369" s="15" t="str" cm="1">
        <f t="array" ref="O369">IFERROR(_xlfn.LET(
_xlpm.clean,TRIM(SUBSTITUTE(SUBSTITUTE(P369,CHAR(160),"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9" s="15"/>
      <c r="R369" t="str">
        <v/>
      </c>
      <c r="S369" t="str">
        <f t="shared" si="6"/>
        <v/>
      </c>
    </row>
    <row r="370" spans="1:19" ht="12.75">
      <c r="A370" s="15" t="str">
        <v/>
      </c>
      <c r="B370" s="15" t="str">
        <v/>
      </c>
      <c r="C370" s="15" t="str" cm="1">
        <f t="array" ref="C370">IFERROR(_xlfn.TEXTJOIN("",TRUE,_xlfn._xlws.FILTER(MID(S370,_xlfn.SEQUENCE(LEN(S370)),1),ISNUMBER(SEARCH(MID(S370,_xlfn.SEQUENCE(LEN(S370)),1),"ABCDEFGHIJKLMNOPQRSTUVWXYZabcdefghijklmnopqrstuvwxyz0123456789,")))),"")</f>
        <v/>
      </c>
      <c r="D370" s="15" t="str">
        <v/>
      </c>
      <c r="E370" s="16" t="str">
        <v/>
      </c>
      <c r="F370" s="15" t="str">
        <v/>
      </c>
      <c r="G370" s="20" t="str" cm="1">
        <f t="array" ref="G370">IF(TRIM(P370)="","",IF(SUM(COUNTIF(P370,{"*NLGD*","*FWG*"}))&gt;0,P370,IF(SUM(COUNTIF(P370,{"*GL*","*DGB*","*DGI*","*GT*","*CS*","*PWU*","*DBI*","*SWU*"}))=0,P370,IF(IFERROR(VALUE(SUBSTITUTE(SUBSTITUTE(O370,"W",""),"""","")),0)&gt;52,P370&amp;"-OVRSIZE-",P370))))</f>
        <v/>
      </c>
      <c r="H370" s="15" t="str">
        <v/>
      </c>
      <c r="I370" s="15" t="str">
        <v/>
      </c>
      <c r="J370" s="15" t="str">
        <v/>
      </c>
      <c r="K370" s="15" t="str">
        <v/>
      </c>
      <c r="L370" s="15" t="str">
        <v/>
      </c>
      <c r="M370" s="10" t="str">
        <v/>
      </c>
      <c r="N370" s="14"/>
      <c r="O370" s="15" t="str" cm="1">
        <f t="array" ref="O370">IFERROR(_xlfn.LET(
_xlpm.clean,TRIM(SUBSTITUTE(SUBSTITUTE(P370,CHAR(160),"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0" s="15"/>
      <c r="R370" t="str">
        <v/>
      </c>
      <c r="S370" t="str">
        <f t="shared" si="6"/>
        <v/>
      </c>
    </row>
    <row r="371" spans="1:19" ht="12.75">
      <c r="A371" s="15" t="str">
        <v/>
      </c>
      <c r="B371" s="15" t="str">
        <v/>
      </c>
      <c r="C371" s="15" t="str" cm="1">
        <f t="array" ref="C371">IFERROR(_xlfn.TEXTJOIN("",TRUE,_xlfn._xlws.FILTER(MID(S371,_xlfn.SEQUENCE(LEN(S371)),1),ISNUMBER(SEARCH(MID(S371,_xlfn.SEQUENCE(LEN(S371)),1),"ABCDEFGHIJKLMNOPQRSTUVWXYZabcdefghijklmnopqrstuvwxyz0123456789,")))),"")</f>
        <v/>
      </c>
      <c r="D371" s="15" t="str">
        <v/>
      </c>
      <c r="E371" s="16" t="str">
        <v/>
      </c>
      <c r="F371" s="15" t="str">
        <v/>
      </c>
      <c r="G371" s="20" t="str" cm="1">
        <f t="array" ref="G371">IF(TRIM(P371)="","",IF(SUM(COUNTIF(P371,{"*NLGD*","*FWG*"}))&gt;0,P371,IF(SUM(COUNTIF(P371,{"*GL*","*DGB*","*DGI*","*GT*","*CS*","*PWU*","*DBI*","*SWU*"}))=0,P371,IF(IFERROR(VALUE(SUBSTITUTE(SUBSTITUTE(O371,"W",""),"""","")),0)&gt;52,P371&amp;"-OVRSIZE-",P371))))</f>
        <v/>
      </c>
      <c r="H371" s="15" t="str">
        <v/>
      </c>
      <c r="I371" s="15" t="str">
        <v/>
      </c>
      <c r="J371" s="15" t="str">
        <v/>
      </c>
      <c r="K371" s="15" t="str">
        <v/>
      </c>
      <c r="L371" s="15" t="str">
        <v/>
      </c>
      <c r="M371" s="10" t="str">
        <v/>
      </c>
      <c r="N371" s="14"/>
      <c r="O371" s="15" t="str" cm="1">
        <f t="array" ref="O371">IFERROR(_xlfn.LET(
_xlpm.clean,TRIM(SUBSTITUTE(SUBSTITUTE(P371,CHAR(160),"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1" s="15"/>
      <c r="R371" t="str">
        <v/>
      </c>
      <c r="S371" t="str">
        <f t="shared" si="6"/>
        <v/>
      </c>
    </row>
    <row r="372" spans="1:19" ht="12.75">
      <c r="A372" s="15" t="str">
        <v/>
      </c>
      <c r="B372" s="15" t="str">
        <v/>
      </c>
      <c r="C372" s="15" t="str" cm="1">
        <f t="array" ref="C372">IFERROR(_xlfn.TEXTJOIN("",TRUE,_xlfn._xlws.FILTER(MID(S372,_xlfn.SEQUENCE(LEN(S372)),1),ISNUMBER(SEARCH(MID(S372,_xlfn.SEQUENCE(LEN(S372)),1),"ABCDEFGHIJKLMNOPQRSTUVWXYZabcdefghijklmnopqrstuvwxyz0123456789,")))),"")</f>
        <v/>
      </c>
      <c r="D372" s="15" t="str">
        <v/>
      </c>
      <c r="E372" s="16" t="str">
        <v/>
      </c>
      <c r="F372" s="15" t="str">
        <v/>
      </c>
      <c r="G372" s="20" t="str" cm="1">
        <f t="array" ref="G372">IF(TRIM(P372)="","",IF(SUM(COUNTIF(P372,{"*NLGD*","*FWG*"}))&gt;0,P372,IF(SUM(COUNTIF(P372,{"*GL*","*DGB*","*DGI*","*GT*","*CS*","*PWU*","*DBI*","*SWU*"}))=0,P372,IF(IFERROR(VALUE(SUBSTITUTE(SUBSTITUTE(O372,"W",""),"""","")),0)&gt;52,P372&amp;"-OVRSIZE-",P372))))</f>
        <v/>
      </c>
      <c r="H372" s="15" t="str">
        <v/>
      </c>
      <c r="I372" s="15" t="str">
        <v/>
      </c>
      <c r="J372" s="15" t="str">
        <v/>
      </c>
      <c r="K372" s="15" t="str">
        <v/>
      </c>
      <c r="L372" s="15" t="str">
        <v/>
      </c>
      <c r="M372" s="10" t="str">
        <v/>
      </c>
      <c r="N372" s="14"/>
      <c r="O372" s="15" t="str" cm="1">
        <f t="array" ref="O372">IFERROR(_xlfn.LET(
_xlpm.clean,TRIM(SUBSTITUTE(SUBSTITUTE(P372,CHAR(160),"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2" s="15"/>
      <c r="R372" t="str">
        <v/>
      </c>
      <c r="S372" t="str">
        <f t="shared" si="6"/>
        <v/>
      </c>
    </row>
    <row r="373" spans="1:19" ht="12.75">
      <c r="A373" s="15" t="str">
        <v/>
      </c>
      <c r="B373" s="15" t="str">
        <v/>
      </c>
      <c r="C373" s="15" t="str" cm="1">
        <f t="array" ref="C373">IFERROR(_xlfn.TEXTJOIN("",TRUE,_xlfn._xlws.FILTER(MID(S373,_xlfn.SEQUENCE(LEN(S373)),1),ISNUMBER(SEARCH(MID(S373,_xlfn.SEQUENCE(LEN(S373)),1),"ABCDEFGHIJKLMNOPQRSTUVWXYZabcdefghijklmnopqrstuvwxyz0123456789,")))),"")</f>
        <v/>
      </c>
      <c r="D373" s="15" t="str">
        <v/>
      </c>
      <c r="E373" s="16" t="str">
        <v/>
      </c>
      <c r="F373" s="15" t="str">
        <v/>
      </c>
      <c r="G373" s="20" t="str" cm="1">
        <f t="array" ref="G373">IF(TRIM(P373)="","",IF(SUM(COUNTIF(P373,{"*NLGD*","*FWG*"}))&gt;0,P373,IF(SUM(COUNTIF(P373,{"*GL*","*DGB*","*DGI*","*GT*","*CS*","*PWU*","*DBI*","*SWU*"}))=0,P373,IF(IFERROR(VALUE(SUBSTITUTE(SUBSTITUTE(O373,"W",""),"""","")),0)&gt;52,P373&amp;"-OVRSIZE-",P373))))</f>
        <v/>
      </c>
      <c r="H373" s="15" t="str">
        <v/>
      </c>
      <c r="I373" s="15" t="str">
        <v/>
      </c>
      <c r="J373" s="15" t="str">
        <v/>
      </c>
      <c r="K373" s="15" t="str">
        <v/>
      </c>
      <c r="L373" s="15" t="str">
        <v/>
      </c>
      <c r="M373" s="10" t="str">
        <v/>
      </c>
      <c r="N373" s="14"/>
      <c r="O373" s="15" t="str" cm="1">
        <f t="array" ref="O373">IFERROR(_xlfn.LET(
_xlpm.clean,TRIM(SUBSTITUTE(SUBSTITUTE(P373,CHAR(160),"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3" s="15"/>
      <c r="R373" t="str">
        <v/>
      </c>
      <c r="S373" t="str">
        <f t="shared" si="6"/>
        <v/>
      </c>
    </row>
    <row r="374" spans="1:19" ht="12.75">
      <c r="A374" s="15" t="str">
        <v/>
      </c>
      <c r="B374" s="15" t="str">
        <v/>
      </c>
      <c r="C374" s="15" t="str" cm="1">
        <f t="array" ref="C374">IFERROR(_xlfn.TEXTJOIN("",TRUE,_xlfn._xlws.FILTER(MID(S374,_xlfn.SEQUENCE(LEN(S374)),1),ISNUMBER(SEARCH(MID(S374,_xlfn.SEQUENCE(LEN(S374)),1),"ABCDEFGHIJKLMNOPQRSTUVWXYZabcdefghijklmnopqrstuvwxyz0123456789,")))),"")</f>
        <v/>
      </c>
      <c r="D374" s="15" t="str">
        <v/>
      </c>
      <c r="E374" s="16" t="str">
        <v/>
      </c>
      <c r="F374" s="15" t="str">
        <v/>
      </c>
      <c r="G374" s="20" t="str" cm="1">
        <f t="array" ref="G374">IF(TRIM(P374)="","",IF(SUM(COUNTIF(P374,{"*NLGD*","*FWG*"}))&gt;0,P374,IF(SUM(COUNTIF(P374,{"*GL*","*DGB*","*DGI*","*GT*","*CS*","*PWU*","*DBI*","*SWU*"}))=0,P374,IF(IFERROR(VALUE(SUBSTITUTE(SUBSTITUTE(O374,"W",""),"""","")),0)&gt;52,P374&amp;"-OVRSIZE-",P374))))</f>
        <v/>
      </c>
      <c r="H374" s="15" t="str">
        <v/>
      </c>
      <c r="I374" s="15" t="str">
        <v/>
      </c>
      <c r="J374" s="15" t="str">
        <v/>
      </c>
      <c r="K374" s="15" t="str">
        <v/>
      </c>
      <c r="L374" s="15" t="str">
        <v/>
      </c>
      <c r="M374" s="10" t="str">
        <v/>
      </c>
      <c r="N374" s="14"/>
      <c r="O374" s="15" t="str" cm="1">
        <f t="array" ref="O374">IFERROR(_xlfn.LET(
_xlpm.clean,TRIM(SUBSTITUTE(SUBSTITUTE(P374,CHAR(160),"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4" s="15"/>
      <c r="R374" t="str">
        <v/>
      </c>
      <c r="S374" t="str">
        <f t="shared" si="6"/>
        <v/>
      </c>
    </row>
    <row r="375" spans="1:19" ht="12.75">
      <c r="A375" s="15" t="str">
        <v/>
      </c>
      <c r="B375" s="15" t="str">
        <v/>
      </c>
      <c r="C375" s="15" t="str" cm="1">
        <f t="array" ref="C375">IFERROR(_xlfn.TEXTJOIN("",TRUE,_xlfn._xlws.FILTER(MID(S375,_xlfn.SEQUENCE(LEN(S375)),1),ISNUMBER(SEARCH(MID(S375,_xlfn.SEQUENCE(LEN(S375)),1),"ABCDEFGHIJKLMNOPQRSTUVWXYZabcdefghijklmnopqrstuvwxyz0123456789,")))),"")</f>
        <v/>
      </c>
      <c r="D375" s="15" t="str">
        <v/>
      </c>
      <c r="E375" s="16" t="str">
        <v/>
      </c>
      <c r="F375" s="15" t="str">
        <v/>
      </c>
      <c r="G375" s="20" t="str" cm="1">
        <f t="array" ref="G375">IF(TRIM(P375)="","",IF(SUM(COUNTIF(P375,{"*NLGD*","*FWG*"}))&gt;0,P375,IF(SUM(COUNTIF(P375,{"*GL*","*DGB*","*DGI*","*GT*","*CS*","*PWU*","*DBI*","*SWU*"}))=0,P375,IF(IFERROR(VALUE(SUBSTITUTE(SUBSTITUTE(O375,"W",""),"""","")),0)&gt;52,P375&amp;"-OVRSIZE-",P375))))</f>
        <v/>
      </c>
      <c r="H375" s="15" t="str">
        <v/>
      </c>
      <c r="I375" s="15" t="str">
        <v/>
      </c>
      <c r="J375" s="15" t="str">
        <v/>
      </c>
      <c r="K375" s="15" t="str">
        <v/>
      </c>
      <c r="L375" s="15" t="str">
        <v/>
      </c>
      <c r="M375" s="10" t="str">
        <v/>
      </c>
      <c r="N375" s="14"/>
      <c r="O375" s="15" t="str" cm="1">
        <f t="array" ref="O375">IFERROR(_xlfn.LET(
_xlpm.clean,TRIM(SUBSTITUTE(SUBSTITUTE(P375,CHAR(160),"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5" s="15"/>
      <c r="R375" t="str">
        <v/>
      </c>
      <c r="S375" t="str">
        <f t="shared" si="6"/>
        <v/>
      </c>
    </row>
    <row r="376" spans="1:19" ht="12.75">
      <c r="A376" s="15" t="str">
        <v/>
      </c>
      <c r="B376" s="15" t="str">
        <v/>
      </c>
      <c r="C376" s="15" t="str" cm="1">
        <f t="array" ref="C376">IFERROR(_xlfn.TEXTJOIN("",TRUE,_xlfn._xlws.FILTER(MID(S376,_xlfn.SEQUENCE(LEN(S376)),1),ISNUMBER(SEARCH(MID(S376,_xlfn.SEQUENCE(LEN(S376)),1),"ABCDEFGHIJKLMNOPQRSTUVWXYZabcdefghijklmnopqrstuvwxyz0123456789,")))),"")</f>
        <v/>
      </c>
      <c r="D376" s="15" t="str">
        <v/>
      </c>
      <c r="E376" s="16" t="str">
        <v/>
      </c>
      <c r="F376" s="15" t="str">
        <v/>
      </c>
      <c r="G376" s="20" t="str" cm="1">
        <f t="array" ref="G376">IF(TRIM(P376)="","",IF(SUM(COUNTIF(P376,{"*NLGD*","*FWG*"}))&gt;0,P376,IF(SUM(COUNTIF(P376,{"*GL*","*DGB*","*DGI*","*GT*","*CS*","*PWU*","*DBI*","*SWU*"}))=0,P376,IF(IFERROR(VALUE(SUBSTITUTE(SUBSTITUTE(O376,"W",""),"""","")),0)&gt;52,P376&amp;"-OVRSIZE-",P376))))</f>
        <v/>
      </c>
      <c r="H376" s="15" t="str">
        <v/>
      </c>
      <c r="I376" s="15" t="str">
        <v/>
      </c>
      <c r="J376" s="15" t="str">
        <v/>
      </c>
      <c r="K376" s="15" t="str">
        <v/>
      </c>
      <c r="L376" s="15" t="str">
        <v/>
      </c>
      <c r="M376" s="10" t="str">
        <v/>
      </c>
      <c r="N376" s="14"/>
      <c r="O376" s="15" t="str" cm="1">
        <f t="array" ref="O376">IFERROR(_xlfn.LET(
_xlpm.clean,TRIM(SUBSTITUTE(SUBSTITUTE(P376,CHAR(160),"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6" s="15"/>
      <c r="R376" t="str">
        <v/>
      </c>
      <c r="S376" t="str">
        <f t="shared" si="6"/>
        <v/>
      </c>
    </row>
    <row r="377" spans="1:19" ht="12.75">
      <c r="A377" s="15" t="str">
        <v/>
      </c>
      <c r="B377" s="15" t="str">
        <v/>
      </c>
      <c r="C377" s="15" t="str" cm="1">
        <f t="array" ref="C377">IFERROR(_xlfn.TEXTJOIN("",TRUE,_xlfn._xlws.FILTER(MID(S377,_xlfn.SEQUENCE(LEN(S377)),1),ISNUMBER(SEARCH(MID(S377,_xlfn.SEQUENCE(LEN(S377)),1),"ABCDEFGHIJKLMNOPQRSTUVWXYZabcdefghijklmnopqrstuvwxyz0123456789,")))),"")</f>
        <v/>
      </c>
      <c r="D377" s="15" t="str">
        <v/>
      </c>
      <c r="E377" s="16" t="str">
        <v/>
      </c>
      <c r="F377" s="15" t="str">
        <v/>
      </c>
      <c r="G377" s="20" t="str" cm="1">
        <f t="array" ref="G377">IF(TRIM(P377)="","",IF(SUM(COUNTIF(P377,{"*NLGD*","*FWG*"}))&gt;0,P377,IF(SUM(COUNTIF(P377,{"*GL*","*DGB*","*DGI*","*GT*","*CS*","*PWU*","*DBI*","*SWU*"}))=0,P377,IF(IFERROR(VALUE(SUBSTITUTE(SUBSTITUTE(O377,"W",""),"""","")),0)&gt;52,P377&amp;"-OVRSIZE-",P377))))</f>
        <v/>
      </c>
      <c r="H377" s="15" t="str">
        <v/>
      </c>
      <c r="I377" s="15" t="str">
        <v/>
      </c>
      <c r="J377" s="15" t="str">
        <v/>
      </c>
      <c r="K377" s="15" t="str">
        <v/>
      </c>
      <c r="L377" s="15" t="str">
        <v/>
      </c>
      <c r="M377" s="10" t="str">
        <v/>
      </c>
      <c r="N377" s="14"/>
      <c r="O377" s="15" t="str" cm="1">
        <f t="array" ref="O377">IFERROR(_xlfn.LET(
_xlpm.clean,TRIM(SUBSTITUTE(SUBSTITUTE(P377,CHAR(160),"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7" s="15"/>
      <c r="R377" t="str">
        <v/>
      </c>
      <c r="S377" t="str">
        <f t="shared" si="6"/>
        <v/>
      </c>
    </row>
    <row r="378" spans="1:19" ht="12.75">
      <c r="A378" s="15" t="str">
        <v/>
      </c>
      <c r="B378" s="15" t="str">
        <v/>
      </c>
      <c r="C378" s="15" t="str" cm="1">
        <f t="array" ref="C378">IFERROR(_xlfn.TEXTJOIN("",TRUE,_xlfn._xlws.FILTER(MID(S378,_xlfn.SEQUENCE(LEN(S378)),1),ISNUMBER(SEARCH(MID(S378,_xlfn.SEQUENCE(LEN(S378)),1),"ABCDEFGHIJKLMNOPQRSTUVWXYZabcdefghijklmnopqrstuvwxyz0123456789,")))),"")</f>
        <v/>
      </c>
      <c r="D378" s="15" t="str">
        <v/>
      </c>
      <c r="E378" s="16" t="str">
        <v/>
      </c>
      <c r="F378" s="15" t="str">
        <v/>
      </c>
      <c r="G378" s="20" t="str" cm="1">
        <f t="array" ref="G378">IF(TRIM(P378)="","",IF(SUM(COUNTIF(P378,{"*NLGD*","*FWG*"}))&gt;0,P378,IF(SUM(COUNTIF(P378,{"*GL*","*DGB*","*DGI*","*GT*","*CS*","*PWU*","*DBI*","*SWU*"}))=0,P378,IF(IFERROR(VALUE(SUBSTITUTE(SUBSTITUTE(O378,"W",""),"""","")),0)&gt;52,P378&amp;"-OVRSIZE-",P378))))</f>
        <v/>
      </c>
      <c r="H378" s="15" t="str">
        <v/>
      </c>
      <c r="I378" s="15" t="str">
        <v/>
      </c>
      <c r="J378" s="15" t="str">
        <v/>
      </c>
      <c r="K378" s="15" t="str">
        <v/>
      </c>
      <c r="L378" s="15" t="str">
        <v/>
      </c>
      <c r="M378" s="10" t="str">
        <v/>
      </c>
      <c r="N378" s="14"/>
      <c r="O378" s="15" t="str" cm="1">
        <f t="array" ref="O378">IFERROR(_xlfn.LET(
_xlpm.clean,TRIM(SUBSTITUTE(SUBSTITUTE(P378,CHAR(160),"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8" s="15"/>
      <c r="R378" t="str">
        <v/>
      </c>
      <c r="S378" t="str">
        <f t="shared" si="6"/>
        <v/>
      </c>
    </row>
    <row r="379" spans="1:19" ht="12.75">
      <c r="A379" s="15" t="str">
        <v/>
      </c>
      <c r="B379" s="15" t="str">
        <v/>
      </c>
      <c r="C379" s="15" t="str" cm="1">
        <f t="array" ref="C379">IFERROR(_xlfn.TEXTJOIN("",TRUE,_xlfn._xlws.FILTER(MID(S379,_xlfn.SEQUENCE(LEN(S379)),1),ISNUMBER(SEARCH(MID(S379,_xlfn.SEQUENCE(LEN(S379)),1),"ABCDEFGHIJKLMNOPQRSTUVWXYZabcdefghijklmnopqrstuvwxyz0123456789,")))),"")</f>
        <v/>
      </c>
      <c r="D379" s="15" t="str">
        <v/>
      </c>
      <c r="E379" s="16" t="str">
        <v/>
      </c>
      <c r="F379" s="15" t="str">
        <v/>
      </c>
      <c r="G379" s="20" t="str" cm="1">
        <f t="array" ref="G379">IF(TRIM(P379)="","",IF(SUM(COUNTIF(P379,{"*NLGD*","*FWG*"}))&gt;0,P379,IF(SUM(COUNTIF(P379,{"*GL*","*DGB*","*DGI*","*GT*","*CS*","*PWU*","*DBI*","*SWU*"}))=0,P379,IF(IFERROR(VALUE(SUBSTITUTE(SUBSTITUTE(O379,"W",""),"""","")),0)&gt;52,P379&amp;"-OVRSIZE-",P379))))</f>
        <v/>
      </c>
      <c r="H379" s="15" t="str">
        <v/>
      </c>
      <c r="I379" s="15" t="str">
        <v/>
      </c>
      <c r="J379" s="15" t="str">
        <v/>
      </c>
      <c r="K379" s="15" t="str">
        <v/>
      </c>
      <c r="L379" s="15" t="str">
        <v/>
      </c>
      <c r="M379" s="10" t="str">
        <v/>
      </c>
      <c r="N379" s="14"/>
      <c r="O379" s="15" t="str" cm="1">
        <f t="array" ref="O379">IFERROR(_xlfn.LET(
_xlpm.clean,TRIM(SUBSTITUTE(SUBSTITUTE(P379,CHAR(160),"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9" s="15"/>
      <c r="R379" t="str">
        <v/>
      </c>
      <c r="S379" t="str">
        <f t="shared" si="6"/>
        <v/>
      </c>
    </row>
    <row r="380" spans="1:19" ht="12.75">
      <c r="A380" s="15" t="str">
        <v/>
      </c>
      <c r="B380" s="15" t="str">
        <v/>
      </c>
      <c r="C380" s="15" t="str" cm="1">
        <f t="array" ref="C380">IFERROR(_xlfn.TEXTJOIN("",TRUE,_xlfn._xlws.FILTER(MID(S380,_xlfn.SEQUENCE(LEN(S380)),1),ISNUMBER(SEARCH(MID(S380,_xlfn.SEQUENCE(LEN(S380)),1),"ABCDEFGHIJKLMNOPQRSTUVWXYZabcdefghijklmnopqrstuvwxyz0123456789,")))),"")</f>
        <v/>
      </c>
      <c r="D380" s="15" t="str">
        <v/>
      </c>
      <c r="E380" s="16" t="str">
        <v/>
      </c>
      <c r="F380" s="15" t="str">
        <v/>
      </c>
      <c r="G380" s="20" t="str" cm="1">
        <f t="array" ref="G380">IF(TRIM(P380)="","",IF(SUM(COUNTIF(P380,{"*NLGD*","*FWG*"}))&gt;0,P380,IF(SUM(COUNTIF(P380,{"*GL*","*DGB*","*DGI*","*GT*","*CS*","*PWU*","*DBI*","*SWU*"}))=0,P380,IF(IFERROR(VALUE(SUBSTITUTE(SUBSTITUTE(O380,"W",""),"""","")),0)&gt;52,P380&amp;"-OVRSIZE-",P380))))</f>
        <v/>
      </c>
      <c r="H380" s="15" t="str">
        <v/>
      </c>
      <c r="I380" s="15" t="str">
        <v/>
      </c>
      <c r="J380" s="15" t="str">
        <v/>
      </c>
      <c r="K380" s="15" t="str">
        <v/>
      </c>
      <c r="L380" s="15" t="str">
        <v/>
      </c>
      <c r="M380" s="10" t="str">
        <v/>
      </c>
      <c r="N380" s="14"/>
      <c r="O380" s="15" t="str" cm="1">
        <f t="array" ref="O380">IFERROR(_xlfn.LET(
_xlpm.clean,TRIM(SUBSTITUTE(SUBSTITUTE(P380,CHAR(160),"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0" s="15"/>
      <c r="R380" t="str">
        <v/>
      </c>
      <c r="S380" t="str">
        <f t="shared" si="6"/>
        <v/>
      </c>
    </row>
    <row r="381" spans="1:19" ht="12.75">
      <c r="A381" s="15" t="str">
        <v/>
      </c>
      <c r="B381" s="15" t="str">
        <v/>
      </c>
      <c r="C381" s="15" t="str" cm="1">
        <f t="array" ref="C381">IFERROR(_xlfn.TEXTJOIN("",TRUE,_xlfn._xlws.FILTER(MID(S381,_xlfn.SEQUENCE(LEN(S381)),1),ISNUMBER(SEARCH(MID(S381,_xlfn.SEQUENCE(LEN(S381)),1),"ABCDEFGHIJKLMNOPQRSTUVWXYZabcdefghijklmnopqrstuvwxyz0123456789,")))),"")</f>
        <v/>
      </c>
      <c r="D381" s="15" t="str">
        <v/>
      </c>
      <c r="E381" s="16" t="str">
        <v/>
      </c>
      <c r="F381" s="15" t="str">
        <v/>
      </c>
      <c r="G381" s="20" t="str" cm="1">
        <f t="array" ref="G381">IF(TRIM(P381)="","",IF(SUM(COUNTIF(P381,{"*NLGD*","*FWG*"}))&gt;0,P381,IF(SUM(COUNTIF(P381,{"*GL*","*DGB*","*DGI*","*GT*","*CS*","*PWU*","*DBI*","*SWU*"}))=0,P381,IF(IFERROR(VALUE(SUBSTITUTE(SUBSTITUTE(O381,"W",""),"""","")),0)&gt;52,P381&amp;"-OVRSIZE-",P381))))</f>
        <v/>
      </c>
      <c r="H381" s="15" t="str">
        <v/>
      </c>
      <c r="I381" s="15" t="str">
        <v/>
      </c>
      <c r="J381" s="15" t="str">
        <v/>
      </c>
      <c r="K381" s="15" t="str">
        <v/>
      </c>
      <c r="L381" s="15" t="str">
        <v/>
      </c>
      <c r="M381" s="10" t="str">
        <v/>
      </c>
      <c r="N381" s="14"/>
      <c r="O381" s="15" t="str" cm="1">
        <f t="array" ref="O381">IFERROR(_xlfn.LET(
_xlpm.clean,TRIM(SUBSTITUTE(SUBSTITUTE(P381,CHAR(160),"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1" s="15"/>
      <c r="R381" t="str">
        <v/>
      </c>
      <c r="S381" t="str">
        <f t="shared" si="6"/>
        <v/>
      </c>
    </row>
    <row r="382" spans="1:19" ht="12.75">
      <c r="A382" s="15" t="str">
        <v/>
      </c>
      <c r="B382" s="15" t="str">
        <v/>
      </c>
      <c r="C382" s="15" t="str" cm="1">
        <f t="array" ref="C382">IFERROR(_xlfn.TEXTJOIN("",TRUE,_xlfn._xlws.FILTER(MID(S382,_xlfn.SEQUENCE(LEN(S382)),1),ISNUMBER(SEARCH(MID(S382,_xlfn.SEQUENCE(LEN(S382)),1),"ABCDEFGHIJKLMNOPQRSTUVWXYZabcdefghijklmnopqrstuvwxyz0123456789,")))),"")</f>
        <v/>
      </c>
      <c r="D382" s="15" t="str">
        <v/>
      </c>
      <c r="E382" s="16" t="str">
        <v/>
      </c>
      <c r="F382" s="15" t="str">
        <v/>
      </c>
      <c r="G382" s="20" t="str" cm="1">
        <f t="array" ref="G382">IF(TRIM(P382)="","",IF(SUM(COUNTIF(P382,{"*NLGD*","*FWG*"}))&gt;0,P382,IF(SUM(COUNTIF(P382,{"*GL*","*DGB*","*DGI*","*GT*","*CS*","*PWU*","*DBI*","*SWU*"}))=0,P382,IF(IFERROR(VALUE(SUBSTITUTE(SUBSTITUTE(O382,"W",""),"""","")),0)&gt;52,P382&amp;"-OVRSIZE-",P382))))</f>
        <v/>
      </c>
      <c r="H382" s="15" t="str">
        <v/>
      </c>
      <c r="I382" s="15" t="str">
        <v/>
      </c>
      <c r="J382" s="15" t="str">
        <v/>
      </c>
      <c r="K382" s="15" t="str">
        <v/>
      </c>
      <c r="L382" s="15" t="str">
        <v/>
      </c>
      <c r="M382" s="10" t="str">
        <v/>
      </c>
      <c r="N382" s="14"/>
      <c r="O382" s="15" t="str" cm="1">
        <f t="array" ref="O382">IFERROR(_xlfn.LET(
_xlpm.clean,TRIM(SUBSTITUTE(SUBSTITUTE(P382,CHAR(160),"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2" s="15"/>
      <c r="R382" t="str">
        <v/>
      </c>
      <c r="S382" t="str">
        <f t="shared" si="6"/>
        <v/>
      </c>
    </row>
    <row r="383" spans="1:19" ht="12.75">
      <c r="A383" s="15" t="str">
        <v/>
      </c>
      <c r="B383" s="15" t="str">
        <v/>
      </c>
      <c r="C383" s="15" t="str" cm="1">
        <f t="array" ref="C383">IFERROR(_xlfn.TEXTJOIN("",TRUE,_xlfn._xlws.FILTER(MID(S383,_xlfn.SEQUENCE(LEN(S383)),1),ISNUMBER(SEARCH(MID(S383,_xlfn.SEQUENCE(LEN(S383)),1),"ABCDEFGHIJKLMNOPQRSTUVWXYZabcdefghijklmnopqrstuvwxyz0123456789,")))),"")</f>
        <v/>
      </c>
      <c r="D383" s="15" t="str">
        <v/>
      </c>
      <c r="E383" s="16" t="str">
        <v/>
      </c>
      <c r="F383" s="15" t="str">
        <v/>
      </c>
      <c r="G383" s="20" t="str" cm="1">
        <f t="array" ref="G383">IF(TRIM(P383)="","",IF(SUM(COUNTIF(P383,{"*NLGD*","*FWG*"}))&gt;0,P383,IF(SUM(COUNTIF(P383,{"*GL*","*DGB*","*DGI*","*GT*","*CS*","*PWU*","*DBI*","*SWU*"}))=0,P383,IF(IFERROR(VALUE(SUBSTITUTE(SUBSTITUTE(O383,"W",""),"""","")),0)&gt;52,P383&amp;"-OVRSIZE-",P383))))</f>
        <v/>
      </c>
      <c r="H383" s="15" t="str">
        <v/>
      </c>
      <c r="I383" s="15" t="str">
        <v/>
      </c>
      <c r="J383" s="15" t="str">
        <v/>
      </c>
      <c r="K383" s="15" t="str">
        <v/>
      </c>
      <c r="L383" s="15" t="str">
        <v/>
      </c>
      <c r="M383" s="10" t="str">
        <v/>
      </c>
      <c r="N383" s="14"/>
      <c r="O383" s="15" t="str" cm="1">
        <f t="array" ref="O383">IFERROR(_xlfn.LET(
_xlpm.clean,TRIM(SUBSTITUTE(SUBSTITUTE(P383,CHAR(160),"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3" s="15"/>
      <c r="R383" t="str">
        <v/>
      </c>
      <c r="S383" t="str">
        <f t="shared" si="6"/>
        <v/>
      </c>
    </row>
    <row r="384" spans="1:19" ht="12.75">
      <c r="A384" s="15" t="str">
        <v/>
      </c>
      <c r="B384" s="15" t="str">
        <v/>
      </c>
      <c r="C384" s="15" t="str" cm="1">
        <f t="array" ref="C384">IFERROR(_xlfn.TEXTJOIN("",TRUE,_xlfn._xlws.FILTER(MID(S384,_xlfn.SEQUENCE(LEN(S384)),1),ISNUMBER(SEARCH(MID(S384,_xlfn.SEQUENCE(LEN(S384)),1),"ABCDEFGHIJKLMNOPQRSTUVWXYZabcdefghijklmnopqrstuvwxyz0123456789,")))),"")</f>
        <v/>
      </c>
      <c r="D384" s="15" t="str">
        <v/>
      </c>
      <c r="E384" s="16" t="str">
        <v/>
      </c>
      <c r="F384" s="15" t="str">
        <v/>
      </c>
      <c r="G384" s="20" t="str" cm="1">
        <f t="array" ref="G384">IF(TRIM(P384)="","",IF(SUM(COUNTIF(P384,{"*NLGD*","*FWG*"}))&gt;0,P384,IF(SUM(COUNTIF(P384,{"*GL*","*DGB*","*DGI*","*GT*","*CS*","*PWU*","*DBI*","*SWU*"}))=0,P384,IF(IFERROR(VALUE(SUBSTITUTE(SUBSTITUTE(O384,"W",""),"""","")),0)&gt;52,P384&amp;"-OVRSIZE-",P384))))</f>
        <v/>
      </c>
      <c r="H384" s="15" t="str">
        <v/>
      </c>
      <c r="I384" s="15" t="str">
        <v/>
      </c>
      <c r="J384" s="15" t="str">
        <v/>
      </c>
      <c r="K384" s="15" t="str">
        <v/>
      </c>
      <c r="L384" s="15" t="str">
        <v/>
      </c>
      <c r="M384" s="10" t="str">
        <v/>
      </c>
      <c r="N384" s="14"/>
      <c r="O384" s="15" t="str" cm="1">
        <f t="array" ref="O384">IFERROR(_xlfn.LET(
_xlpm.clean,TRIM(SUBSTITUTE(SUBSTITUTE(P384,CHAR(160),"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4" s="15"/>
      <c r="R384" t="str">
        <v/>
      </c>
      <c r="S384" t="str">
        <f t="shared" si="6"/>
        <v/>
      </c>
    </row>
    <row r="385" spans="1:19" ht="12.75">
      <c r="A385" s="15" t="str">
        <v/>
      </c>
      <c r="B385" s="15" t="str">
        <v/>
      </c>
      <c r="C385" s="15" t="str" cm="1">
        <f t="array" ref="C385">IFERROR(_xlfn.TEXTJOIN("",TRUE,_xlfn._xlws.FILTER(MID(S385,_xlfn.SEQUENCE(LEN(S385)),1),ISNUMBER(SEARCH(MID(S385,_xlfn.SEQUENCE(LEN(S385)),1),"ABCDEFGHIJKLMNOPQRSTUVWXYZabcdefghijklmnopqrstuvwxyz0123456789,")))),"")</f>
        <v/>
      </c>
      <c r="D385" s="15" t="str">
        <v/>
      </c>
      <c r="E385" s="16" t="str">
        <v/>
      </c>
      <c r="F385" s="15" t="str">
        <v/>
      </c>
      <c r="G385" s="20" t="str" cm="1">
        <f t="array" ref="G385">IF(TRIM(P385)="","",IF(SUM(COUNTIF(P385,{"*NLGD*","*FWG*"}))&gt;0,P385,IF(SUM(COUNTIF(P385,{"*GL*","*DGB*","*DGI*","*GT*","*CS*","*PWU*","*DBI*","*SWU*"}))=0,P385,IF(IFERROR(VALUE(SUBSTITUTE(SUBSTITUTE(O385,"W",""),"""","")),0)&gt;52,P385&amp;"-OVRSIZE-",P385))))</f>
        <v/>
      </c>
      <c r="H385" s="15" t="str">
        <v/>
      </c>
      <c r="I385" s="15" t="str">
        <v/>
      </c>
      <c r="J385" s="15" t="str">
        <v/>
      </c>
      <c r="K385" s="15" t="str">
        <v/>
      </c>
      <c r="L385" s="15" t="str">
        <v/>
      </c>
      <c r="M385" s="10" t="str">
        <v/>
      </c>
      <c r="N385" s="14"/>
      <c r="O385" s="15" t="str" cm="1">
        <f t="array" ref="O385">IFERROR(_xlfn.LET(
_xlpm.clean,TRIM(SUBSTITUTE(SUBSTITUTE(P385,CHAR(160),"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5" s="15"/>
      <c r="R385" t="str">
        <v/>
      </c>
      <c r="S385" t="str">
        <f t="shared" si="6"/>
        <v/>
      </c>
    </row>
    <row r="386" spans="1:19" ht="12.75">
      <c r="A386" s="15" t="str">
        <v/>
      </c>
      <c r="B386" s="15" t="str">
        <v/>
      </c>
      <c r="C386" s="15" t="str" cm="1">
        <f t="array" ref="C386">IFERROR(_xlfn.TEXTJOIN("",TRUE,_xlfn._xlws.FILTER(MID(S386,_xlfn.SEQUENCE(LEN(S386)),1),ISNUMBER(SEARCH(MID(S386,_xlfn.SEQUENCE(LEN(S386)),1),"ABCDEFGHIJKLMNOPQRSTUVWXYZabcdefghijklmnopqrstuvwxyz0123456789,")))),"")</f>
        <v/>
      </c>
      <c r="D386" s="15" t="str">
        <v/>
      </c>
      <c r="E386" s="16" t="str">
        <v/>
      </c>
      <c r="F386" s="15" t="str">
        <v/>
      </c>
      <c r="G386" s="20" t="str" cm="1">
        <f t="array" ref="G386">IF(TRIM(P386)="","",IF(SUM(COUNTIF(P386,{"*NLGD*","*FWG*"}))&gt;0,P386,IF(SUM(COUNTIF(P386,{"*GL*","*DGB*","*DGI*","*GT*","*CS*","*PWU*","*DBI*","*SWU*"}))=0,P386,IF(IFERROR(VALUE(SUBSTITUTE(SUBSTITUTE(O386,"W",""),"""","")),0)&gt;52,P386&amp;"-OVRSIZE-",P386))))</f>
        <v/>
      </c>
      <c r="H386" s="15" t="str">
        <v/>
      </c>
      <c r="I386" s="15" t="str">
        <v/>
      </c>
      <c r="J386" s="15" t="str">
        <v/>
      </c>
      <c r="K386" s="15" t="str">
        <v/>
      </c>
      <c r="L386" s="15" t="str">
        <v/>
      </c>
      <c r="M386" s="10" t="str">
        <v/>
      </c>
      <c r="N386" s="14"/>
      <c r="O386" s="15" t="str" cm="1">
        <f t="array" ref="O386">IFERROR(_xlfn.LET(
_xlpm.clean,TRIM(SUBSTITUTE(SUBSTITUTE(P386,CHAR(160),"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6" s="15"/>
      <c r="R386" t="str">
        <v/>
      </c>
      <c r="S386" t="str">
        <f t="shared" si="6"/>
        <v/>
      </c>
    </row>
    <row r="387" spans="1:19" ht="12.75">
      <c r="A387" s="15" t="str">
        <v/>
      </c>
      <c r="B387" s="15" t="str">
        <v/>
      </c>
      <c r="C387" s="15" t="str" cm="1">
        <f t="array" ref="C387">IFERROR(_xlfn.TEXTJOIN("",TRUE,_xlfn._xlws.FILTER(MID(S387,_xlfn.SEQUENCE(LEN(S387)),1),ISNUMBER(SEARCH(MID(S387,_xlfn.SEQUENCE(LEN(S387)),1),"ABCDEFGHIJKLMNOPQRSTUVWXYZabcdefghijklmnopqrstuvwxyz0123456789,")))),"")</f>
        <v/>
      </c>
      <c r="D387" s="15" t="str">
        <v/>
      </c>
      <c r="E387" s="16" t="str">
        <v/>
      </c>
      <c r="F387" s="15" t="str">
        <v/>
      </c>
      <c r="G387" s="20" t="str" cm="1">
        <f t="array" ref="G387">IF(TRIM(P387)="","",IF(SUM(COUNTIF(P387,{"*NLGD*","*FWG*"}))&gt;0,P387,IF(SUM(COUNTIF(P387,{"*GL*","*DGB*","*DGI*","*GT*","*CS*","*PWU*","*DBI*","*SWU*"}))=0,P387,IF(IFERROR(VALUE(SUBSTITUTE(SUBSTITUTE(O387,"W",""),"""","")),0)&gt;52,P387&amp;"-OVRSIZE-",P387))))</f>
        <v/>
      </c>
      <c r="H387" s="15" t="str">
        <v/>
      </c>
      <c r="I387" s="15" t="str">
        <v/>
      </c>
      <c r="J387" s="15" t="str">
        <v/>
      </c>
      <c r="K387" s="15" t="str">
        <v/>
      </c>
      <c r="L387" s="15" t="str">
        <v/>
      </c>
      <c r="M387" s="10" t="str">
        <v/>
      </c>
      <c r="N387" s="14"/>
      <c r="O387" s="15" t="str" cm="1">
        <f t="array" ref="O387">IFERROR(_xlfn.LET(
_xlpm.clean,TRIM(SUBSTITUTE(SUBSTITUTE(P387,CHAR(160),"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7" s="15"/>
      <c r="R387" t="str">
        <v/>
      </c>
      <c r="S387" t="str">
        <f t="shared" si="6"/>
        <v/>
      </c>
    </row>
    <row r="388" spans="1:19" ht="12.75">
      <c r="A388" s="15" t="str">
        <v/>
      </c>
      <c r="B388" s="15" t="str">
        <v/>
      </c>
      <c r="C388" s="15" t="str" cm="1">
        <f t="array" ref="C388">IFERROR(_xlfn.TEXTJOIN("",TRUE,_xlfn._xlws.FILTER(MID(S388,_xlfn.SEQUENCE(LEN(S388)),1),ISNUMBER(SEARCH(MID(S388,_xlfn.SEQUENCE(LEN(S388)),1),"ABCDEFGHIJKLMNOPQRSTUVWXYZabcdefghijklmnopqrstuvwxyz0123456789,")))),"")</f>
        <v/>
      </c>
      <c r="D388" s="15" t="str">
        <v/>
      </c>
      <c r="E388" s="16" t="str">
        <v/>
      </c>
      <c r="F388" s="15" t="str">
        <v/>
      </c>
      <c r="G388" s="20" t="str" cm="1">
        <f t="array" ref="G388">IF(TRIM(P388)="","",IF(SUM(COUNTIF(P388,{"*NLGD*","*FWG*"}))&gt;0,P388,IF(SUM(COUNTIF(P388,{"*GL*","*DGB*","*DGI*","*GT*","*CS*","*PWU*","*DBI*","*SWU*"}))=0,P388,IF(IFERROR(VALUE(SUBSTITUTE(SUBSTITUTE(O388,"W",""),"""","")),0)&gt;52,P388&amp;"-OVRSIZE-",P388))))</f>
        <v/>
      </c>
      <c r="H388" s="15" t="str">
        <v/>
      </c>
      <c r="I388" s="15" t="str">
        <v/>
      </c>
      <c r="J388" s="15" t="str">
        <v/>
      </c>
      <c r="K388" s="15" t="str">
        <v/>
      </c>
      <c r="L388" s="15" t="str">
        <v/>
      </c>
      <c r="M388" s="10" t="str">
        <v/>
      </c>
      <c r="N388" s="14"/>
      <c r="O388" s="15" t="str" cm="1">
        <f t="array" ref="O388">IFERROR(_xlfn.LET(
_xlpm.clean,TRIM(SUBSTITUTE(SUBSTITUTE(P388,CHAR(160),"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8" s="15"/>
      <c r="R388" t="str">
        <v/>
      </c>
      <c r="S388" t="str">
        <f t="shared" si="6"/>
        <v/>
      </c>
    </row>
    <row r="389" spans="1:19" ht="12.75">
      <c r="A389" s="15" t="str">
        <v/>
      </c>
      <c r="B389" s="15" t="str">
        <v/>
      </c>
      <c r="C389" s="15" t="str" cm="1">
        <f t="array" ref="C389">IFERROR(_xlfn.TEXTJOIN("",TRUE,_xlfn._xlws.FILTER(MID(S389,_xlfn.SEQUENCE(LEN(S389)),1),ISNUMBER(SEARCH(MID(S389,_xlfn.SEQUENCE(LEN(S389)),1),"ABCDEFGHIJKLMNOPQRSTUVWXYZabcdefghijklmnopqrstuvwxyz0123456789,")))),"")</f>
        <v/>
      </c>
      <c r="D389" s="15" t="str">
        <v/>
      </c>
      <c r="E389" s="16" t="str">
        <v/>
      </c>
      <c r="F389" s="15" t="str">
        <v/>
      </c>
      <c r="G389" s="20" t="str" cm="1">
        <f t="array" ref="G389">IF(TRIM(P389)="","",IF(SUM(COUNTIF(P389,{"*NLGD*","*FWG*"}))&gt;0,P389,IF(SUM(COUNTIF(P389,{"*GL*","*DGB*","*DGI*","*GT*","*CS*","*PWU*","*DBI*","*SWU*"}))=0,P389,IF(IFERROR(VALUE(SUBSTITUTE(SUBSTITUTE(O389,"W",""),"""","")),0)&gt;52,P389&amp;"-OVRSIZE-",P389))))</f>
        <v/>
      </c>
      <c r="H389" s="15" t="str">
        <v/>
      </c>
      <c r="I389" s="15" t="str">
        <v/>
      </c>
      <c r="J389" s="15" t="str">
        <v/>
      </c>
      <c r="K389" s="15" t="str">
        <v/>
      </c>
      <c r="L389" s="15" t="str">
        <v/>
      </c>
      <c r="M389" s="10" t="str">
        <v/>
      </c>
      <c r="N389" s="14"/>
      <c r="O389" s="15" t="str" cm="1">
        <f t="array" ref="O389">IFERROR(_xlfn.LET(
_xlpm.clean,TRIM(SUBSTITUTE(SUBSTITUTE(P389,CHAR(160),"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9" s="15"/>
      <c r="R389" t="str">
        <v/>
      </c>
      <c r="S389" t="str">
        <f t="shared" si="6"/>
        <v/>
      </c>
    </row>
    <row r="390" spans="1:19" ht="12.75">
      <c r="A390" s="15" t="str">
        <v/>
      </c>
      <c r="B390" s="15" t="str">
        <v/>
      </c>
      <c r="C390" s="15" t="str" cm="1">
        <f t="array" ref="C390">IFERROR(_xlfn.TEXTJOIN("",TRUE,_xlfn._xlws.FILTER(MID(S390,_xlfn.SEQUENCE(LEN(S390)),1),ISNUMBER(SEARCH(MID(S390,_xlfn.SEQUENCE(LEN(S390)),1),"ABCDEFGHIJKLMNOPQRSTUVWXYZabcdefghijklmnopqrstuvwxyz0123456789,")))),"")</f>
        <v/>
      </c>
      <c r="D390" s="15" t="str">
        <v/>
      </c>
      <c r="E390" s="16" t="str">
        <v/>
      </c>
      <c r="F390" s="15" t="str">
        <v/>
      </c>
      <c r="G390" s="20" t="str" cm="1">
        <f t="array" ref="G390">IF(TRIM(P390)="","",IF(SUM(COUNTIF(P390,{"*NLGD*","*FWG*"}))&gt;0,P390,IF(SUM(COUNTIF(P390,{"*GL*","*DGB*","*DGI*","*GT*","*CS*","*PWU*","*DBI*","*SWU*"}))=0,P390,IF(IFERROR(VALUE(SUBSTITUTE(SUBSTITUTE(O390,"W",""),"""","")),0)&gt;52,P390&amp;"-OVRSIZE-",P390))))</f>
        <v/>
      </c>
      <c r="H390" s="15" t="str">
        <v/>
      </c>
      <c r="I390" s="15" t="str">
        <v/>
      </c>
      <c r="J390" s="15" t="str">
        <v/>
      </c>
      <c r="K390" s="15" t="str">
        <v/>
      </c>
      <c r="L390" s="15" t="str">
        <v/>
      </c>
      <c r="M390" s="10" t="str">
        <v/>
      </c>
      <c r="N390" s="14"/>
      <c r="O390" s="15" t="str" cm="1">
        <f t="array" ref="O390">IFERROR(_xlfn.LET(
_xlpm.clean,TRIM(SUBSTITUTE(SUBSTITUTE(P390,CHAR(160),"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0" s="15"/>
      <c r="R390" t="str">
        <v/>
      </c>
      <c r="S390" t="str">
        <f t="shared" si="6"/>
        <v/>
      </c>
    </row>
    <row r="391" spans="1:19" ht="12.75">
      <c r="A391" s="15" t="str">
        <v/>
      </c>
      <c r="B391" s="15" t="str">
        <v/>
      </c>
      <c r="C391" s="15" t="str" cm="1">
        <f t="array" ref="C391">IFERROR(_xlfn.TEXTJOIN("",TRUE,_xlfn._xlws.FILTER(MID(S391,_xlfn.SEQUENCE(LEN(S391)),1),ISNUMBER(SEARCH(MID(S391,_xlfn.SEQUENCE(LEN(S391)),1),"ABCDEFGHIJKLMNOPQRSTUVWXYZabcdefghijklmnopqrstuvwxyz0123456789,")))),"")</f>
        <v/>
      </c>
      <c r="D391" s="15" t="str">
        <v/>
      </c>
      <c r="E391" s="16" t="str">
        <v/>
      </c>
      <c r="F391" s="15" t="str">
        <v/>
      </c>
      <c r="G391" s="20" t="str" cm="1">
        <f t="array" ref="G391">IF(TRIM(P391)="","",IF(SUM(COUNTIF(P391,{"*NLGD*","*FWG*"}))&gt;0,P391,IF(SUM(COUNTIF(P391,{"*GL*","*DGB*","*DGI*","*GT*","*CS*","*PWU*","*DBI*","*SWU*"}))=0,P391,IF(IFERROR(VALUE(SUBSTITUTE(SUBSTITUTE(O391,"W",""),"""","")),0)&gt;52,P391&amp;"-OVRSIZE-",P391))))</f>
        <v/>
      </c>
      <c r="H391" s="15" t="str">
        <v/>
      </c>
      <c r="I391" s="15" t="str">
        <v/>
      </c>
      <c r="J391" s="15" t="str">
        <v/>
      </c>
      <c r="K391" s="15" t="str">
        <v/>
      </c>
      <c r="L391" s="15" t="str">
        <v/>
      </c>
      <c r="M391" s="10" t="str">
        <v/>
      </c>
      <c r="N391" s="14"/>
      <c r="O391" s="15" t="str" cm="1">
        <f t="array" ref="O391">IFERROR(_xlfn.LET(
_xlpm.clean,TRIM(SUBSTITUTE(SUBSTITUTE(P391,CHAR(160),"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1" s="15"/>
      <c r="R391" t="str">
        <v/>
      </c>
      <c r="S391" t="str">
        <f t="shared" si="6"/>
        <v/>
      </c>
    </row>
    <row r="392" spans="1:19" ht="12.75">
      <c r="A392" s="15" t="str">
        <v/>
      </c>
      <c r="B392" s="15" t="str">
        <v/>
      </c>
      <c r="C392" s="15" t="str" cm="1">
        <f t="array" ref="C392">IFERROR(_xlfn.TEXTJOIN("",TRUE,_xlfn._xlws.FILTER(MID(S392,_xlfn.SEQUENCE(LEN(S392)),1),ISNUMBER(SEARCH(MID(S392,_xlfn.SEQUENCE(LEN(S392)),1),"ABCDEFGHIJKLMNOPQRSTUVWXYZabcdefghijklmnopqrstuvwxyz0123456789,")))),"")</f>
        <v/>
      </c>
      <c r="D392" s="15" t="str">
        <v/>
      </c>
      <c r="E392" s="16" t="str">
        <v/>
      </c>
      <c r="F392" s="15" t="str">
        <v/>
      </c>
      <c r="G392" s="20" t="str" cm="1">
        <f t="array" ref="G392">IF(TRIM(P392)="","",IF(SUM(COUNTIF(P392,{"*NLGD*","*FWG*"}))&gt;0,P392,IF(SUM(COUNTIF(P392,{"*GL*","*DGB*","*DGI*","*GT*","*CS*","*PWU*","*DBI*","*SWU*"}))=0,P392,IF(IFERROR(VALUE(SUBSTITUTE(SUBSTITUTE(O392,"W",""),"""","")),0)&gt;52,P392&amp;"-OVRSIZE-",P392))))</f>
        <v/>
      </c>
      <c r="H392" s="15" t="str">
        <v/>
      </c>
      <c r="I392" s="15" t="str">
        <v/>
      </c>
      <c r="J392" s="15" t="str">
        <v/>
      </c>
      <c r="K392" s="15" t="str">
        <v/>
      </c>
      <c r="L392" s="15" t="str">
        <v/>
      </c>
      <c r="M392" s="10" t="str">
        <v/>
      </c>
      <c r="N392" s="14"/>
      <c r="O392" s="15" t="str" cm="1">
        <f t="array" ref="O392">IFERROR(_xlfn.LET(
_xlpm.clean,TRIM(SUBSTITUTE(SUBSTITUTE(P392,CHAR(160),"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2" s="15"/>
      <c r="R392" t="str">
        <v/>
      </c>
      <c r="S392" t="str">
        <f t="shared" ref="S392:S455" si="7">IF(R392="","",_xlfn.LET(
_xlpm.x,TRIM(SUBSTITUTE(SUBSTITUTE(SUBSTITUTE(SUBSTITUTE(R392,":","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393" spans="1:19" ht="12.75">
      <c r="A393" s="15" t="str">
        <v/>
      </c>
      <c r="B393" s="15" t="str">
        <v/>
      </c>
      <c r="C393" s="15" t="str" cm="1">
        <f t="array" ref="C393">IFERROR(_xlfn.TEXTJOIN("",TRUE,_xlfn._xlws.FILTER(MID(S393,_xlfn.SEQUENCE(LEN(S393)),1),ISNUMBER(SEARCH(MID(S393,_xlfn.SEQUENCE(LEN(S393)),1),"ABCDEFGHIJKLMNOPQRSTUVWXYZabcdefghijklmnopqrstuvwxyz0123456789,")))),"")</f>
        <v/>
      </c>
      <c r="D393" s="15" t="str">
        <v/>
      </c>
      <c r="E393" s="16" t="str">
        <v/>
      </c>
      <c r="F393" s="15" t="str">
        <v/>
      </c>
      <c r="G393" s="20" t="str" cm="1">
        <f t="array" ref="G393">IF(TRIM(P393)="","",IF(SUM(COUNTIF(P393,{"*NLGD*","*FWG*"}))&gt;0,P393,IF(SUM(COUNTIF(P393,{"*GL*","*DGB*","*DGI*","*GT*","*CS*","*PWU*","*DBI*","*SWU*"}))=0,P393,IF(IFERROR(VALUE(SUBSTITUTE(SUBSTITUTE(O393,"W",""),"""","")),0)&gt;52,P393&amp;"-OVRSIZE-",P393))))</f>
        <v/>
      </c>
      <c r="H393" s="15" t="str">
        <v/>
      </c>
      <c r="I393" s="15" t="str">
        <v/>
      </c>
      <c r="J393" s="15" t="str">
        <v/>
      </c>
      <c r="K393" s="15" t="str">
        <v/>
      </c>
      <c r="L393" s="15" t="str">
        <v/>
      </c>
      <c r="M393" s="10" t="str">
        <v/>
      </c>
      <c r="N393" s="14"/>
      <c r="O393" s="15" t="str" cm="1">
        <f t="array" ref="O393">IFERROR(_xlfn.LET(
_xlpm.clean,TRIM(SUBSTITUTE(SUBSTITUTE(P393,CHAR(160),"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3" s="15"/>
      <c r="R393" t="str">
        <v/>
      </c>
      <c r="S393" t="str">
        <f t="shared" si="7"/>
        <v/>
      </c>
    </row>
    <row r="394" spans="1:19" ht="12.75">
      <c r="A394" s="15" t="str">
        <v/>
      </c>
      <c r="B394" s="15" t="str">
        <v/>
      </c>
      <c r="C394" s="15" t="str" cm="1">
        <f t="array" ref="C394">IFERROR(_xlfn.TEXTJOIN("",TRUE,_xlfn._xlws.FILTER(MID(S394,_xlfn.SEQUENCE(LEN(S394)),1),ISNUMBER(SEARCH(MID(S394,_xlfn.SEQUENCE(LEN(S394)),1),"ABCDEFGHIJKLMNOPQRSTUVWXYZabcdefghijklmnopqrstuvwxyz0123456789,")))),"")</f>
        <v/>
      </c>
      <c r="D394" s="15" t="str">
        <v/>
      </c>
      <c r="E394" s="16" t="str">
        <v/>
      </c>
      <c r="F394" s="15" t="str">
        <v/>
      </c>
      <c r="G394" s="20" t="str" cm="1">
        <f t="array" ref="G394">IF(TRIM(P394)="","",IF(SUM(COUNTIF(P394,{"*NLGD*","*FWG*"}))&gt;0,P394,IF(SUM(COUNTIF(P394,{"*GL*","*DGB*","*DGI*","*GT*","*CS*","*PWU*","*DBI*","*SWU*"}))=0,P394,IF(IFERROR(VALUE(SUBSTITUTE(SUBSTITUTE(O394,"W",""),"""","")),0)&gt;52,P394&amp;"-OVRSIZE-",P394))))</f>
        <v/>
      </c>
      <c r="H394" s="15" t="str">
        <v/>
      </c>
      <c r="I394" s="15" t="str">
        <v/>
      </c>
      <c r="J394" s="15" t="str">
        <v/>
      </c>
      <c r="K394" s="15" t="str">
        <v/>
      </c>
      <c r="L394" s="15" t="str">
        <v/>
      </c>
      <c r="M394" s="10" t="str">
        <v/>
      </c>
      <c r="N394" s="14"/>
      <c r="O394" s="15" t="str" cm="1">
        <f t="array" ref="O394">IFERROR(_xlfn.LET(
_xlpm.clean,TRIM(SUBSTITUTE(SUBSTITUTE(P394,CHAR(160),"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4" s="15"/>
      <c r="R394" t="str">
        <v/>
      </c>
      <c r="S394" t="str">
        <f t="shared" si="7"/>
        <v/>
      </c>
    </row>
    <row r="395" spans="1:19" ht="12.75">
      <c r="A395" s="15" t="str">
        <v/>
      </c>
      <c r="B395" s="15" t="str">
        <v/>
      </c>
      <c r="C395" s="15" t="str" cm="1">
        <f t="array" ref="C395">IFERROR(_xlfn.TEXTJOIN("",TRUE,_xlfn._xlws.FILTER(MID(S395,_xlfn.SEQUENCE(LEN(S395)),1),ISNUMBER(SEARCH(MID(S395,_xlfn.SEQUENCE(LEN(S395)),1),"ABCDEFGHIJKLMNOPQRSTUVWXYZabcdefghijklmnopqrstuvwxyz0123456789,")))),"")</f>
        <v/>
      </c>
      <c r="D395" s="15" t="str">
        <v/>
      </c>
      <c r="E395" s="16" t="str">
        <v/>
      </c>
      <c r="F395" s="15" t="str">
        <v/>
      </c>
      <c r="G395" s="20" t="str" cm="1">
        <f t="array" ref="G395">IF(TRIM(P395)="","",IF(SUM(COUNTIF(P395,{"*NLGD*","*FWG*"}))&gt;0,P395,IF(SUM(COUNTIF(P395,{"*GL*","*DGB*","*DGI*","*GT*","*CS*","*PWU*","*DBI*","*SWU*"}))=0,P395,IF(IFERROR(VALUE(SUBSTITUTE(SUBSTITUTE(O395,"W",""),"""","")),0)&gt;52,P395&amp;"-OVRSIZE-",P395))))</f>
        <v/>
      </c>
      <c r="H395" s="15" t="str">
        <v/>
      </c>
      <c r="I395" s="15" t="str">
        <v/>
      </c>
      <c r="J395" s="15" t="str">
        <v/>
      </c>
      <c r="K395" s="15" t="str">
        <v/>
      </c>
      <c r="L395" s="15" t="str">
        <v/>
      </c>
      <c r="M395" s="10" t="str">
        <v/>
      </c>
      <c r="N395" s="14"/>
      <c r="O395" s="15" t="str" cm="1">
        <f t="array" ref="O395">IFERROR(_xlfn.LET(
_xlpm.clean,TRIM(SUBSTITUTE(SUBSTITUTE(P395,CHAR(160),"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5" s="15"/>
      <c r="R395" t="str">
        <v/>
      </c>
      <c r="S395" t="str">
        <f t="shared" si="7"/>
        <v/>
      </c>
    </row>
    <row r="396" spans="1:19" ht="12.75">
      <c r="A396" s="15" t="str">
        <v/>
      </c>
      <c r="B396" s="15" t="str">
        <v/>
      </c>
      <c r="C396" s="15" t="str" cm="1">
        <f t="array" ref="C396">IFERROR(_xlfn.TEXTJOIN("",TRUE,_xlfn._xlws.FILTER(MID(S396,_xlfn.SEQUENCE(LEN(S396)),1),ISNUMBER(SEARCH(MID(S396,_xlfn.SEQUENCE(LEN(S396)),1),"ABCDEFGHIJKLMNOPQRSTUVWXYZabcdefghijklmnopqrstuvwxyz0123456789,")))),"")</f>
        <v/>
      </c>
      <c r="D396" s="15" t="str">
        <v/>
      </c>
      <c r="E396" s="16" t="str">
        <v/>
      </c>
      <c r="F396" s="15" t="str">
        <v/>
      </c>
      <c r="G396" s="20" t="str" cm="1">
        <f t="array" ref="G396">IF(TRIM(P396)="","",IF(SUM(COUNTIF(P396,{"*NLGD*","*FWG*"}))&gt;0,P396,IF(SUM(COUNTIF(P396,{"*GL*","*DGB*","*DGI*","*GT*","*CS*","*PWU*","*DBI*","*SWU*"}))=0,P396,IF(IFERROR(VALUE(SUBSTITUTE(SUBSTITUTE(O396,"W",""),"""","")),0)&gt;52,P396&amp;"-OVRSIZE-",P396))))</f>
        <v/>
      </c>
      <c r="H396" s="15" t="str">
        <v/>
      </c>
      <c r="I396" s="15" t="str">
        <v/>
      </c>
      <c r="J396" s="15" t="str">
        <v/>
      </c>
      <c r="K396" s="15" t="str">
        <v/>
      </c>
      <c r="L396" s="15" t="str">
        <v/>
      </c>
      <c r="M396" s="10" t="str">
        <v/>
      </c>
      <c r="N396" s="14"/>
      <c r="O396" s="15" t="str" cm="1">
        <f t="array" ref="O396">IFERROR(_xlfn.LET(
_xlpm.clean,TRIM(SUBSTITUTE(SUBSTITUTE(P396,CHAR(160),"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6" s="15"/>
      <c r="R396" t="str">
        <v/>
      </c>
      <c r="S396" t="str">
        <f t="shared" si="7"/>
        <v/>
      </c>
    </row>
    <row r="397" spans="1:19" ht="12.75">
      <c r="A397" s="15" t="str">
        <v/>
      </c>
      <c r="B397" s="15" t="str">
        <v/>
      </c>
      <c r="C397" s="15" t="str" cm="1">
        <f t="array" ref="C397">IFERROR(_xlfn.TEXTJOIN("",TRUE,_xlfn._xlws.FILTER(MID(S397,_xlfn.SEQUENCE(LEN(S397)),1),ISNUMBER(SEARCH(MID(S397,_xlfn.SEQUENCE(LEN(S397)),1),"ABCDEFGHIJKLMNOPQRSTUVWXYZabcdefghijklmnopqrstuvwxyz0123456789,")))),"")</f>
        <v/>
      </c>
      <c r="D397" s="15" t="str">
        <v/>
      </c>
      <c r="E397" s="16" t="str">
        <v/>
      </c>
      <c r="F397" s="15" t="str">
        <v/>
      </c>
      <c r="G397" s="20" t="str" cm="1">
        <f t="array" ref="G397">IF(TRIM(P397)="","",IF(SUM(COUNTIF(P397,{"*NLGD*","*FWG*"}))&gt;0,P397,IF(SUM(COUNTIF(P397,{"*GL*","*DGB*","*DGI*","*GT*","*CS*","*PWU*","*DBI*","*SWU*"}))=0,P397,IF(IFERROR(VALUE(SUBSTITUTE(SUBSTITUTE(O397,"W",""),"""","")),0)&gt;52,P397&amp;"-OVRSIZE-",P397))))</f>
        <v/>
      </c>
      <c r="H397" s="15" t="str">
        <v/>
      </c>
      <c r="I397" s="15" t="str">
        <v/>
      </c>
      <c r="J397" s="15" t="str">
        <v/>
      </c>
      <c r="K397" s="15" t="str">
        <v/>
      </c>
      <c r="L397" s="15" t="str">
        <v/>
      </c>
      <c r="M397" s="10" t="str">
        <v/>
      </c>
      <c r="N397" s="14"/>
      <c r="O397" s="15" t="str" cm="1">
        <f t="array" ref="O397">IFERROR(_xlfn.LET(
_xlpm.clean,TRIM(SUBSTITUTE(SUBSTITUTE(P397,CHAR(160),"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7" s="15"/>
      <c r="R397" t="str">
        <v/>
      </c>
      <c r="S397" t="str">
        <f t="shared" si="7"/>
        <v/>
      </c>
    </row>
    <row r="398" spans="1:19" ht="12.75">
      <c r="A398" s="15" t="str">
        <v/>
      </c>
      <c r="B398" s="15" t="str">
        <v/>
      </c>
      <c r="C398" s="15" t="str" cm="1">
        <f t="array" ref="C398">IFERROR(_xlfn.TEXTJOIN("",TRUE,_xlfn._xlws.FILTER(MID(S398,_xlfn.SEQUENCE(LEN(S398)),1),ISNUMBER(SEARCH(MID(S398,_xlfn.SEQUENCE(LEN(S398)),1),"ABCDEFGHIJKLMNOPQRSTUVWXYZabcdefghijklmnopqrstuvwxyz0123456789,")))),"")</f>
        <v/>
      </c>
      <c r="D398" s="15" t="str">
        <v/>
      </c>
      <c r="E398" s="16" t="str">
        <v/>
      </c>
      <c r="F398" s="15" t="str">
        <v/>
      </c>
      <c r="G398" s="20" t="str" cm="1">
        <f t="array" ref="G398">IF(TRIM(P398)="","",IF(SUM(COUNTIF(P398,{"*NLGD*","*FWG*"}))&gt;0,P398,IF(SUM(COUNTIF(P398,{"*GL*","*DGB*","*DGI*","*GT*","*CS*","*PWU*","*DBI*","*SWU*"}))=0,P398,IF(IFERROR(VALUE(SUBSTITUTE(SUBSTITUTE(O398,"W",""),"""","")),0)&gt;52,P398&amp;"-OVRSIZE-",P398))))</f>
        <v/>
      </c>
      <c r="H398" s="15" t="str">
        <v/>
      </c>
      <c r="I398" s="15" t="str">
        <v/>
      </c>
      <c r="J398" s="15" t="str">
        <v/>
      </c>
      <c r="K398" s="15" t="str">
        <v/>
      </c>
      <c r="L398" s="15" t="str">
        <v/>
      </c>
      <c r="M398" s="10" t="str">
        <v/>
      </c>
      <c r="N398" s="14"/>
      <c r="O398" s="15" t="str" cm="1">
        <f t="array" ref="O398">IFERROR(_xlfn.LET(
_xlpm.clean,TRIM(SUBSTITUTE(SUBSTITUTE(P398,CHAR(160),"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8" s="15"/>
      <c r="R398" t="str">
        <v/>
      </c>
      <c r="S398" t="str">
        <f t="shared" si="7"/>
        <v/>
      </c>
    </row>
    <row r="399" spans="1:19" ht="12.75">
      <c r="A399" s="15" t="str">
        <v/>
      </c>
      <c r="B399" s="15" t="str">
        <v/>
      </c>
      <c r="C399" s="15" t="str" cm="1">
        <f t="array" ref="C399">IFERROR(_xlfn.TEXTJOIN("",TRUE,_xlfn._xlws.FILTER(MID(S399,_xlfn.SEQUENCE(LEN(S399)),1),ISNUMBER(SEARCH(MID(S399,_xlfn.SEQUENCE(LEN(S399)),1),"ABCDEFGHIJKLMNOPQRSTUVWXYZabcdefghijklmnopqrstuvwxyz0123456789,")))),"")</f>
        <v/>
      </c>
      <c r="D399" s="15" t="str">
        <v/>
      </c>
      <c r="E399" s="16" t="str">
        <v/>
      </c>
      <c r="F399" s="15" t="str">
        <v/>
      </c>
      <c r="G399" s="20" t="str" cm="1">
        <f t="array" ref="G399">IF(TRIM(P399)="","",IF(SUM(COUNTIF(P399,{"*NLGD*","*FWG*"}))&gt;0,P399,IF(SUM(COUNTIF(P399,{"*GL*","*DGB*","*DGI*","*GT*","*CS*","*PWU*","*DBI*","*SWU*"}))=0,P399,IF(IFERROR(VALUE(SUBSTITUTE(SUBSTITUTE(O399,"W",""),"""","")),0)&gt;52,P399&amp;"-OVRSIZE-",P399))))</f>
        <v/>
      </c>
      <c r="H399" s="15" t="str">
        <v/>
      </c>
      <c r="I399" s="15" t="str">
        <v/>
      </c>
      <c r="J399" s="15" t="str">
        <v/>
      </c>
      <c r="K399" s="15" t="str">
        <v/>
      </c>
      <c r="L399" s="15" t="str">
        <v/>
      </c>
      <c r="M399" s="10" t="str">
        <v/>
      </c>
      <c r="N399" s="14"/>
      <c r="O399" s="15" t="str" cm="1">
        <f t="array" ref="O399">IFERROR(_xlfn.LET(
_xlpm.clean,TRIM(SUBSTITUTE(SUBSTITUTE(P399,CHAR(160),"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9" s="15"/>
      <c r="R399" t="str">
        <v/>
      </c>
      <c r="S399" t="str">
        <f t="shared" si="7"/>
        <v/>
      </c>
    </row>
    <row r="400" spans="1:19" ht="12.75">
      <c r="A400" s="15" t="str">
        <v/>
      </c>
      <c r="B400" s="15" t="str">
        <v/>
      </c>
      <c r="C400" s="15" t="str" cm="1">
        <f t="array" ref="C400">IFERROR(_xlfn.TEXTJOIN("",TRUE,_xlfn._xlws.FILTER(MID(S400,_xlfn.SEQUENCE(LEN(S400)),1),ISNUMBER(SEARCH(MID(S400,_xlfn.SEQUENCE(LEN(S400)),1),"ABCDEFGHIJKLMNOPQRSTUVWXYZabcdefghijklmnopqrstuvwxyz0123456789,")))),"")</f>
        <v/>
      </c>
      <c r="D400" s="15" t="str">
        <v/>
      </c>
      <c r="E400" s="16" t="str">
        <v/>
      </c>
      <c r="F400" s="15" t="str">
        <v/>
      </c>
      <c r="G400" s="20" t="str" cm="1">
        <f t="array" ref="G400">IF(TRIM(P400)="","",IF(SUM(COUNTIF(P400,{"*NLGD*","*FWG*"}))&gt;0,P400,IF(SUM(COUNTIF(P400,{"*GL*","*DGB*","*DGI*","*GT*","*CS*","*PWU*","*DBI*","*SWU*"}))=0,P400,IF(IFERROR(VALUE(SUBSTITUTE(SUBSTITUTE(O400,"W",""),"""","")),0)&gt;52,P400&amp;"-OVRSIZE-",P400))))</f>
        <v/>
      </c>
      <c r="H400" s="15" t="str">
        <v/>
      </c>
      <c r="I400" s="15" t="str">
        <v/>
      </c>
      <c r="J400" s="15" t="str">
        <v/>
      </c>
      <c r="K400" s="15" t="str">
        <v/>
      </c>
      <c r="L400" s="15" t="str">
        <v/>
      </c>
      <c r="M400" s="10" t="str">
        <v/>
      </c>
      <c r="N400" s="14"/>
      <c r="O400" s="15" t="str" cm="1">
        <f t="array" ref="O400">IFERROR(_xlfn.LET(
_xlpm.clean,TRIM(SUBSTITUTE(SUBSTITUTE(P400,CHAR(160),"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0" s="15"/>
      <c r="R400" t="str">
        <v/>
      </c>
      <c r="S400" t="str">
        <f t="shared" si="7"/>
        <v/>
      </c>
    </row>
    <row r="401" spans="1:19" ht="12.75">
      <c r="A401" s="15" t="str">
        <v/>
      </c>
      <c r="B401" s="15" t="str">
        <v/>
      </c>
      <c r="C401" s="15" t="str" cm="1">
        <f t="array" ref="C401">IFERROR(_xlfn.TEXTJOIN("",TRUE,_xlfn._xlws.FILTER(MID(S401,_xlfn.SEQUENCE(LEN(S401)),1),ISNUMBER(SEARCH(MID(S401,_xlfn.SEQUENCE(LEN(S401)),1),"ABCDEFGHIJKLMNOPQRSTUVWXYZabcdefghijklmnopqrstuvwxyz0123456789,")))),"")</f>
        <v/>
      </c>
      <c r="D401" s="15" t="str">
        <v/>
      </c>
      <c r="E401" s="16" t="str">
        <v/>
      </c>
      <c r="F401" s="15" t="str">
        <v/>
      </c>
      <c r="G401" s="20" t="str" cm="1">
        <f t="array" ref="G401">IF(TRIM(P401)="","",IF(SUM(COUNTIF(P401,{"*NLGD*","*FWG*"}))&gt;0,P401,IF(SUM(COUNTIF(P401,{"*GL*","*DGB*","*DGI*","*GT*","*CS*","*PWU*","*DBI*","*SWU*"}))=0,P401,IF(IFERROR(VALUE(SUBSTITUTE(SUBSTITUTE(O401,"W",""),"""","")),0)&gt;52,P401&amp;"-OVRSIZE-",P401))))</f>
        <v/>
      </c>
      <c r="H401" s="15" t="str">
        <v/>
      </c>
      <c r="I401" s="15" t="str">
        <v/>
      </c>
      <c r="J401" s="15" t="str">
        <v/>
      </c>
      <c r="K401" s="15" t="str">
        <v/>
      </c>
      <c r="L401" s="15" t="str">
        <v/>
      </c>
      <c r="M401" s="10" t="str">
        <v/>
      </c>
      <c r="N401" s="14"/>
      <c r="O401" s="15" t="str" cm="1">
        <f t="array" ref="O401">IFERROR(_xlfn.LET(
_xlpm.clean,TRIM(SUBSTITUTE(SUBSTITUTE(P401,CHAR(160),"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1" s="15"/>
      <c r="R401" t="str">
        <v/>
      </c>
      <c r="S401" t="str">
        <f t="shared" si="7"/>
        <v/>
      </c>
    </row>
    <row r="402" spans="1:19" ht="12.75">
      <c r="A402" s="15" t="str">
        <v/>
      </c>
      <c r="B402" s="15" t="str">
        <v/>
      </c>
      <c r="C402" s="15" t="str" cm="1">
        <f t="array" ref="C402">IFERROR(_xlfn.TEXTJOIN("",TRUE,_xlfn._xlws.FILTER(MID(S402,_xlfn.SEQUENCE(LEN(S402)),1),ISNUMBER(SEARCH(MID(S402,_xlfn.SEQUENCE(LEN(S402)),1),"ABCDEFGHIJKLMNOPQRSTUVWXYZabcdefghijklmnopqrstuvwxyz0123456789,")))),"")</f>
        <v/>
      </c>
      <c r="D402" s="15" t="str">
        <v/>
      </c>
      <c r="E402" s="16" t="str">
        <v/>
      </c>
      <c r="F402" s="15" t="str">
        <v/>
      </c>
      <c r="G402" s="20" t="str" cm="1">
        <f t="array" ref="G402">IF(TRIM(P402)="","",IF(SUM(COUNTIF(P402,{"*NLGD*","*FWG*"}))&gt;0,P402,IF(SUM(COUNTIF(P402,{"*GL*","*DGB*","*DGI*","*GT*","*CS*","*PWU*","*DBI*","*SWU*"}))=0,P402,IF(IFERROR(VALUE(SUBSTITUTE(SUBSTITUTE(O402,"W",""),"""","")),0)&gt;52,P402&amp;"-OVRSIZE-",P402))))</f>
        <v/>
      </c>
      <c r="H402" s="15" t="str">
        <v/>
      </c>
      <c r="I402" s="15" t="str">
        <v/>
      </c>
      <c r="J402" s="15" t="str">
        <v/>
      </c>
      <c r="K402" s="15" t="str">
        <v/>
      </c>
      <c r="L402" s="15" t="str">
        <v/>
      </c>
      <c r="M402" s="10" t="str">
        <v/>
      </c>
      <c r="N402" s="14"/>
      <c r="O402" s="15" t="str" cm="1">
        <f t="array" ref="O402">IFERROR(_xlfn.LET(
_xlpm.clean,TRIM(SUBSTITUTE(SUBSTITUTE(P402,CHAR(160),"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2" s="15"/>
      <c r="R402" t="str">
        <v/>
      </c>
      <c r="S402" t="str">
        <f t="shared" si="7"/>
        <v/>
      </c>
    </row>
    <row r="403" spans="1:19" ht="12.75">
      <c r="A403" s="15" t="str">
        <v/>
      </c>
      <c r="B403" s="15" t="str">
        <v/>
      </c>
      <c r="C403" s="15" t="str" cm="1">
        <f t="array" ref="C403">IFERROR(_xlfn.TEXTJOIN("",TRUE,_xlfn._xlws.FILTER(MID(S403,_xlfn.SEQUENCE(LEN(S403)),1),ISNUMBER(SEARCH(MID(S403,_xlfn.SEQUENCE(LEN(S403)),1),"ABCDEFGHIJKLMNOPQRSTUVWXYZabcdefghijklmnopqrstuvwxyz0123456789,")))),"")</f>
        <v/>
      </c>
      <c r="D403" s="15" t="str">
        <v/>
      </c>
      <c r="E403" s="16" t="str">
        <v/>
      </c>
      <c r="F403" s="15" t="str">
        <v/>
      </c>
      <c r="G403" s="20" t="str" cm="1">
        <f t="array" ref="G403">IF(TRIM(P403)="","",IF(SUM(COUNTIF(P403,{"*NLGD*","*FWG*"}))&gt;0,P403,IF(SUM(COUNTIF(P403,{"*GL*","*DGB*","*DGI*","*GT*","*CS*","*PWU*","*DBI*","*SWU*"}))=0,P403,IF(IFERROR(VALUE(SUBSTITUTE(SUBSTITUTE(O403,"W",""),"""","")),0)&gt;52,P403&amp;"-OVRSIZE-",P403))))</f>
        <v/>
      </c>
      <c r="H403" s="15" t="str">
        <v/>
      </c>
      <c r="I403" s="15" t="str">
        <v/>
      </c>
      <c r="J403" s="15" t="str">
        <v/>
      </c>
      <c r="K403" s="15" t="str">
        <v/>
      </c>
      <c r="L403" s="15" t="str">
        <v/>
      </c>
      <c r="M403" s="10" t="str">
        <v/>
      </c>
      <c r="N403" s="14"/>
      <c r="O403" s="15" t="str" cm="1">
        <f t="array" ref="O403">IFERROR(_xlfn.LET(
_xlpm.clean,TRIM(SUBSTITUTE(SUBSTITUTE(P403,CHAR(160),"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3" s="15"/>
      <c r="R403" t="str">
        <v/>
      </c>
      <c r="S403" t="str">
        <f t="shared" si="7"/>
        <v/>
      </c>
    </row>
    <row r="404" spans="1:19" ht="12.75">
      <c r="A404" s="15" t="str">
        <v/>
      </c>
      <c r="B404" s="15" t="str">
        <v/>
      </c>
      <c r="C404" s="15" t="str" cm="1">
        <f t="array" ref="C404">IFERROR(_xlfn.TEXTJOIN("",TRUE,_xlfn._xlws.FILTER(MID(S404,_xlfn.SEQUENCE(LEN(S404)),1),ISNUMBER(SEARCH(MID(S404,_xlfn.SEQUENCE(LEN(S404)),1),"ABCDEFGHIJKLMNOPQRSTUVWXYZabcdefghijklmnopqrstuvwxyz0123456789,")))),"")</f>
        <v/>
      </c>
      <c r="D404" s="15" t="str">
        <v/>
      </c>
      <c r="E404" s="16" t="str">
        <v/>
      </c>
      <c r="F404" s="15" t="str">
        <v/>
      </c>
      <c r="G404" s="20" t="str" cm="1">
        <f t="array" ref="G404">IF(TRIM(P404)="","",IF(SUM(COUNTIF(P404,{"*NLGD*","*FWG*"}))&gt;0,P404,IF(SUM(COUNTIF(P404,{"*GL*","*DGB*","*DGI*","*GT*","*CS*","*PWU*","*DBI*","*SWU*"}))=0,P404,IF(IFERROR(VALUE(SUBSTITUTE(SUBSTITUTE(O404,"W",""),"""","")),0)&gt;52,P404&amp;"-OVRSIZE-",P404))))</f>
        <v/>
      </c>
      <c r="H404" s="15" t="str">
        <v/>
      </c>
      <c r="I404" s="15" t="str">
        <v/>
      </c>
      <c r="J404" s="15" t="str">
        <v/>
      </c>
      <c r="K404" s="15" t="str">
        <v/>
      </c>
      <c r="L404" s="15" t="str">
        <v/>
      </c>
      <c r="M404" s="10" t="str">
        <v/>
      </c>
      <c r="N404" s="14"/>
      <c r="O404" s="15" t="str" cm="1">
        <f t="array" ref="O404">IFERROR(_xlfn.LET(
_xlpm.clean,TRIM(SUBSTITUTE(SUBSTITUTE(P404,CHAR(160),"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4" s="15"/>
      <c r="R404" t="str">
        <v/>
      </c>
      <c r="S404" t="str">
        <f t="shared" si="7"/>
        <v/>
      </c>
    </row>
    <row r="405" spans="1:19" ht="12.75">
      <c r="A405" s="15" t="str">
        <v/>
      </c>
      <c r="B405" s="15" t="str">
        <v/>
      </c>
      <c r="C405" s="15" t="str" cm="1">
        <f t="array" ref="C405">IFERROR(_xlfn.TEXTJOIN("",TRUE,_xlfn._xlws.FILTER(MID(S405,_xlfn.SEQUENCE(LEN(S405)),1),ISNUMBER(SEARCH(MID(S405,_xlfn.SEQUENCE(LEN(S405)),1),"ABCDEFGHIJKLMNOPQRSTUVWXYZabcdefghijklmnopqrstuvwxyz0123456789,")))),"")</f>
        <v/>
      </c>
      <c r="D405" s="15" t="str">
        <v/>
      </c>
      <c r="E405" s="16" t="str">
        <v/>
      </c>
      <c r="F405" s="15" t="str">
        <v/>
      </c>
      <c r="G405" s="20" t="str" cm="1">
        <f t="array" ref="G405">IF(TRIM(P405)="","",IF(SUM(COUNTIF(P405,{"*NLGD*","*FWG*"}))&gt;0,P405,IF(SUM(COUNTIF(P405,{"*GL*","*DGB*","*DGI*","*GT*","*CS*","*PWU*","*DBI*","*SWU*"}))=0,P405,IF(IFERROR(VALUE(SUBSTITUTE(SUBSTITUTE(O405,"W",""),"""","")),0)&gt;52,P405&amp;"-OVRSIZE-",P405))))</f>
        <v/>
      </c>
      <c r="H405" s="15" t="str">
        <v/>
      </c>
      <c r="I405" s="15" t="str">
        <v/>
      </c>
      <c r="J405" s="15" t="str">
        <v/>
      </c>
      <c r="K405" s="15" t="str">
        <v/>
      </c>
      <c r="L405" s="15" t="str">
        <v/>
      </c>
      <c r="M405" s="10" t="str">
        <v/>
      </c>
      <c r="N405" s="14"/>
      <c r="O405" s="15" t="str" cm="1">
        <f t="array" ref="O405">IFERROR(_xlfn.LET(
_xlpm.clean,TRIM(SUBSTITUTE(SUBSTITUTE(P405,CHAR(160),"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5" s="15"/>
      <c r="R405" t="str">
        <v/>
      </c>
      <c r="S405" t="str">
        <f t="shared" si="7"/>
        <v/>
      </c>
    </row>
    <row r="406" spans="1:19" ht="12.75">
      <c r="A406" s="15" t="str">
        <v/>
      </c>
      <c r="B406" s="15" t="str">
        <v/>
      </c>
      <c r="C406" s="15" t="str" cm="1">
        <f t="array" ref="C406">IFERROR(_xlfn.TEXTJOIN("",TRUE,_xlfn._xlws.FILTER(MID(S406,_xlfn.SEQUENCE(LEN(S406)),1),ISNUMBER(SEARCH(MID(S406,_xlfn.SEQUENCE(LEN(S406)),1),"ABCDEFGHIJKLMNOPQRSTUVWXYZabcdefghijklmnopqrstuvwxyz0123456789,")))),"")</f>
        <v/>
      </c>
      <c r="D406" s="15" t="str">
        <v/>
      </c>
      <c r="E406" s="16" t="str">
        <v/>
      </c>
      <c r="F406" s="15" t="str">
        <v/>
      </c>
      <c r="G406" s="20" t="str" cm="1">
        <f t="array" ref="G406">IF(TRIM(P406)="","",IF(SUM(COUNTIF(P406,{"*NLGD*","*FWG*"}))&gt;0,P406,IF(SUM(COUNTIF(P406,{"*GL*","*DGB*","*DGI*","*GT*","*CS*","*PWU*","*DBI*","*SWU*"}))=0,P406,IF(IFERROR(VALUE(SUBSTITUTE(SUBSTITUTE(O406,"W",""),"""","")),0)&gt;52,P406&amp;"-OVRSIZE-",P406))))</f>
        <v/>
      </c>
      <c r="H406" s="15" t="str">
        <v/>
      </c>
      <c r="I406" s="15" t="str">
        <v/>
      </c>
      <c r="J406" s="15" t="str">
        <v/>
      </c>
      <c r="K406" s="15" t="str">
        <v/>
      </c>
      <c r="L406" s="15" t="str">
        <v/>
      </c>
      <c r="M406" s="10" t="str">
        <v/>
      </c>
      <c r="N406" s="14"/>
      <c r="O406" s="15" t="str" cm="1">
        <f t="array" ref="O406">IFERROR(_xlfn.LET(
_xlpm.clean,TRIM(SUBSTITUTE(SUBSTITUTE(P406,CHAR(160),"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6" s="15"/>
      <c r="R406" t="str">
        <v/>
      </c>
      <c r="S406" t="str">
        <f t="shared" si="7"/>
        <v/>
      </c>
    </row>
    <row r="407" spans="1:19" ht="12.75">
      <c r="A407" s="15" t="str">
        <v/>
      </c>
      <c r="B407" s="15" t="str">
        <v/>
      </c>
      <c r="C407" s="15" t="str" cm="1">
        <f t="array" ref="C407">IFERROR(_xlfn.TEXTJOIN("",TRUE,_xlfn._xlws.FILTER(MID(S407,_xlfn.SEQUENCE(LEN(S407)),1),ISNUMBER(SEARCH(MID(S407,_xlfn.SEQUENCE(LEN(S407)),1),"ABCDEFGHIJKLMNOPQRSTUVWXYZabcdefghijklmnopqrstuvwxyz0123456789,")))),"")</f>
        <v/>
      </c>
      <c r="D407" s="15" t="str">
        <v/>
      </c>
      <c r="E407" s="16" t="str">
        <v/>
      </c>
      <c r="F407" s="15" t="str">
        <v/>
      </c>
      <c r="G407" s="20" t="str" cm="1">
        <f t="array" ref="G407">IF(TRIM(P407)="","",IF(SUM(COUNTIF(P407,{"*NLGD*","*FWG*"}))&gt;0,P407,IF(SUM(COUNTIF(P407,{"*GL*","*DGB*","*DGI*","*GT*","*CS*","*PWU*","*DBI*","*SWU*"}))=0,P407,IF(IFERROR(VALUE(SUBSTITUTE(SUBSTITUTE(O407,"W",""),"""","")),0)&gt;52,P407&amp;"-OVRSIZE-",P407))))</f>
        <v/>
      </c>
      <c r="H407" s="15" t="str">
        <v/>
      </c>
      <c r="I407" s="15" t="str">
        <v/>
      </c>
      <c r="J407" s="15" t="str">
        <v/>
      </c>
      <c r="K407" s="15" t="str">
        <v/>
      </c>
      <c r="L407" s="15" t="str">
        <v/>
      </c>
      <c r="M407" s="10" t="str">
        <v/>
      </c>
      <c r="N407" s="14"/>
      <c r="O407" s="15" t="str" cm="1">
        <f t="array" ref="O407">IFERROR(_xlfn.LET(
_xlpm.clean,TRIM(SUBSTITUTE(SUBSTITUTE(P407,CHAR(160),"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7" s="15"/>
      <c r="R407" t="str">
        <v/>
      </c>
      <c r="S407" t="str">
        <f t="shared" si="7"/>
        <v/>
      </c>
    </row>
    <row r="408" spans="1:19" ht="12.75">
      <c r="A408" s="15" t="str">
        <v/>
      </c>
      <c r="B408" s="15" t="str">
        <v/>
      </c>
      <c r="C408" s="15" t="str" cm="1">
        <f t="array" ref="C408">IFERROR(_xlfn.TEXTJOIN("",TRUE,_xlfn._xlws.FILTER(MID(S408,_xlfn.SEQUENCE(LEN(S408)),1),ISNUMBER(SEARCH(MID(S408,_xlfn.SEQUENCE(LEN(S408)),1),"ABCDEFGHIJKLMNOPQRSTUVWXYZabcdefghijklmnopqrstuvwxyz0123456789,")))),"")</f>
        <v/>
      </c>
      <c r="D408" s="15" t="str">
        <v/>
      </c>
      <c r="E408" s="16" t="str">
        <v/>
      </c>
      <c r="F408" s="15" t="str">
        <v/>
      </c>
      <c r="G408" s="20" t="str" cm="1">
        <f t="array" ref="G408">IF(TRIM(P408)="","",IF(SUM(COUNTIF(P408,{"*NLGD*","*FWG*"}))&gt;0,P408,IF(SUM(COUNTIF(P408,{"*GL*","*DGB*","*DGI*","*GT*","*CS*","*PWU*","*DBI*","*SWU*"}))=0,P408,IF(IFERROR(VALUE(SUBSTITUTE(SUBSTITUTE(O408,"W",""),"""","")),0)&gt;52,P408&amp;"-OVRSIZE-",P408))))</f>
        <v/>
      </c>
      <c r="H408" s="15" t="str">
        <v/>
      </c>
      <c r="I408" s="15" t="str">
        <v/>
      </c>
      <c r="J408" s="15" t="str">
        <v/>
      </c>
      <c r="K408" s="15" t="str">
        <v/>
      </c>
      <c r="L408" s="15" t="str">
        <v/>
      </c>
      <c r="M408" s="10" t="str">
        <v/>
      </c>
      <c r="N408" s="14"/>
      <c r="O408" s="15" t="str" cm="1">
        <f t="array" ref="O408">IFERROR(_xlfn.LET(
_xlpm.clean,TRIM(SUBSTITUTE(SUBSTITUTE(P408,CHAR(160),"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8" s="15"/>
      <c r="R408" t="str">
        <v/>
      </c>
      <c r="S408" t="str">
        <f t="shared" si="7"/>
        <v/>
      </c>
    </row>
    <row r="409" spans="1:19" ht="12.75">
      <c r="A409" s="15" t="str">
        <v/>
      </c>
      <c r="B409" s="15" t="str">
        <v/>
      </c>
      <c r="C409" s="15" t="str" cm="1">
        <f t="array" ref="C409">IFERROR(_xlfn.TEXTJOIN("",TRUE,_xlfn._xlws.FILTER(MID(S409,_xlfn.SEQUENCE(LEN(S409)),1),ISNUMBER(SEARCH(MID(S409,_xlfn.SEQUENCE(LEN(S409)),1),"ABCDEFGHIJKLMNOPQRSTUVWXYZabcdefghijklmnopqrstuvwxyz0123456789,")))),"")</f>
        <v/>
      </c>
      <c r="D409" s="15" t="str">
        <v/>
      </c>
      <c r="E409" s="16" t="str">
        <v/>
      </c>
      <c r="F409" s="15" t="str">
        <v/>
      </c>
      <c r="G409" s="20" t="str" cm="1">
        <f t="array" ref="G409">IF(TRIM(P409)="","",IF(SUM(COUNTIF(P409,{"*NLGD*","*FWG*"}))&gt;0,P409,IF(SUM(COUNTIF(P409,{"*GL*","*DGB*","*DGI*","*GT*","*CS*","*PWU*","*DBI*","*SWU*"}))=0,P409,IF(IFERROR(VALUE(SUBSTITUTE(SUBSTITUTE(O409,"W",""),"""","")),0)&gt;52,P409&amp;"-OVRSIZE-",P409))))</f>
        <v/>
      </c>
      <c r="H409" s="15" t="str">
        <v/>
      </c>
      <c r="I409" s="15" t="str">
        <v/>
      </c>
      <c r="J409" s="15" t="str">
        <v/>
      </c>
      <c r="K409" s="15" t="str">
        <v/>
      </c>
      <c r="L409" s="15" t="str">
        <v/>
      </c>
      <c r="M409" s="10" t="str">
        <v/>
      </c>
      <c r="N409" s="14"/>
      <c r="O409" s="15" t="str" cm="1">
        <f t="array" ref="O409">IFERROR(_xlfn.LET(
_xlpm.clean,TRIM(SUBSTITUTE(SUBSTITUTE(P409,CHAR(160),"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9" s="15"/>
      <c r="R409" t="str">
        <v/>
      </c>
      <c r="S409" t="str">
        <f t="shared" si="7"/>
        <v/>
      </c>
    </row>
    <row r="410" spans="1:19" ht="12.75">
      <c r="A410" s="15" t="str">
        <v/>
      </c>
      <c r="B410" s="15" t="str">
        <v/>
      </c>
      <c r="C410" s="15" t="str" cm="1">
        <f t="array" ref="C410">IFERROR(_xlfn.TEXTJOIN("",TRUE,_xlfn._xlws.FILTER(MID(S410,_xlfn.SEQUENCE(LEN(S410)),1),ISNUMBER(SEARCH(MID(S410,_xlfn.SEQUENCE(LEN(S410)),1),"ABCDEFGHIJKLMNOPQRSTUVWXYZabcdefghijklmnopqrstuvwxyz0123456789,")))),"")</f>
        <v/>
      </c>
      <c r="D410" s="15" t="str">
        <v/>
      </c>
      <c r="E410" s="16" t="str">
        <v/>
      </c>
      <c r="F410" s="15" t="str">
        <v/>
      </c>
      <c r="G410" s="20" t="str" cm="1">
        <f t="array" ref="G410">IF(TRIM(P410)="","",IF(SUM(COUNTIF(P410,{"*NLGD*","*FWG*"}))&gt;0,P410,IF(SUM(COUNTIF(P410,{"*GL*","*DGB*","*DGI*","*GT*","*CS*","*PWU*","*DBI*","*SWU*"}))=0,P410,IF(IFERROR(VALUE(SUBSTITUTE(SUBSTITUTE(O410,"W",""),"""","")),0)&gt;52,P410&amp;"-OVRSIZE-",P410))))</f>
        <v/>
      </c>
      <c r="H410" s="15" t="str">
        <v/>
      </c>
      <c r="I410" s="15" t="str">
        <v/>
      </c>
      <c r="J410" s="15" t="str">
        <v/>
      </c>
      <c r="K410" s="15" t="str">
        <v/>
      </c>
      <c r="L410" s="15" t="str">
        <v/>
      </c>
      <c r="M410" s="10" t="str">
        <v/>
      </c>
      <c r="N410" s="14"/>
      <c r="O410" s="15" t="str" cm="1">
        <f t="array" ref="O410">IFERROR(_xlfn.LET(
_xlpm.clean,TRIM(SUBSTITUTE(SUBSTITUTE(P410,CHAR(160),"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0" s="15"/>
      <c r="R410" t="str">
        <v/>
      </c>
      <c r="S410" t="str">
        <f t="shared" si="7"/>
        <v/>
      </c>
    </row>
    <row r="411" spans="1:19" ht="12.75">
      <c r="A411" s="15" t="str">
        <v/>
      </c>
      <c r="B411" s="15" t="str">
        <v/>
      </c>
      <c r="C411" s="15" t="str" cm="1">
        <f t="array" ref="C411">IFERROR(_xlfn.TEXTJOIN("",TRUE,_xlfn._xlws.FILTER(MID(S411,_xlfn.SEQUENCE(LEN(S411)),1),ISNUMBER(SEARCH(MID(S411,_xlfn.SEQUENCE(LEN(S411)),1),"ABCDEFGHIJKLMNOPQRSTUVWXYZabcdefghijklmnopqrstuvwxyz0123456789,")))),"")</f>
        <v/>
      </c>
      <c r="D411" s="15" t="str">
        <v/>
      </c>
      <c r="E411" s="16" t="str">
        <v/>
      </c>
      <c r="F411" s="15" t="str">
        <v/>
      </c>
      <c r="G411" s="20" t="str" cm="1">
        <f t="array" ref="G411">IF(TRIM(P411)="","",IF(SUM(COUNTIF(P411,{"*NLGD*","*FWG*"}))&gt;0,P411,IF(SUM(COUNTIF(P411,{"*GL*","*DGB*","*DGI*","*GT*","*CS*","*PWU*","*DBI*","*SWU*"}))=0,P411,IF(IFERROR(VALUE(SUBSTITUTE(SUBSTITUTE(O411,"W",""),"""","")),0)&gt;52,P411&amp;"-OVRSIZE-",P411))))</f>
        <v/>
      </c>
      <c r="H411" s="15" t="str">
        <v/>
      </c>
      <c r="I411" s="15" t="str">
        <v/>
      </c>
      <c r="J411" s="15" t="str">
        <v/>
      </c>
      <c r="K411" s="15" t="str">
        <v/>
      </c>
      <c r="L411" s="15" t="str">
        <v/>
      </c>
      <c r="M411" s="10" t="str">
        <v/>
      </c>
      <c r="N411" s="14"/>
      <c r="O411" s="15" t="str" cm="1">
        <f t="array" ref="O411">IFERROR(_xlfn.LET(
_xlpm.clean,TRIM(SUBSTITUTE(SUBSTITUTE(P411,CHAR(160),"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1" s="15"/>
      <c r="R411" t="str">
        <v/>
      </c>
      <c r="S411" t="str">
        <f t="shared" si="7"/>
        <v/>
      </c>
    </row>
    <row r="412" spans="1:19" ht="12.75">
      <c r="A412" s="15" t="str">
        <v/>
      </c>
      <c r="B412" s="15" t="str">
        <v/>
      </c>
      <c r="C412" s="15" t="str" cm="1">
        <f t="array" ref="C412">IFERROR(_xlfn.TEXTJOIN("",TRUE,_xlfn._xlws.FILTER(MID(S412,_xlfn.SEQUENCE(LEN(S412)),1),ISNUMBER(SEARCH(MID(S412,_xlfn.SEQUENCE(LEN(S412)),1),"ABCDEFGHIJKLMNOPQRSTUVWXYZabcdefghijklmnopqrstuvwxyz0123456789,")))),"")</f>
        <v/>
      </c>
      <c r="D412" s="15" t="str">
        <v/>
      </c>
      <c r="E412" s="16" t="str">
        <v/>
      </c>
      <c r="F412" s="15" t="str">
        <v/>
      </c>
      <c r="G412" s="20" t="str" cm="1">
        <f t="array" ref="G412">IF(TRIM(P412)="","",IF(SUM(COUNTIF(P412,{"*NLGD*","*FWG*"}))&gt;0,P412,IF(SUM(COUNTIF(P412,{"*GL*","*DGB*","*DGI*","*GT*","*CS*","*PWU*","*DBI*","*SWU*"}))=0,P412,IF(IFERROR(VALUE(SUBSTITUTE(SUBSTITUTE(O412,"W",""),"""","")),0)&gt;52,P412&amp;"-OVRSIZE-",P412))))</f>
        <v/>
      </c>
      <c r="H412" s="15" t="str">
        <v/>
      </c>
      <c r="I412" s="15" t="str">
        <v/>
      </c>
      <c r="J412" s="15" t="str">
        <v/>
      </c>
      <c r="K412" s="15" t="str">
        <v/>
      </c>
      <c r="L412" s="15" t="str">
        <v/>
      </c>
      <c r="M412" s="10" t="str">
        <v/>
      </c>
      <c r="N412" s="14"/>
      <c r="O412" s="15" t="str" cm="1">
        <f t="array" ref="O412">IFERROR(_xlfn.LET(
_xlpm.clean,TRIM(SUBSTITUTE(SUBSTITUTE(P412,CHAR(160),"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2" s="15"/>
      <c r="R412" t="str">
        <v/>
      </c>
      <c r="S412" t="str">
        <f t="shared" si="7"/>
        <v/>
      </c>
    </row>
    <row r="413" spans="1:19" ht="12.75">
      <c r="A413" s="15" t="str">
        <v/>
      </c>
      <c r="B413" s="15" t="str">
        <v/>
      </c>
      <c r="C413" s="15" t="str" cm="1">
        <f t="array" ref="C413">IFERROR(_xlfn.TEXTJOIN("",TRUE,_xlfn._xlws.FILTER(MID(S413,_xlfn.SEQUENCE(LEN(S413)),1),ISNUMBER(SEARCH(MID(S413,_xlfn.SEQUENCE(LEN(S413)),1),"ABCDEFGHIJKLMNOPQRSTUVWXYZabcdefghijklmnopqrstuvwxyz0123456789,")))),"")</f>
        <v/>
      </c>
      <c r="D413" s="15" t="str">
        <v/>
      </c>
      <c r="E413" s="16" t="str">
        <v/>
      </c>
      <c r="F413" s="15" t="str">
        <v/>
      </c>
      <c r="G413" s="20" t="str" cm="1">
        <f t="array" ref="G413">IF(TRIM(P413)="","",IF(SUM(COUNTIF(P413,{"*NLGD*","*FWG*"}))&gt;0,P413,IF(SUM(COUNTIF(P413,{"*GL*","*DGB*","*DGI*","*GT*","*CS*","*PWU*","*DBI*","*SWU*"}))=0,P413,IF(IFERROR(VALUE(SUBSTITUTE(SUBSTITUTE(O413,"W",""),"""","")),0)&gt;52,P413&amp;"-OVRSIZE-",P413))))</f>
        <v/>
      </c>
      <c r="H413" s="15" t="str">
        <v/>
      </c>
      <c r="I413" s="15" t="str">
        <v/>
      </c>
      <c r="J413" s="15" t="str">
        <v/>
      </c>
      <c r="K413" s="15" t="str">
        <v/>
      </c>
      <c r="L413" s="15" t="str">
        <v/>
      </c>
      <c r="M413" s="10" t="str">
        <v/>
      </c>
      <c r="N413" s="14"/>
      <c r="O413" s="15" t="str" cm="1">
        <f t="array" ref="O413">IFERROR(_xlfn.LET(
_xlpm.clean,TRIM(SUBSTITUTE(SUBSTITUTE(P413,CHAR(160),"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3" s="15"/>
      <c r="R413" t="str">
        <v/>
      </c>
      <c r="S413" t="str">
        <f t="shared" si="7"/>
        <v/>
      </c>
    </row>
    <row r="414" spans="1:19" ht="12.75">
      <c r="A414" s="15" t="str">
        <v/>
      </c>
      <c r="B414" s="15" t="str">
        <v/>
      </c>
      <c r="C414" s="15" t="str" cm="1">
        <f t="array" ref="C414">IFERROR(_xlfn.TEXTJOIN("",TRUE,_xlfn._xlws.FILTER(MID(S414,_xlfn.SEQUENCE(LEN(S414)),1),ISNUMBER(SEARCH(MID(S414,_xlfn.SEQUENCE(LEN(S414)),1),"ABCDEFGHIJKLMNOPQRSTUVWXYZabcdefghijklmnopqrstuvwxyz0123456789,")))),"")</f>
        <v/>
      </c>
      <c r="D414" s="15" t="str">
        <v/>
      </c>
      <c r="E414" s="16" t="str">
        <v/>
      </c>
      <c r="F414" s="15" t="str">
        <v/>
      </c>
      <c r="G414" s="20" t="str" cm="1">
        <f t="array" ref="G414">IF(TRIM(P414)="","",IF(SUM(COUNTIF(P414,{"*NLGD*","*FWG*"}))&gt;0,P414,IF(SUM(COUNTIF(P414,{"*GL*","*DGB*","*DGI*","*GT*","*CS*","*PWU*","*DBI*","*SWU*"}))=0,P414,IF(IFERROR(VALUE(SUBSTITUTE(SUBSTITUTE(O414,"W",""),"""","")),0)&gt;52,P414&amp;"-OVRSIZE-",P414))))</f>
        <v/>
      </c>
      <c r="H414" s="15" t="str">
        <v/>
      </c>
      <c r="I414" s="15" t="str">
        <v/>
      </c>
      <c r="J414" s="15" t="str">
        <v/>
      </c>
      <c r="K414" s="15" t="str">
        <v/>
      </c>
      <c r="L414" s="15" t="str">
        <v/>
      </c>
      <c r="M414" s="10" t="str">
        <v/>
      </c>
      <c r="N414" s="14"/>
      <c r="O414" s="15" t="str" cm="1">
        <f t="array" ref="O414">IFERROR(_xlfn.LET(
_xlpm.clean,TRIM(SUBSTITUTE(SUBSTITUTE(P414,CHAR(160),"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4" s="15"/>
      <c r="R414" t="str">
        <v/>
      </c>
      <c r="S414" t="str">
        <f t="shared" si="7"/>
        <v/>
      </c>
    </row>
    <row r="415" spans="1:19" ht="12.75">
      <c r="A415" s="15" t="str">
        <v/>
      </c>
      <c r="B415" s="15" t="str">
        <v/>
      </c>
      <c r="C415" s="15" t="str" cm="1">
        <f t="array" ref="C415">IFERROR(_xlfn.TEXTJOIN("",TRUE,_xlfn._xlws.FILTER(MID(S415,_xlfn.SEQUENCE(LEN(S415)),1),ISNUMBER(SEARCH(MID(S415,_xlfn.SEQUENCE(LEN(S415)),1),"ABCDEFGHIJKLMNOPQRSTUVWXYZabcdefghijklmnopqrstuvwxyz0123456789,")))),"")</f>
        <v/>
      </c>
      <c r="D415" s="15" t="str">
        <v/>
      </c>
      <c r="E415" s="16" t="str">
        <v/>
      </c>
      <c r="F415" s="15" t="str">
        <v/>
      </c>
      <c r="G415" s="20" t="str" cm="1">
        <f t="array" ref="G415">IF(TRIM(P415)="","",IF(SUM(COUNTIF(P415,{"*NLGD*","*FWG*"}))&gt;0,P415,IF(SUM(COUNTIF(P415,{"*GL*","*DGB*","*DGI*","*GT*","*CS*","*PWU*","*DBI*","*SWU*"}))=0,P415,IF(IFERROR(VALUE(SUBSTITUTE(SUBSTITUTE(O415,"W",""),"""","")),0)&gt;52,P415&amp;"-OVRSIZE-",P415))))</f>
        <v/>
      </c>
      <c r="H415" s="15" t="str">
        <v/>
      </c>
      <c r="I415" s="15" t="str">
        <v/>
      </c>
      <c r="J415" s="15" t="str">
        <v/>
      </c>
      <c r="K415" s="15" t="str">
        <v/>
      </c>
      <c r="L415" s="15" t="str">
        <v/>
      </c>
      <c r="M415" s="10" t="str">
        <v/>
      </c>
      <c r="N415" s="14"/>
      <c r="O415" s="15" t="str" cm="1">
        <f t="array" ref="O415">IFERROR(_xlfn.LET(
_xlpm.clean,TRIM(SUBSTITUTE(SUBSTITUTE(P415,CHAR(160),"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5" s="15"/>
      <c r="R415" t="str">
        <v/>
      </c>
      <c r="S415" t="str">
        <f t="shared" si="7"/>
        <v/>
      </c>
    </row>
    <row r="416" spans="1:19" ht="12.75">
      <c r="A416" s="15" t="str">
        <v/>
      </c>
      <c r="B416" s="15" t="str">
        <v/>
      </c>
      <c r="C416" s="15" t="str" cm="1">
        <f t="array" ref="C416">IFERROR(_xlfn.TEXTJOIN("",TRUE,_xlfn._xlws.FILTER(MID(S416,_xlfn.SEQUENCE(LEN(S416)),1),ISNUMBER(SEARCH(MID(S416,_xlfn.SEQUENCE(LEN(S416)),1),"ABCDEFGHIJKLMNOPQRSTUVWXYZabcdefghijklmnopqrstuvwxyz0123456789,")))),"")</f>
        <v/>
      </c>
      <c r="D416" s="15" t="str">
        <v/>
      </c>
      <c r="E416" s="16" t="str">
        <v/>
      </c>
      <c r="F416" s="15" t="str">
        <v/>
      </c>
      <c r="G416" s="20" t="str" cm="1">
        <f t="array" ref="G416">IF(TRIM(P416)="","",IF(SUM(COUNTIF(P416,{"*NLGD*","*FWG*"}))&gt;0,P416,IF(SUM(COUNTIF(P416,{"*GL*","*DGB*","*DGI*","*GT*","*CS*","*PWU*","*DBI*","*SWU*"}))=0,P416,IF(IFERROR(VALUE(SUBSTITUTE(SUBSTITUTE(O416,"W",""),"""","")),0)&gt;52,P416&amp;"-OVRSIZE-",P416))))</f>
        <v/>
      </c>
      <c r="H416" s="15" t="str">
        <v/>
      </c>
      <c r="I416" s="15" t="str">
        <v/>
      </c>
      <c r="J416" s="15" t="str">
        <v/>
      </c>
      <c r="K416" s="15" t="str">
        <v/>
      </c>
      <c r="L416" s="15" t="str">
        <v/>
      </c>
      <c r="M416" s="10" t="str">
        <v/>
      </c>
      <c r="N416" s="14"/>
      <c r="O416" s="15" t="str" cm="1">
        <f t="array" ref="O416">IFERROR(_xlfn.LET(
_xlpm.clean,TRIM(SUBSTITUTE(SUBSTITUTE(P416,CHAR(160),"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6" s="15"/>
      <c r="R416" t="str">
        <v/>
      </c>
      <c r="S416" t="str">
        <f t="shared" si="7"/>
        <v/>
      </c>
    </row>
    <row r="417" spans="1:19" ht="12.75">
      <c r="A417" s="15" t="str">
        <v/>
      </c>
      <c r="B417" s="15" t="str">
        <v/>
      </c>
      <c r="C417" s="15" t="str" cm="1">
        <f t="array" ref="C417">IFERROR(_xlfn.TEXTJOIN("",TRUE,_xlfn._xlws.FILTER(MID(S417,_xlfn.SEQUENCE(LEN(S417)),1),ISNUMBER(SEARCH(MID(S417,_xlfn.SEQUENCE(LEN(S417)),1),"ABCDEFGHIJKLMNOPQRSTUVWXYZabcdefghijklmnopqrstuvwxyz0123456789,")))),"")</f>
        <v/>
      </c>
      <c r="D417" s="15" t="str">
        <v/>
      </c>
      <c r="E417" s="16" t="str">
        <v/>
      </c>
      <c r="F417" s="15" t="str">
        <v/>
      </c>
      <c r="G417" s="20" t="str" cm="1">
        <f t="array" ref="G417">IF(TRIM(P417)="","",IF(SUM(COUNTIF(P417,{"*NLGD*","*FWG*"}))&gt;0,P417,IF(SUM(COUNTIF(P417,{"*GL*","*DGB*","*DGI*","*GT*","*CS*","*PWU*","*DBI*","*SWU*"}))=0,P417,IF(IFERROR(VALUE(SUBSTITUTE(SUBSTITUTE(O417,"W",""),"""","")),0)&gt;52,P417&amp;"-OVRSIZE-",P417))))</f>
        <v/>
      </c>
      <c r="H417" s="15" t="str">
        <v/>
      </c>
      <c r="I417" s="15" t="str">
        <v/>
      </c>
      <c r="J417" s="15" t="str">
        <v/>
      </c>
      <c r="K417" s="15" t="str">
        <v/>
      </c>
      <c r="L417" s="15" t="str">
        <v/>
      </c>
      <c r="M417" s="10" t="str">
        <v/>
      </c>
      <c r="N417" s="14"/>
      <c r="O417" s="15" t="str" cm="1">
        <f t="array" ref="O417">IFERROR(_xlfn.LET(
_xlpm.clean,TRIM(SUBSTITUTE(SUBSTITUTE(P417,CHAR(160),"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7" s="15"/>
      <c r="R417" t="str">
        <v/>
      </c>
      <c r="S417" t="str">
        <f t="shared" si="7"/>
        <v/>
      </c>
    </row>
    <row r="418" spans="1:19" ht="12.75">
      <c r="A418" s="15" t="str">
        <v/>
      </c>
      <c r="B418" s="15" t="str">
        <v/>
      </c>
      <c r="C418" s="15" t="str" cm="1">
        <f t="array" ref="C418">IFERROR(_xlfn.TEXTJOIN("",TRUE,_xlfn._xlws.FILTER(MID(S418,_xlfn.SEQUENCE(LEN(S418)),1),ISNUMBER(SEARCH(MID(S418,_xlfn.SEQUENCE(LEN(S418)),1),"ABCDEFGHIJKLMNOPQRSTUVWXYZabcdefghijklmnopqrstuvwxyz0123456789,")))),"")</f>
        <v/>
      </c>
      <c r="D418" s="15" t="str">
        <v/>
      </c>
      <c r="E418" s="16" t="str">
        <v/>
      </c>
      <c r="F418" s="15" t="str">
        <v/>
      </c>
      <c r="G418" s="20" t="str" cm="1">
        <f t="array" ref="G418">IF(TRIM(P418)="","",IF(SUM(COUNTIF(P418,{"*NLGD*","*FWG*"}))&gt;0,P418,IF(SUM(COUNTIF(P418,{"*GL*","*DGB*","*DGI*","*GT*","*CS*","*PWU*","*DBI*","*SWU*"}))=0,P418,IF(IFERROR(VALUE(SUBSTITUTE(SUBSTITUTE(O418,"W",""),"""","")),0)&gt;52,P418&amp;"-OVRSIZE-",P418))))</f>
        <v/>
      </c>
      <c r="H418" s="15" t="str">
        <v/>
      </c>
      <c r="I418" s="15" t="str">
        <v/>
      </c>
      <c r="J418" s="15" t="str">
        <v/>
      </c>
      <c r="K418" s="15" t="str">
        <v/>
      </c>
      <c r="L418" s="15" t="str">
        <v/>
      </c>
      <c r="M418" s="10" t="str">
        <v/>
      </c>
      <c r="N418" s="14"/>
      <c r="O418" s="15" t="str" cm="1">
        <f t="array" ref="O418">IFERROR(_xlfn.LET(
_xlpm.clean,TRIM(SUBSTITUTE(SUBSTITUTE(P418,CHAR(160),"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8" s="15"/>
      <c r="R418" t="str">
        <v/>
      </c>
      <c r="S418" t="str">
        <f t="shared" si="7"/>
        <v/>
      </c>
    </row>
    <row r="419" spans="1:19" ht="12.75">
      <c r="A419" s="15" t="str">
        <v/>
      </c>
      <c r="B419" s="15" t="str">
        <v/>
      </c>
      <c r="C419" s="15" t="str" cm="1">
        <f t="array" ref="C419">IFERROR(_xlfn.TEXTJOIN("",TRUE,_xlfn._xlws.FILTER(MID(S419,_xlfn.SEQUENCE(LEN(S419)),1),ISNUMBER(SEARCH(MID(S419,_xlfn.SEQUENCE(LEN(S419)),1),"ABCDEFGHIJKLMNOPQRSTUVWXYZabcdefghijklmnopqrstuvwxyz0123456789,")))),"")</f>
        <v/>
      </c>
      <c r="D419" s="15" t="str">
        <v/>
      </c>
      <c r="E419" s="16" t="str">
        <v/>
      </c>
      <c r="F419" s="15" t="str">
        <v/>
      </c>
      <c r="G419" s="20" t="str" cm="1">
        <f t="array" ref="G419">IF(TRIM(P419)="","",IF(SUM(COUNTIF(P419,{"*NLGD*","*FWG*"}))&gt;0,P419,IF(SUM(COUNTIF(P419,{"*GL*","*DGB*","*DGI*","*GT*","*CS*","*PWU*","*DBI*","*SWU*"}))=0,P419,IF(IFERROR(VALUE(SUBSTITUTE(SUBSTITUTE(O419,"W",""),"""","")),0)&gt;52,P419&amp;"-OVRSIZE-",P419))))</f>
        <v/>
      </c>
      <c r="H419" s="15" t="str">
        <v/>
      </c>
      <c r="I419" s="15" t="str">
        <v/>
      </c>
      <c r="J419" s="15" t="str">
        <v/>
      </c>
      <c r="K419" s="15" t="str">
        <v/>
      </c>
      <c r="L419" s="15" t="str">
        <v/>
      </c>
      <c r="M419" s="10" t="str">
        <v/>
      </c>
      <c r="N419" s="14"/>
      <c r="O419" s="15" t="str" cm="1">
        <f t="array" ref="O419">IFERROR(_xlfn.LET(
_xlpm.clean,TRIM(SUBSTITUTE(SUBSTITUTE(P419,CHAR(160),"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9" s="15"/>
      <c r="R419" t="str">
        <v/>
      </c>
      <c r="S419" t="str">
        <f t="shared" si="7"/>
        <v/>
      </c>
    </row>
    <row r="420" spans="1:19" ht="12.75">
      <c r="A420" s="15" t="str">
        <v/>
      </c>
      <c r="B420" s="15" t="str">
        <v/>
      </c>
      <c r="C420" s="15" t="str" cm="1">
        <f t="array" ref="C420">IFERROR(_xlfn.TEXTJOIN("",TRUE,_xlfn._xlws.FILTER(MID(S420,_xlfn.SEQUENCE(LEN(S420)),1),ISNUMBER(SEARCH(MID(S420,_xlfn.SEQUENCE(LEN(S420)),1),"ABCDEFGHIJKLMNOPQRSTUVWXYZabcdefghijklmnopqrstuvwxyz0123456789,")))),"")</f>
        <v/>
      </c>
      <c r="D420" s="15" t="str">
        <v/>
      </c>
      <c r="E420" s="16" t="str">
        <v/>
      </c>
      <c r="F420" s="15" t="str">
        <v/>
      </c>
      <c r="G420" s="20" t="str" cm="1">
        <f t="array" ref="G420">IF(TRIM(P420)="","",IF(SUM(COUNTIF(P420,{"*NLGD*","*FWG*"}))&gt;0,P420,IF(SUM(COUNTIF(P420,{"*GL*","*DGB*","*DGI*","*GT*","*CS*","*PWU*","*DBI*","*SWU*"}))=0,P420,IF(IFERROR(VALUE(SUBSTITUTE(SUBSTITUTE(O420,"W",""),"""","")),0)&gt;52,P420&amp;"-OVRSIZE-",P420))))</f>
        <v/>
      </c>
      <c r="H420" s="15" t="str">
        <v/>
      </c>
      <c r="I420" s="15" t="str">
        <v/>
      </c>
      <c r="J420" s="15" t="str">
        <v/>
      </c>
      <c r="K420" s="15" t="str">
        <v/>
      </c>
      <c r="L420" s="15" t="str">
        <v/>
      </c>
      <c r="M420" s="10" t="str">
        <v/>
      </c>
      <c r="N420" s="14"/>
      <c r="O420" s="15" t="str" cm="1">
        <f t="array" ref="O420">IFERROR(_xlfn.LET(
_xlpm.clean,TRIM(SUBSTITUTE(SUBSTITUTE(P420,CHAR(160),"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0" s="15"/>
      <c r="R420" t="str">
        <v/>
      </c>
      <c r="S420" t="str">
        <f t="shared" si="7"/>
        <v/>
      </c>
    </row>
    <row r="421" spans="1:19" ht="12.75">
      <c r="A421" s="15" t="str">
        <v/>
      </c>
      <c r="B421" s="15" t="str">
        <v/>
      </c>
      <c r="C421" s="15" t="str" cm="1">
        <f t="array" ref="C421">IFERROR(_xlfn.TEXTJOIN("",TRUE,_xlfn._xlws.FILTER(MID(S421,_xlfn.SEQUENCE(LEN(S421)),1),ISNUMBER(SEARCH(MID(S421,_xlfn.SEQUENCE(LEN(S421)),1),"ABCDEFGHIJKLMNOPQRSTUVWXYZabcdefghijklmnopqrstuvwxyz0123456789,")))),"")</f>
        <v/>
      </c>
      <c r="D421" s="15" t="str">
        <v/>
      </c>
      <c r="E421" s="16" t="str">
        <v/>
      </c>
      <c r="F421" s="15" t="str">
        <v/>
      </c>
      <c r="G421" s="20" t="str" cm="1">
        <f t="array" ref="G421">IF(TRIM(P421)="","",IF(SUM(COUNTIF(P421,{"*NLGD*","*FWG*"}))&gt;0,P421,IF(SUM(COUNTIF(P421,{"*GL*","*DGB*","*DGI*","*GT*","*CS*","*PWU*","*DBI*","*SWU*"}))=0,P421,IF(IFERROR(VALUE(SUBSTITUTE(SUBSTITUTE(O421,"W",""),"""","")),0)&gt;52,P421&amp;"-OVRSIZE-",P421))))</f>
        <v/>
      </c>
      <c r="H421" s="15" t="str">
        <v/>
      </c>
      <c r="I421" s="15" t="str">
        <v/>
      </c>
      <c r="J421" s="15" t="str">
        <v/>
      </c>
      <c r="K421" s="15" t="str">
        <v/>
      </c>
      <c r="L421" s="15" t="str">
        <v/>
      </c>
      <c r="M421" s="10" t="str">
        <v/>
      </c>
      <c r="N421" s="14"/>
      <c r="O421" s="15" t="str" cm="1">
        <f t="array" ref="O421">IFERROR(_xlfn.LET(
_xlpm.clean,TRIM(SUBSTITUTE(SUBSTITUTE(P421,CHAR(160),"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1" s="15"/>
      <c r="R421" t="str">
        <v/>
      </c>
      <c r="S421" t="str">
        <f t="shared" si="7"/>
        <v/>
      </c>
    </row>
    <row r="422" spans="1:19" ht="12.75">
      <c r="A422" s="15" t="str">
        <v/>
      </c>
      <c r="B422" s="15" t="str">
        <v/>
      </c>
      <c r="C422" s="15" t="str" cm="1">
        <f t="array" ref="C422">IFERROR(_xlfn.TEXTJOIN("",TRUE,_xlfn._xlws.FILTER(MID(S422,_xlfn.SEQUENCE(LEN(S422)),1),ISNUMBER(SEARCH(MID(S422,_xlfn.SEQUENCE(LEN(S422)),1),"ABCDEFGHIJKLMNOPQRSTUVWXYZabcdefghijklmnopqrstuvwxyz0123456789,")))),"")</f>
        <v/>
      </c>
      <c r="D422" s="15" t="str">
        <v/>
      </c>
      <c r="E422" s="16" t="str">
        <v/>
      </c>
      <c r="F422" s="15" t="str">
        <v/>
      </c>
      <c r="G422" s="20" t="str" cm="1">
        <f t="array" ref="G422">IF(TRIM(P422)="","",IF(SUM(COUNTIF(P422,{"*NLGD*","*FWG*"}))&gt;0,P422,IF(SUM(COUNTIF(P422,{"*GL*","*DGB*","*DGI*","*GT*","*CS*","*PWU*","*DBI*","*SWU*"}))=0,P422,IF(IFERROR(VALUE(SUBSTITUTE(SUBSTITUTE(O422,"W",""),"""","")),0)&gt;52,P422&amp;"-OVRSIZE-",P422))))</f>
        <v/>
      </c>
      <c r="H422" s="15" t="str">
        <v/>
      </c>
      <c r="I422" s="15" t="str">
        <v/>
      </c>
      <c r="J422" s="15" t="str">
        <v/>
      </c>
      <c r="K422" s="15" t="str">
        <v/>
      </c>
      <c r="L422" s="15" t="str">
        <v/>
      </c>
      <c r="M422" s="10" t="str">
        <v/>
      </c>
      <c r="N422" s="14"/>
      <c r="O422" s="15" t="str" cm="1">
        <f t="array" ref="O422">IFERROR(_xlfn.LET(
_xlpm.clean,TRIM(SUBSTITUTE(SUBSTITUTE(P422,CHAR(160),"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2" s="15"/>
      <c r="R422" t="str">
        <v/>
      </c>
      <c r="S422" t="str">
        <f t="shared" si="7"/>
        <v/>
      </c>
    </row>
    <row r="423" spans="1:19" ht="12.75">
      <c r="A423" s="15" t="str">
        <v/>
      </c>
      <c r="B423" s="15" t="str">
        <v/>
      </c>
      <c r="C423" s="15" t="str" cm="1">
        <f t="array" ref="C423">IFERROR(_xlfn.TEXTJOIN("",TRUE,_xlfn._xlws.FILTER(MID(S423,_xlfn.SEQUENCE(LEN(S423)),1),ISNUMBER(SEARCH(MID(S423,_xlfn.SEQUENCE(LEN(S423)),1),"ABCDEFGHIJKLMNOPQRSTUVWXYZabcdefghijklmnopqrstuvwxyz0123456789,")))),"")</f>
        <v/>
      </c>
      <c r="D423" s="15" t="str">
        <v/>
      </c>
      <c r="E423" s="16" t="str">
        <v/>
      </c>
      <c r="F423" s="15" t="str">
        <v/>
      </c>
      <c r="G423" s="20" t="str" cm="1">
        <f t="array" ref="G423">IF(TRIM(P423)="","",IF(SUM(COUNTIF(P423,{"*NLGD*","*FWG*"}))&gt;0,P423,IF(SUM(COUNTIF(P423,{"*GL*","*DGB*","*DGI*","*GT*","*CS*","*PWU*","*DBI*","*SWU*"}))=0,P423,IF(IFERROR(VALUE(SUBSTITUTE(SUBSTITUTE(O423,"W",""),"""","")),0)&gt;52,P423&amp;"-OVRSIZE-",P423))))</f>
        <v/>
      </c>
      <c r="H423" s="15" t="str">
        <v/>
      </c>
      <c r="I423" s="15" t="str">
        <v/>
      </c>
      <c r="J423" s="15" t="str">
        <v/>
      </c>
      <c r="K423" s="15" t="str">
        <v/>
      </c>
      <c r="L423" s="15" t="str">
        <v/>
      </c>
      <c r="M423" s="10" t="str">
        <v/>
      </c>
      <c r="N423" s="14"/>
      <c r="O423" s="15" t="str" cm="1">
        <f t="array" ref="O423">IFERROR(_xlfn.LET(
_xlpm.clean,TRIM(SUBSTITUTE(SUBSTITUTE(P423,CHAR(160),"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3" s="15"/>
      <c r="R423" t="str">
        <v/>
      </c>
      <c r="S423" t="str">
        <f t="shared" si="7"/>
        <v/>
      </c>
    </row>
    <row r="424" spans="1:19" ht="12.75">
      <c r="A424" s="15" t="str">
        <v/>
      </c>
      <c r="B424" s="15" t="str">
        <v/>
      </c>
      <c r="C424" s="15" t="str" cm="1">
        <f t="array" ref="C424">IFERROR(_xlfn.TEXTJOIN("",TRUE,_xlfn._xlws.FILTER(MID(S424,_xlfn.SEQUENCE(LEN(S424)),1),ISNUMBER(SEARCH(MID(S424,_xlfn.SEQUENCE(LEN(S424)),1),"ABCDEFGHIJKLMNOPQRSTUVWXYZabcdefghijklmnopqrstuvwxyz0123456789,")))),"")</f>
        <v/>
      </c>
      <c r="D424" s="15" t="str">
        <v/>
      </c>
      <c r="E424" s="16" t="str">
        <v/>
      </c>
      <c r="F424" s="15" t="str">
        <v/>
      </c>
      <c r="G424" s="20" t="str" cm="1">
        <f t="array" ref="G424">IF(TRIM(P424)="","",IF(SUM(COUNTIF(P424,{"*NLGD*","*FWG*"}))&gt;0,P424,IF(SUM(COUNTIF(P424,{"*GL*","*DGB*","*DGI*","*GT*","*CS*","*PWU*","*DBI*","*SWU*"}))=0,P424,IF(IFERROR(VALUE(SUBSTITUTE(SUBSTITUTE(O424,"W",""),"""","")),0)&gt;52,P424&amp;"-OVRSIZE-",P424))))</f>
        <v/>
      </c>
      <c r="H424" s="15" t="str">
        <v/>
      </c>
      <c r="I424" s="15" t="str">
        <v/>
      </c>
      <c r="J424" s="15" t="str">
        <v/>
      </c>
      <c r="K424" s="15" t="str">
        <v/>
      </c>
      <c r="L424" s="15" t="str">
        <v/>
      </c>
      <c r="M424" s="10" t="str">
        <v/>
      </c>
      <c r="N424" s="14"/>
      <c r="O424" s="15" t="str" cm="1">
        <f t="array" ref="O424">IFERROR(_xlfn.LET(
_xlpm.clean,TRIM(SUBSTITUTE(SUBSTITUTE(P424,CHAR(160),"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4" s="15"/>
      <c r="R424" t="str">
        <v/>
      </c>
      <c r="S424" t="str">
        <f t="shared" si="7"/>
        <v/>
      </c>
    </row>
    <row r="425" spans="1:19" ht="12.75">
      <c r="A425" s="15" t="str">
        <v/>
      </c>
      <c r="B425" s="15" t="str">
        <v/>
      </c>
      <c r="C425" s="15" t="str" cm="1">
        <f t="array" ref="C425">IFERROR(_xlfn.TEXTJOIN("",TRUE,_xlfn._xlws.FILTER(MID(S425,_xlfn.SEQUENCE(LEN(S425)),1),ISNUMBER(SEARCH(MID(S425,_xlfn.SEQUENCE(LEN(S425)),1),"ABCDEFGHIJKLMNOPQRSTUVWXYZabcdefghijklmnopqrstuvwxyz0123456789,")))),"")</f>
        <v/>
      </c>
      <c r="D425" s="15" t="str">
        <v/>
      </c>
      <c r="E425" s="16" t="str">
        <v/>
      </c>
      <c r="F425" s="15" t="str">
        <v/>
      </c>
      <c r="G425" s="20" t="str" cm="1">
        <f t="array" ref="G425">IF(TRIM(P425)="","",IF(SUM(COUNTIF(P425,{"*NLGD*","*FWG*"}))&gt;0,P425,IF(SUM(COUNTIF(P425,{"*GL*","*DGB*","*DGI*","*GT*","*CS*","*PWU*","*DBI*","*SWU*"}))=0,P425,IF(IFERROR(VALUE(SUBSTITUTE(SUBSTITUTE(O425,"W",""),"""","")),0)&gt;52,P425&amp;"-OVRSIZE-",P425))))</f>
        <v/>
      </c>
      <c r="H425" s="15" t="str">
        <v/>
      </c>
      <c r="I425" s="15" t="str">
        <v/>
      </c>
      <c r="J425" s="15" t="str">
        <v/>
      </c>
      <c r="K425" s="15" t="str">
        <v/>
      </c>
      <c r="L425" s="15" t="str">
        <v/>
      </c>
      <c r="M425" s="10" t="str">
        <v/>
      </c>
      <c r="N425" s="14"/>
      <c r="O425" s="15" t="str" cm="1">
        <f t="array" ref="O425">IFERROR(_xlfn.LET(
_xlpm.clean,TRIM(SUBSTITUTE(SUBSTITUTE(P425,CHAR(160),"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5" s="15"/>
      <c r="R425" t="str">
        <v/>
      </c>
      <c r="S425" t="str">
        <f t="shared" si="7"/>
        <v/>
      </c>
    </row>
    <row r="426" spans="1:19" ht="12.75">
      <c r="A426" s="15" t="str">
        <v/>
      </c>
      <c r="B426" s="15" t="str">
        <v/>
      </c>
      <c r="C426" s="15" t="str" cm="1">
        <f t="array" ref="C426">IFERROR(_xlfn.TEXTJOIN("",TRUE,_xlfn._xlws.FILTER(MID(S426,_xlfn.SEQUENCE(LEN(S426)),1),ISNUMBER(SEARCH(MID(S426,_xlfn.SEQUENCE(LEN(S426)),1),"ABCDEFGHIJKLMNOPQRSTUVWXYZabcdefghijklmnopqrstuvwxyz0123456789,")))),"")</f>
        <v/>
      </c>
      <c r="D426" s="15" t="str">
        <v/>
      </c>
      <c r="E426" s="16" t="str">
        <v/>
      </c>
      <c r="F426" s="15" t="str">
        <v/>
      </c>
      <c r="G426" s="20" t="str" cm="1">
        <f t="array" ref="G426">IF(TRIM(P426)="","",IF(SUM(COUNTIF(P426,{"*NLGD*","*FWG*"}))&gt;0,P426,IF(SUM(COUNTIF(P426,{"*GL*","*DGB*","*DGI*","*GT*","*CS*","*PWU*","*DBI*","*SWU*"}))=0,P426,IF(IFERROR(VALUE(SUBSTITUTE(SUBSTITUTE(O426,"W",""),"""","")),0)&gt;52,P426&amp;"-OVRSIZE-",P426))))</f>
        <v/>
      </c>
      <c r="H426" s="15" t="str">
        <v/>
      </c>
      <c r="I426" s="15" t="str">
        <v/>
      </c>
      <c r="J426" s="15" t="str">
        <v/>
      </c>
      <c r="K426" s="15" t="str">
        <v/>
      </c>
      <c r="L426" s="15" t="str">
        <v/>
      </c>
      <c r="M426" s="10" t="str">
        <v/>
      </c>
      <c r="N426" s="14"/>
      <c r="O426" s="15" t="str" cm="1">
        <f t="array" ref="O426">IFERROR(_xlfn.LET(
_xlpm.clean,TRIM(SUBSTITUTE(SUBSTITUTE(P426,CHAR(160),"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6" s="15"/>
      <c r="R426" t="str">
        <v/>
      </c>
      <c r="S426" t="str">
        <f t="shared" si="7"/>
        <v/>
      </c>
    </row>
    <row r="427" spans="1:19" ht="12.75">
      <c r="A427" s="15" t="str">
        <v/>
      </c>
      <c r="B427" s="15" t="str">
        <v/>
      </c>
      <c r="C427" s="15" t="str" cm="1">
        <f t="array" ref="C427">IFERROR(_xlfn.TEXTJOIN("",TRUE,_xlfn._xlws.FILTER(MID(S427,_xlfn.SEQUENCE(LEN(S427)),1),ISNUMBER(SEARCH(MID(S427,_xlfn.SEQUENCE(LEN(S427)),1),"ABCDEFGHIJKLMNOPQRSTUVWXYZabcdefghijklmnopqrstuvwxyz0123456789,")))),"")</f>
        <v/>
      </c>
      <c r="D427" s="15" t="str">
        <v/>
      </c>
      <c r="E427" s="16" t="str">
        <v/>
      </c>
      <c r="F427" s="15" t="str">
        <v/>
      </c>
      <c r="G427" s="20" t="str" cm="1">
        <f t="array" ref="G427">IF(TRIM(P427)="","",IF(SUM(COUNTIF(P427,{"*NLGD*","*FWG*"}))&gt;0,P427,IF(SUM(COUNTIF(P427,{"*GL*","*DGB*","*DGI*","*GT*","*CS*","*PWU*","*DBI*","*SWU*"}))=0,P427,IF(IFERROR(VALUE(SUBSTITUTE(SUBSTITUTE(O427,"W",""),"""","")),0)&gt;52,P427&amp;"-OVRSIZE-",P427))))</f>
        <v/>
      </c>
      <c r="H427" s="15" t="str">
        <v/>
      </c>
      <c r="I427" s="15" t="str">
        <v/>
      </c>
      <c r="J427" s="15" t="str">
        <v/>
      </c>
      <c r="K427" s="15" t="str">
        <v/>
      </c>
      <c r="L427" s="15" t="str">
        <v/>
      </c>
      <c r="M427" s="10" t="str">
        <v/>
      </c>
      <c r="N427" s="14"/>
      <c r="O427" s="15" t="str" cm="1">
        <f t="array" ref="O427">IFERROR(_xlfn.LET(
_xlpm.clean,TRIM(SUBSTITUTE(SUBSTITUTE(P427,CHAR(160),"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7" s="15"/>
      <c r="R427" t="str">
        <v/>
      </c>
      <c r="S427" t="str">
        <f t="shared" si="7"/>
        <v/>
      </c>
    </row>
    <row r="428" spans="1:19" ht="12.75">
      <c r="A428" s="15" t="str">
        <v/>
      </c>
      <c r="B428" s="15" t="str">
        <v/>
      </c>
      <c r="C428" s="15" t="str" cm="1">
        <f t="array" ref="C428">IFERROR(_xlfn.TEXTJOIN("",TRUE,_xlfn._xlws.FILTER(MID(S428,_xlfn.SEQUENCE(LEN(S428)),1),ISNUMBER(SEARCH(MID(S428,_xlfn.SEQUENCE(LEN(S428)),1),"ABCDEFGHIJKLMNOPQRSTUVWXYZabcdefghijklmnopqrstuvwxyz0123456789,")))),"")</f>
        <v/>
      </c>
      <c r="D428" s="15" t="str">
        <v/>
      </c>
      <c r="E428" s="16" t="str">
        <v/>
      </c>
      <c r="F428" s="15" t="str">
        <v/>
      </c>
      <c r="G428" s="20" t="str" cm="1">
        <f t="array" ref="G428">IF(TRIM(P428)="","",IF(SUM(COUNTIF(P428,{"*NLGD*","*FWG*"}))&gt;0,P428,IF(SUM(COUNTIF(P428,{"*GL*","*DGB*","*DGI*","*GT*","*CS*","*PWU*","*DBI*","*SWU*"}))=0,P428,IF(IFERROR(VALUE(SUBSTITUTE(SUBSTITUTE(O428,"W",""),"""","")),0)&gt;52,P428&amp;"-OVRSIZE-",P428))))</f>
        <v/>
      </c>
      <c r="H428" s="15" t="str">
        <v/>
      </c>
      <c r="I428" s="15" t="str">
        <v/>
      </c>
      <c r="J428" s="15" t="str">
        <v/>
      </c>
      <c r="K428" s="15" t="str">
        <v/>
      </c>
      <c r="L428" s="15" t="str">
        <v/>
      </c>
      <c r="M428" s="10" t="str">
        <v/>
      </c>
      <c r="N428" s="14"/>
      <c r="O428" s="15" t="str" cm="1">
        <f t="array" ref="O428">IFERROR(_xlfn.LET(
_xlpm.clean,TRIM(SUBSTITUTE(SUBSTITUTE(P428,CHAR(160),"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8" s="15"/>
      <c r="R428" t="str">
        <v/>
      </c>
      <c r="S428" t="str">
        <f t="shared" si="7"/>
        <v/>
      </c>
    </row>
    <row r="429" spans="1:19" ht="12.75">
      <c r="A429" s="15" t="str">
        <v/>
      </c>
      <c r="B429" s="15" t="str">
        <v/>
      </c>
      <c r="C429" s="15" t="str" cm="1">
        <f t="array" ref="C429">IFERROR(_xlfn.TEXTJOIN("",TRUE,_xlfn._xlws.FILTER(MID(S429,_xlfn.SEQUENCE(LEN(S429)),1),ISNUMBER(SEARCH(MID(S429,_xlfn.SEQUENCE(LEN(S429)),1),"ABCDEFGHIJKLMNOPQRSTUVWXYZabcdefghijklmnopqrstuvwxyz0123456789,")))),"")</f>
        <v/>
      </c>
      <c r="D429" s="15" t="str">
        <v/>
      </c>
      <c r="E429" s="16" t="str">
        <v/>
      </c>
      <c r="F429" s="15" t="str">
        <v/>
      </c>
      <c r="G429" s="20" t="str" cm="1">
        <f t="array" ref="G429">IF(TRIM(P429)="","",IF(SUM(COUNTIF(P429,{"*NLGD*","*FWG*"}))&gt;0,P429,IF(SUM(COUNTIF(P429,{"*GL*","*DGB*","*DGI*","*GT*","*CS*","*PWU*","*DBI*","*SWU*"}))=0,P429,IF(IFERROR(VALUE(SUBSTITUTE(SUBSTITUTE(O429,"W",""),"""","")),0)&gt;52,P429&amp;"-OVRSIZE-",P429))))</f>
        <v/>
      </c>
      <c r="H429" s="15" t="str">
        <v/>
      </c>
      <c r="I429" s="15" t="str">
        <v/>
      </c>
      <c r="J429" s="15" t="str">
        <v/>
      </c>
      <c r="K429" s="15" t="str">
        <v/>
      </c>
      <c r="L429" s="15" t="str">
        <v/>
      </c>
      <c r="M429" s="10" t="str">
        <v/>
      </c>
      <c r="N429" s="14"/>
      <c r="O429" s="15" t="str" cm="1">
        <f t="array" ref="O429">IFERROR(_xlfn.LET(
_xlpm.clean,TRIM(SUBSTITUTE(SUBSTITUTE(P429,CHAR(160),"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9" s="15"/>
      <c r="R429" t="str">
        <v/>
      </c>
      <c r="S429" t="str">
        <f t="shared" si="7"/>
        <v/>
      </c>
    </row>
    <row r="430" spans="1:19" ht="12.75">
      <c r="A430" s="15" t="str">
        <v/>
      </c>
      <c r="B430" s="15" t="str">
        <v/>
      </c>
      <c r="C430" s="15" t="str" cm="1">
        <f t="array" ref="C430">IFERROR(_xlfn.TEXTJOIN("",TRUE,_xlfn._xlws.FILTER(MID(S430,_xlfn.SEQUENCE(LEN(S430)),1),ISNUMBER(SEARCH(MID(S430,_xlfn.SEQUENCE(LEN(S430)),1),"ABCDEFGHIJKLMNOPQRSTUVWXYZabcdefghijklmnopqrstuvwxyz0123456789,")))),"")</f>
        <v/>
      </c>
      <c r="D430" s="15" t="str">
        <v/>
      </c>
      <c r="E430" s="16" t="str">
        <v/>
      </c>
      <c r="F430" s="15" t="str">
        <v/>
      </c>
      <c r="G430" s="20" t="str" cm="1">
        <f t="array" ref="G430">IF(TRIM(P430)="","",IF(SUM(COUNTIF(P430,{"*NLGD*","*FWG*"}))&gt;0,P430,IF(SUM(COUNTIF(P430,{"*GL*","*DGB*","*DGI*","*GT*","*CS*","*PWU*","*DBI*","*SWU*"}))=0,P430,IF(IFERROR(VALUE(SUBSTITUTE(SUBSTITUTE(O430,"W",""),"""","")),0)&gt;52,P430&amp;"-OVRSIZE-",P430))))</f>
        <v/>
      </c>
      <c r="H430" s="15" t="str">
        <v/>
      </c>
      <c r="I430" s="15" t="str">
        <v/>
      </c>
      <c r="J430" s="15" t="str">
        <v/>
      </c>
      <c r="K430" s="15" t="str">
        <v/>
      </c>
      <c r="L430" s="15" t="str">
        <v/>
      </c>
      <c r="M430" s="10" t="str">
        <v/>
      </c>
      <c r="N430" s="14"/>
      <c r="O430" s="15" t="str" cm="1">
        <f t="array" ref="O430">IFERROR(_xlfn.LET(
_xlpm.clean,TRIM(SUBSTITUTE(SUBSTITUTE(P430,CHAR(160),"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0" s="15"/>
      <c r="R430" t="str">
        <v/>
      </c>
      <c r="S430" t="str">
        <f t="shared" si="7"/>
        <v/>
      </c>
    </row>
    <row r="431" spans="1:19" ht="12.75">
      <c r="A431" s="15" t="str">
        <v/>
      </c>
      <c r="B431" s="15" t="str">
        <v/>
      </c>
      <c r="C431" s="15" t="str" cm="1">
        <f t="array" ref="C431">IFERROR(_xlfn.TEXTJOIN("",TRUE,_xlfn._xlws.FILTER(MID(S431,_xlfn.SEQUENCE(LEN(S431)),1),ISNUMBER(SEARCH(MID(S431,_xlfn.SEQUENCE(LEN(S431)),1),"ABCDEFGHIJKLMNOPQRSTUVWXYZabcdefghijklmnopqrstuvwxyz0123456789,")))),"")</f>
        <v/>
      </c>
      <c r="D431" s="15" t="str">
        <v/>
      </c>
      <c r="E431" s="16" t="str">
        <v/>
      </c>
      <c r="F431" s="15" t="str">
        <v/>
      </c>
      <c r="G431" s="20" t="str" cm="1">
        <f t="array" ref="G431">IF(TRIM(P431)="","",IF(SUM(COUNTIF(P431,{"*NLGD*","*FWG*"}))&gt;0,P431,IF(SUM(COUNTIF(P431,{"*GL*","*DGB*","*DGI*","*GT*","*CS*","*PWU*","*DBI*","*SWU*"}))=0,P431,IF(IFERROR(VALUE(SUBSTITUTE(SUBSTITUTE(O431,"W",""),"""","")),0)&gt;52,P431&amp;"-OVRSIZE-",P431))))</f>
        <v/>
      </c>
      <c r="H431" s="15" t="str">
        <v/>
      </c>
      <c r="I431" s="15" t="str">
        <v/>
      </c>
      <c r="J431" s="15" t="str">
        <v/>
      </c>
      <c r="K431" s="15" t="str">
        <v/>
      </c>
      <c r="L431" s="15" t="str">
        <v/>
      </c>
      <c r="M431" s="10" t="str">
        <v/>
      </c>
      <c r="N431" s="14"/>
      <c r="O431" s="15" t="str" cm="1">
        <f t="array" ref="O431">IFERROR(_xlfn.LET(
_xlpm.clean,TRIM(SUBSTITUTE(SUBSTITUTE(P431,CHAR(160),"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1" s="15"/>
      <c r="R431" t="str">
        <v/>
      </c>
      <c r="S431" t="str">
        <f t="shared" si="7"/>
        <v/>
      </c>
    </row>
    <row r="432" spans="1:19" ht="12.75">
      <c r="A432" s="15" t="str">
        <v/>
      </c>
      <c r="B432" s="15" t="str">
        <v/>
      </c>
      <c r="C432" s="15" t="str" cm="1">
        <f t="array" ref="C432">IFERROR(_xlfn.TEXTJOIN("",TRUE,_xlfn._xlws.FILTER(MID(S432,_xlfn.SEQUENCE(LEN(S432)),1),ISNUMBER(SEARCH(MID(S432,_xlfn.SEQUENCE(LEN(S432)),1),"ABCDEFGHIJKLMNOPQRSTUVWXYZabcdefghijklmnopqrstuvwxyz0123456789,")))),"")</f>
        <v/>
      </c>
      <c r="D432" s="15" t="str">
        <v/>
      </c>
      <c r="E432" s="16" t="str">
        <v/>
      </c>
      <c r="F432" s="15" t="str">
        <v/>
      </c>
      <c r="G432" s="20" t="str" cm="1">
        <f t="array" ref="G432">IF(TRIM(P432)="","",IF(SUM(COUNTIF(P432,{"*NLGD*","*FWG*"}))&gt;0,P432,IF(SUM(COUNTIF(P432,{"*GL*","*DGB*","*DGI*","*GT*","*CS*","*PWU*","*DBI*","*SWU*"}))=0,P432,IF(IFERROR(VALUE(SUBSTITUTE(SUBSTITUTE(O432,"W",""),"""","")),0)&gt;52,P432&amp;"-OVRSIZE-",P432))))</f>
        <v/>
      </c>
      <c r="H432" s="15" t="str">
        <v/>
      </c>
      <c r="I432" s="15" t="str">
        <v/>
      </c>
      <c r="J432" s="15" t="str">
        <v/>
      </c>
      <c r="K432" s="15" t="str">
        <v/>
      </c>
      <c r="L432" s="15" t="str">
        <v/>
      </c>
      <c r="M432" s="10" t="str">
        <v/>
      </c>
      <c r="N432" s="14"/>
      <c r="O432" s="15" t="str" cm="1">
        <f t="array" ref="O432">IFERROR(_xlfn.LET(
_xlpm.clean,TRIM(SUBSTITUTE(SUBSTITUTE(P432,CHAR(160),"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2" s="15"/>
      <c r="R432" t="str">
        <v/>
      </c>
      <c r="S432" t="str">
        <f t="shared" si="7"/>
        <v/>
      </c>
    </row>
    <row r="433" spans="1:19" ht="12.75">
      <c r="A433" s="15" t="str">
        <v/>
      </c>
      <c r="B433" s="15" t="str">
        <v/>
      </c>
      <c r="C433" s="15" t="str" cm="1">
        <f t="array" ref="C433">IFERROR(_xlfn.TEXTJOIN("",TRUE,_xlfn._xlws.FILTER(MID(S433,_xlfn.SEQUENCE(LEN(S433)),1),ISNUMBER(SEARCH(MID(S433,_xlfn.SEQUENCE(LEN(S433)),1),"ABCDEFGHIJKLMNOPQRSTUVWXYZabcdefghijklmnopqrstuvwxyz0123456789,")))),"")</f>
        <v/>
      </c>
      <c r="D433" s="15" t="str">
        <v/>
      </c>
      <c r="E433" s="16" t="str">
        <v/>
      </c>
      <c r="F433" s="15" t="str">
        <v/>
      </c>
      <c r="G433" s="20" t="str" cm="1">
        <f t="array" ref="G433">IF(TRIM(P433)="","",IF(SUM(COUNTIF(P433,{"*NLGD*","*FWG*"}))&gt;0,P433,IF(SUM(COUNTIF(P433,{"*GL*","*DGB*","*DGI*","*GT*","*CS*","*PWU*","*DBI*","*SWU*"}))=0,P433,IF(IFERROR(VALUE(SUBSTITUTE(SUBSTITUTE(O433,"W",""),"""","")),0)&gt;52,P433&amp;"-OVRSIZE-",P433))))</f>
        <v/>
      </c>
      <c r="H433" s="15" t="str">
        <v/>
      </c>
      <c r="I433" s="15" t="str">
        <v/>
      </c>
      <c r="J433" s="15" t="str">
        <v/>
      </c>
      <c r="K433" s="15" t="str">
        <v/>
      </c>
      <c r="L433" s="15" t="str">
        <v/>
      </c>
      <c r="M433" s="10" t="str">
        <v/>
      </c>
      <c r="N433" s="14"/>
      <c r="O433" s="15" t="str" cm="1">
        <f t="array" ref="O433">IFERROR(_xlfn.LET(
_xlpm.clean,TRIM(SUBSTITUTE(SUBSTITUTE(P433,CHAR(160),"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3" s="15"/>
      <c r="R433" t="str">
        <v/>
      </c>
      <c r="S433" t="str">
        <f t="shared" si="7"/>
        <v/>
      </c>
    </row>
    <row r="434" spans="1:19" ht="12.75">
      <c r="A434" s="15" t="str">
        <v/>
      </c>
      <c r="B434" s="15" t="str">
        <v/>
      </c>
      <c r="C434" s="15" t="str" cm="1">
        <f t="array" ref="C434">IFERROR(_xlfn.TEXTJOIN("",TRUE,_xlfn._xlws.FILTER(MID(S434,_xlfn.SEQUENCE(LEN(S434)),1),ISNUMBER(SEARCH(MID(S434,_xlfn.SEQUENCE(LEN(S434)),1),"ABCDEFGHIJKLMNOPQRSTUVWXYZabcdefghijklmnopqrstuvwxyz0123456789,")))),"")</f>
        <v/>
      </c>
      <c r="D434" s="15" t="str">
        <v/>
      </c>
      <c r="E434" s="16" t="str">
        <v/>
      </c>
      <c r="F434" s="15" t="str">
        <v/>
      </c>
      <c r="G434" s="20" t="str" cm="1">
        <f t="array" ref="G434">IF(TRIM(P434)="","",IF(SUM(COUNTIF(P434,{"*NLGD*","*FWG*"}))&gt;0,P434,IF(SUM(COUNTIF(P434,{"*GL*","*DGB*","*DGI*","*GT*","*CS*","*PWU*","*DBI*","*SWU*"}))=0,P434,IF(IFERROR(VALUE(SUBSTITUTE(SUBSTITUTE(O434,"W",""),"""","")),0)&gt;52,P434&amp;"-OVRSIZE-",P434))))</f>
        <v/>
      </c>
      <c r="H434" s="15" t="str">
        <v/>
      </c>
      <c r="I434" s="15" t="str">
        <v/>
      </c>
      <c r="J434" s="15" t="str">
        <v/>
      </c>
      <c r="K434" s="15" t="str">
        <v/>
      </c>
      <c r="L434" s="15" t="str">
        <v/>
      </c>
      <c r="M434" s="10" t="str">
        <v/>
      </c>
      <c r="N434" s="14"/>
      <c r="O434" s="15" t="str" cm="1">
        <f t="array" ref="O434">IFERROR(_xlfn.LET(
_xlpm.clean,TRIM(SUBSTITUTE(SUBSTITUTE(P434,CHAR(160),"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4" s="15"/>
      <c r="R434" t="str">
        <v/>
      </c>
      <c r="S434" t="str">
        <f t="shared" si="7"/>
        <v/>
      </c>
    </row>
    <row r="435" spans="1:19" ht="12.75">
      <c r="A435" s="15" t="str">
        <v/>
      </c>
      <c r="B435" s="15" t="str">
        <v/>
      </c>
      <c r="C435" s="15" t="str" cm="1">
        <f t="array" ref="C435">IFERROR(_xlfn.TEXTJOIN("",TRUE,_xlfn._xlws.FILTER(MID(S435,_xlfn.SEQUENCE(LEN(S435)),1),ISNUMBER(SEARCH(MID(S435,_xlfn.SEQUENCE(LEN(S435)),1),"ABCDEFGHIJKLMNOPQRSTUVWXYZabcdefghijklmnopqrstuvwxyz0123456789,")))),"")</f>
        <v/>
      </c>
      <c r="D435" s="15" t="str">
        <v/>
      </c>
      <c r="E435" s="16" t="str">
        <v/>
      </c>
      <c r="F435" s="15" t="str">
        <v/>
      </c>
      <c r="G435" s="20" t="str" cm="1">
        <f t="array" ref="G435">IF(TRIM(P435)="","",IF(SUM(COUNTIF(P435,{"*NLGD*","*FWG*"}))&gt;0,P435,IF(SUM(COUNTIF(P435,{"*GL*","*DGB*","*DGI*","*GT*","*CS*","*PWU*","*DBI*","*SWU*"}))=0,P435,IF(IFERROR(VALUE(SUBSTITUTE(SUBSTITUTE(O435,"W",""),"""","")),0)&gt;52,P435&amp;"-OVRSIZE-",P435))))</f>
        <v/>
      </c>
      <c r="H435" s="15" t="str">
        <v/>
      </c>
      <c r="I435" s="15" t="str">
        <v/>
      </c>
      <c r="J435" s="15" t="str">
        <v/>
      </c>
      <c r="K435" s="15" t="str">
        <v/>
      </c>
      <c r="L435" s="15" t="str">
        <v/>
      </c>
      <c r="M435" s="10" t="str">
        <v/>
      </c>
      <c r="N435" s="14"/>
      <c r="O435" s="15" t="str" cm="1">
        <f t="array" ref="O435">IFERROR(_xlfn.LET(
_xlpm.clean,TRIM(SUBSTITUTE(SUBSTITUTE(P435,CHAR(160),"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5" s="15"/>
      <c r="R435" t="str">
        <v/>
      </c>
      <c r="S435" t="str">
        <f t="shared" si="7"/>
        <v/>
      </c>
    </row>
    <row r="436" spans="1:19" ht="12.75">
      <c r="A436" s="15" t="str">
        <v/>
      </c>
      <c r="B436" s="15" t="str">
        <v/>
      </c>
      <c r="C436" s="15" t="str" cm="1">
        <f t="array" ref="C436">IFERROR(_xlfn.TEXTJOIN("",TRUE,_xlfn._xlws.FILTER(MID(S436,_xlfn.SEQUENCE(LEN(S436)),1),ISNUMBER(SEARCH(MID(S436,_xlfn.SEQUENCE(LEN(S436)),1),"ABCDEFGHIJKLMNOPQRSTUVWXYZabcdefghijklmnopqrstuvwxyz0123456789,")))),"")</f>
        <v/>
      </c>
      <c r="D436" s="15" t="str">
        <v/>
      </c>
      <c r="E436" s="16" t="str">
        <v/>
      </c>
      <c r="F436" s="15" t="str">
        <v/>
      </c>
      <c r="G436" s="20" t="str" cm="1">
        <f t="array" ref="G436">IF(TRIM(P436)="","",IF(SUM(COUNTIF(P436,{"*NLGD*","*FWG*"}))&gt;0,P436,IF(SUM(COUNTIF(P436,{"*GL*","*DGB*","*DGI*","*GT*","*CS*","*PWU*","*DBI*","*SWU*"}))=0,P436,IF(IFERROR(VALUE(SUBSTITUTE(SUBSTITUTE(O436,"W",""),"""","")),0)&gt;52,P436&amp;"-OVRSIZE-",P436))))</f>
        <v/>
      </c>
      <c r="H436" s="15" t="str">
        <v/>
      </c>
      <c r="I436" s="15" t="str">
        <v/>
      </c>
      <c r="J436" s="15" t="str">
        <v/>
      </c>
      <c r="K436" s="15" t="str">
        <v/>
      </c>
      <c r="L436" s="15" t="str">
        <v/>
      </c>
      <c r="M436" s="10" t="str">
        <v/>
      </c>
      <c r="N436" s="14"/>
      <c r="O436" s="15" t="str" cm="1">
        <f t="array" ref="O436">IFERROR(_xlfn.LET(
_xlpm.clean,TRIM(SUBSTITUTE(SUBSTITUTE(P436,CHAR(160),"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6" s="15"/>
      <c r="R436" t="str">
        <v/>
      </c>
      <c r="S436" t="str">
        <f t="shared" si="7"/>
        <v/>
      </c>
    </row>
    <row r="437" spans="1:19" ht="12.75">
      <c r="A437" s="15" t="str">
        <v/>
      </c>
      <c r="B437" s="15" t="str">
        <v/>
      </c>
      <c r="C437" s="15" t="str" cm="1">
        <f t="array" ref="C437">IFERROR(_xlfn.TEXTJOIN("",TRUE,_xlfn._xlws.FILTER(MID(S437,_xlfn.SEQUENCE(LEN(S437)),1),ISNUMBER(SEARCH(MID(S437,_xlfn.SEQUENCE(LEN(S437)),1),"ABCDEFGHIJKLMNOPQRSTUVWXYZabcdefghijklmnopqrstuvwxyz0123456789,")))),"")</f>
        <v/>
      </c>
      <c r="D437" s="15" t="str">
        <v/>
      </c>
      <c r="E437" s="16" t="str">
        <v/>
      </c>
      <c r="F437" s="15" t="str">
        <v/>
      </c>
      <c r="G437" s="20" t="str" cm="1">
        <f t="array" ref="G437">IF(TRIM(P437)="","",IF(SUM(COUNTIF(P437,{"*NLGD*","*FWG*"}))&gt;0,P437,IF(SUM(COUNTIF(P437,{"*GL*","*DGB*","*DGI*","*GT*","*CS*","*PWU*","*DBI*","*SWU*"}))=0,P437,IF(IFERROR(VALUE(SUBSTITUTE(SUBSTITUTE(O437,"W",""),"""","")),0)&gt;52,P437&amp;"-OVRSIZE-",P437))))</f>
        <v/>
      </c>
      <c r="H437" s="15" t="str">
        <v/>
      </c>
      <c r="I437" s="15" t="str">
        <v/>
      </c>
      <c r="J437" s="15" t="str">
        <v/>
      </c>
      <c r="K437" s="15" t="str">
        <v/>
      </c>
      <c r="L437" s="15" t="str">
        <v/>
      </c>
      <c r="M437" s="10" t="str">
        <v/>
      </c>
      <c r="N437" s="14"/>
      <c r="O437" s="15" t="str" cm="1">
        <f t="array" ref="O437">IFERROR(_xlfn.LET(
_xlpm.clean,TRIM(SUBSTITUTE(SUBSTITUTE(P437,CHAR(160),"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7" s="15"/>
      <c r="R437" t="str">
        <v/>
      </c>
      <c r="S437" t="str">
        <f t="shared" si="7"/>
        <v/>
      </c>
    </row>
    <row r="438" spans="1:19" ht="12.75">
      <c r="A438" s="15" t="str">
        <v/>
      </c>
      <c r="B438" s="15" t="str">
        <v/>
      </c>
      <c r="C438" s="15" t="str" cm="1">
        <f t="array" ref="C438">IFERROR(_xlfn.TEXTJOIN("",TRUE,_xlfn._xlws.FILTER(MID(S438,_xlfn.SEQUENCE(LEN(S438)),1),ISNUMBER(SEARCH(MID(S438,_xlfn.SEQUENCE(LEN(S438)),1),"ABCDEFGHIJKLMNOPQRSTUVWXYZabcdefghijklmnopqrstuvwxyz0123456789,")))),"")</f>
        <v/>
      </c>
      <c r="D438" s="15" t="str">
        <v/>
      </c>
      <c r="E438" s="16" t="str">
        <v/>
      </c>
      <c r="F438" s="15" t="str">
        <v/>
      </c>
      <c r="G438" s="20" t="str" cm="1">
        <f t="array" ref="G438">IF(TRIM(P438)="","",IF(SUM(COUNTIF(P438,{"*NLGD*","*FWG*"}))&gt;0,P438,IF(SUM(COUNTIF(P438,{"*GL*","*DGB*","*DGI*","*GT*","*CS*","*PWU*","*DBI*","*SWU*"}))=0,P438,IF(IFERROR(VALUE(SUBSTITUTE(SUBSTITUTE(O438,"W",""),"""","")),0)&gt;52,P438&amp;"-OVRSIZE-",P438))))</f>
        <v/>
      </c>
      <c r="H438" s="15" t="str">
        <v/>
      </c>
      <c r="I438" s="15" t="str">
        <v/>
      </c>
      <c r="J438" s="15" t="str">
        <v/>
      </c>
      <c r="K438" s="15" t="str">
        <v/>
      </c>
      <c r="L438" s="15" t="str">
        <v/>
      </c>
      <c r="M438" s="10" t="str">
        <v/>
      </c>
      <c r="N438" s="14"/>
      <c r="O438" s="15" t="str" cm="1">
        <f t="array" ref="O438">IFERROR(_xlfn.LET(
_xlpm.clean,TRIM(SUBSTITUTE(SUBSTITUTE(P438,CHAR(160),"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8" s="15"/>
      <c r="R438" t="str">
        <v/>
      </c>
      <c r="S438" t="str">
        <f t="shared" si="7"/>
        <v/>
      </c>
    </row>
    <row r="439" spans="1:19" ht="12.75">
      <c r="A439" s="15" t="str">
        <v/>
      </c>
      <c r="B439" s="15" t="str">
        <v/>
      </c>
      <c r="C439" s="15" t="str" cm="1">
        <f t="array" ref="C439">IFERROR(_xlfn.TEXTJOIN("",TRUE,_xlfn._xlws.FILTER(MID(S439,_xlfn.SEQUENCE(LEN(S439)),1),ISNUMBER(SEARCH(MID(S439,_xlfn.SEQUENCE(LEN(S439)),1),"ABCDEFGHIJKLMNOPQRSTUVWXYZabcdefghijklmnopqrstuvwxyz0123456789,")))),"")</f>
        <v/>
      </c>
      <c r="D439" s="15" t="str">
        <v/>
      </c>
      <c r="E439" s="16" t="str">
        <v/>
      </c>
      <c r="F439" s="15" t="str">
        <v/>
      </c>
      <c r="G439" s="20" t="str" cm="1">
        <f t="array" ref="G439">IF(TRIM(P439)="","",IF(SUM(COUNTIF(P439,{"*NLGD*","*FWG*"}))&gt;0,P439,IF(SUM(COUNTIF(P439,{"*GL*","*DGB*","*DGI*","*GT*","*CS*","*PWU*","*DBI*","*SWU*"}))=0,P439,IF(IFERROR(VALUE(SUBSTITUTE(SUBSTITUTE(O439,"W",""),"""","")),0)&gt;52,P439&amp;"-OVRSIZE-",P439))))</f>
        <v/>
      </c>
      <c r="H439" s="15" t="str">
        <v/>
      </c>
      <c r="I439" s="15" t="str">
        <v/>
      </c>
      <c r="J439" s="15" t="str">
        <v/>
      </c>
      <c r="K439" s="15" t="str">
        <v/>
      </c>
      <c r="L439" s="15" t="str">
        <v/>
      </c>
      <c r="M439" s="10" t="str">
        <v/>
      </c>
      <c r="N439" s="14"/>
      <c r="O439" s="15" t="str" cm="1">
        <f t="array" ref="O439">IFERROR(_xlfn.LET(
_xlpm.clean,TRIM(SUBSTITUTE(SUBSTITUTE(P439,CHAR(160),"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39" s="15"/>
      <c r="R439" t="str">
        <v/>
      </c>
      <c r="S439" t="str">
        <f t="shared" si="7"/>
        <v/>
      </c>
    </row>
    <row r="440" spans="1:19" ht="12.75">
      <c r="A440" s="15" t="str">
        <v/>
      </c>
      <c r="B440" s="15" t="str">
        <v/>
      </c>
      <c r="C440" s="15" t="str" cm="1">
        <f t="array" ref="C440">IFERROR(_xlfn.TEXTJOIN("",TRUE,_xlfn._xlws.FILTER(MID(S440,_xlfn.SEQUENCE(LEN(S440)),1),ISNUMBER(SEARCH(MID(S440,_xlfn.SEQUENCE(LEN(S440)),1),"ABCDEFGHIJKLMNOPQRSTUVWXYZabcdefghijklmnopqrstuvwxyz0123456789,")))),"")</f>
        <v/>
      </c>
      <c r="D440" s="15" t="str">
        <v/>
      </c>
      <c r="E440" s="16" t="str">
        <v/>
      </c>
      <c r="F440" s="15" t="str">
        <v/>
      </c>
      <c r="G440" s="20" t="str" cm="1">
        <f t="array" ref="G440">IF(TRIM(P440)="","",IF(SUM(COUNTIF(P440,{"*NLGD*","*FWG*"}))&gt;0,P440,IF(SUM(COUNTIF(P440,{"*GL*","*DGB*","*DGI*","*GT*","*CS*","*PWU*","*DBI*","*SWU*"}))=0,P440,IF(IFERROR(VALUE(SUBSTITUTE(SUBSTITUTE(O440,"W",""),"""","")),0)&gt;52,P440&amp;"-OVRSIZE-",P440))))</f>
        <v/>
      </c>
      <c r="H440" s="15" t="str">
        <v/>
      </c>
      <c r="I440" s="15" t="str">
        <v/>
      </c>
      <c r="J440" s="15" t="str">
        <v/>
      </c>
      <c r="K440" s="15" t="str">
        <v/>
      </c>
      <c r="L440" s="15" t="str">
        <v/>
      </c>
      <c r="M440" s="10" t="str">
        <v/>
      </c>
      <c r="N440" s="14"/>
      <c r="O440" s="15" t="str" cm="1">
        <f t="array" ref="O440">IFERROR(_xlfn.LET(
_xlpm.clean,TRIM(SUBSTITUTE(SUBSTITUTE(P440,CHAR(160),"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0" s="15"/>
      <c r="R440" t="str">
        <v/>
      </c>
      <c r="S440" t="str">
        <f t="shared" si="7"/>
        <v/>
      </c>
    </row>
    <row r="441" spans="1:19" ht="12.75">
      <c r="A441" s="15" t="str">
        <v/>
      </c>
      <c r="B441" s="15" t="str">
        <v/>
      </c>
      <c r="C441" s="15" t="str" cm="1">
        <f t="array" ref="C441">IFERROR(_xlfn.TEXTJOIN("",TRUE,_xlfn._xlws.FILTER(MID(S441,_xlfn.SEQUENCE(LEN(S441)),1),ISNUMBER(SEARCH(MID(S441,_xlfn.SEQUENCE(LEN(S441)),1),"ABCDEFGHIJKLMNOPQRSTUVWXYZabcdefghijklmnopqrstuvwxyz0123456789,")))),"")</f>
        <v/>
      </c>
      <c r="D441" s="15" t="str">
        <v/>
      </c>
      <c r="E441" s="16" t="str">
        <v/>
      </c>
      <c r="F441" s="15" t="str">
        <v/>
      </c>
      <c r="G441" s="20" t="str" cm="1">
        <f t="array" ref="G441">IF(TRIM(P441)="","",IF(SUM(COUNTIF(P441,{"*NLGD*","*FWG*"}))&gt;0,P441,IF(SUM(COUNTIF(P441,{"*GL*","*DGB*","*DGI*","*GT*","*CS*","*PWU*","*DBI*","*SWU*"}))=0,P441,IF(IFERROR(VALUE(SUBSTITUTE(SUBSTITUTE(O441,"W",""),"""","")),0)&gt;52,P441&amp;"-OVRSIZE-",P441))))</f>
        <v/>
      </c>
      <c r="H441" s="15" t="str">
        <v/>
      </c>
      <c r="I441" s="15" t="str">
        <v/>
      </c>
      <c r="J441" s="15" t="str">
        <v/>
      </c>
      <c r="K441" s="15" t="str">
        <v/>
      </c>
      <c r="L441" s="15" t="str">
        <v/>
      </c>
      <c r="M441" s="10" t="str">
        <v/>
      </c>
      <c r="N441" s="14"/>
      <c r="O441" s="15" t="str" cm="1">
        <f t="array" ref="O441">IFERROR(_xlfn.LET(
_xlpm.clean,TRIM(SUBSTITUTE(SUBSTITUTE(P441,CHAR(160),"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1" s="15"/>
      <c r="R441" t="str">
        <v/>
      </c>
      <c r="S441" t="str">
        <f t="shared" si="7"/>
        <v/>
      </c>
    </row>
    <row r="442" spans="1:19" ht="12.75">
      <c r="A442" s="15" t="str">
        <v/>
      </c>
      <c r="B442" s="15" t="str">
        <v/>
      </c>
      <c r="C442" s="15" t="str" cm="1">
        <f t="array" ref="C442">IFERROR(_xlfn.TEXTJOIN("",TRUE,_xlfn._xlws.FILTER(MID(S442,_xlfn.SEQUENCE(LEN(S442)),1),ISNUMBER(SEARCH(MID(S442,_xlfn.SEQUENCE(LEN(S442)),1),"ABCDEFGHIJKLMNOPQRSTUVWXYZabcdefghijklmnopqrstuvwxyz0123456789,")))),"")</f>
        <v/>
      </c>
      <c r="D442" s="15" t="str">
        <v/>
      </c>
      <c r="E442" s="16" t="str">
        <v/>
      </c>
      <c r="F442" s="15" t="str">
        <v/>
      </c>
      <c r="G442" s="20" t="str" cm="1">
        <f t="array" ref="G442">IF(TRIM(P442)="","",IF(SUM(COUNTIF(P442,{"*NLGD*","*FWG*"}))&gt;0,P442,IF(SUM(COUNTIF(P442,{"*GL*","*DGB*","*DGI*","*GT*","*CS*","*PWU*","*DBI*","*SWU*"}))=0,P442,IF(IFERROR(VALUE(SUBSTITUTE(SUBSTITUTE(O442,"W",""),"""","")),0)&gt;52,P442&amp;"-OVRSIZE-",P442))))</f>
        <v/>
      </c>
      <c r="H442" s="15" t="str">
        <v/>
      </c>
      <c r="I442" s="15" t="str">
        <v/>
      </c>
      <c r="J442" s="15" t="str">
        <v/>
      </c>
      <c r="K442" s="15" t="str">
        <v/>
      </c>
      <c r="L442" s="15" t="str">
        <v/>
      </c>
      <c r="M442" s="10" t="str">
        <v/>
      </c>
      <c r="N442" s="14"/>
      <c r="O442" s="15" t="str" cm="1">
        <f t="array" ref="O442">IFERROR(_xlfn.LET(
_xlpm.clean,TRIM(SUBSTITUTE(SUBSTITUTE(P442,CHAR(160),"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2" s="15"/>
      <c r="R442" t="str">
        <v/>
      </c>
      <c r="S442" t="str">
        <f t="shared" si="7"/>
        <v/>
      </c>
    </row>
    <row r="443" spans="1:19" ht="12.75">
      <c r="A443" s="15" t="str">
        <v/>
      </c>
      <c r="B443" s="15" t="str">
        <v/>
      </c>
      <c r="C443" s="15" t="str" cm="1">
        <f t="array" ref="C443">IFERROR(_xlfn.TEXTJOIN("",TRUE,_xlfn._xlws.FILTER(MID(S443,_xlfn.SEQUENCE(LEN(S443)),1),ISNUMBER(SEARCH(MID(S443,_xlfn.SEQUENCE(LEN(S443)),1),"ABCDEFGHIJKLMNOPQRSTUVWXYZabcdefghijklmnopqrstuvwxyz0123456789,")))),"")</f>
        <v/>
      </c>
      <c r="D443" s="15" t="str">
        <v/>
      </c>
      <c r="E443" s="16" t="str">
        <v/>
      </c>
      <c r="F443" s="15" t="str">
        <v/>
      </c>
      <c r="G443" s="20" t="str" cm="1">
        <f t="array" ref="G443">IF(TRIM(P443)="","",IF(SUM(COUNTIF(P443,{"*NLGD*","*FWG*"}))&gt;0,P443,IF(SUM(COUNTIF(P443,{"*GL*","*DGB*","*DGI*","*GT*","*CS*","*PWU*","*DBI*","*SWU*"}))=0,P443,IF(IFERROR(VALUE(SUBSTITUTE(SUBSTITUTE(O443,"W",""),"""","")),0)&gt;52,P443&amp;"-OVRSIZE-",P443))))</f>
        <v/>
      </c>
      <c r="H443" s="15" t="str">
        <v/>
      </c>
      <c r="I443" s="15" t="str">
        <v/>
      </c>
      <c r="J443" s="15" t="str">
        <v/>
      </c>
      <c r="K443" s="15" t="str">
        <v/>
      </c>
      <c r="L443" s="15" t="str">
        <v/>
      </c>
      <c r="M443" s="10" t="str">
        <v/>
      </c>
      <c r="N443" s="14"/>
      <c r="O443" s="15" t="str" cm="1">
        <f t="array" ref="O443">IFERROR(_xlfn.LET(
_xlpm.clean,TRIM(SUBSTITUTE(SUBSTITUTE(P443,CHAR(160),"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3" s="15"/>
      <c r="R443" t="str">
        <v/>
      </c>
      <c r="S443" t="str">
        <f t="shared" si="7"/>
        <v/>
      </c>
    </row>
    <row r="444" spans="1:19" ht="12.75">
      <c r="A444" s="15" t="str">
        <v/>
      </c>
      <c r="B444" s="15" t="str">
        <v/>
      </c>
      <c r="C444" s="15" t="str" cm="1">
        <f t="array" ref="C444">IFERROR(_xlfn.TEXTJOIN("",TRUE,_xlfn._xlws.FILTER(MID(S444,_xlfn.SEQUENCE(LEN(S444)),1),ISNUMBER(SEARCH(MID(S444,_xlfn.SEQUENCE(LEN(S444)),1),"ABCDEFGHIJKLMNOPQRSTUVWXYZabcdefghijklmnopqrstuvwxyz0123456789,")))),"")</f>
        <v/>
      </c>
      <c r="D444" s="15" t="str">
        <v/>
      </c>
      <c r="E444" s="16" t="str">
        <v/>
      </c>
      <c r="F444" s="15" t="str">
        <v/>
      </c>
      <c r="G444" s="20" t="str" cm="1">
        <f t="array" ref="G444">IF(TRIM(P444)="","",IF(SUM(COUNTIF(P444,{"*NLGD*","*FWG*"}))&gt;0,P444,IF(SUM(COUNTIF(P444,{"*GL*","*DGB*","*DGI*","*GT*","*CS*","*PWU*","*DBI*","*SWU*"}))=0,P444,IF(IFERROR(VALUE(SUBSTITUTE(SUBSTITUTE(O444,"W",""),"""","")),0)&gt;52,P444&amp;"-OVRSIZE-",P444))))</f>
        <v/>
      </c>
      <c r="H444" s="15" t="str">
        <v/>
      </c>
      <c r="I444" s="15" t="str">
        <v/>
      </c>
      <c r="J444" s="15" t="str">
        <v/>
      </c>
      <c r="K444" s="15" t="str">
        <v/>
      </c>
      <c r="L444" s="15" t="str">
        <v/>
      </c>
      <c r="M444" s="10" t="str">
        <v/>
      </c>
      <c r="N444" s="14"/>
      <c r="O444" s="15" t="str" cm="1">
        <f t="array" ref="O444">IFERROR(_xlfn.LET(
_xlpm.clean,TRIM(SUBSTITUTE(SUBSTITUTE(P444,CHAR(160),"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4" s="15"/>
      <c r="R444" t="str">
        <v/>
      </c>
      <c r="S444" t="str">
        <f t="shared" si="7"/>
        <v/>
      </c>
    </row>
    <row r="445" spans="1:19" ht="12.75">
      <c r="A445" s="15" t="str">
        <v/>
      </c>
      <c r="B445" s="15" t="str">
        <v/>
      </c>
      <c r="C445" s="15" t="str" cm="1">
        <f t="array" ref="C445">IFERROR(_xlfn.TEXTJOIN("",TRUE,_xlfn._xlws.FILTER(MID(S445,_xlfn.SEQUENCE(LEN(S445)),1),ISNUMBER(SEARCH(MID(S445,_xlfn.SEQUENCE(LEN(S445)),1),"ABCDEFGHIJKLMNOPQRSTUVWXYZabcdefghijklmnopqrstuvwxyz0123456789,")))),"")</f>
        <v/>
      </c>
      <c r="D445" s="15" t="str">
        <v/>
      </c>
      <c r="E445" s="16" t="str">
        <v/>
      </c>
      <c r="F445" s="15" t="str">
        <v/>
      </c>
      <c r="G445" s="20" t="str" cm="1">
        <f t="array" ref="G445">IF(TRIM(P445)="","",IF(SUM(COUNTIF(P445,{"*NLGD*","*FWG*"}))&gt;0,P445,IF(SUM(COUNTIF(P445,{"*GL*","*DGB*","*DGI*","*GT*","*CS*","*PWU*","*DBI*","*SWU*"}))=0,P445,IF(IFERROR(VALUE(SUBSTITUTE(SUBSTITUTE(O445,"W",""),"""","")),0)&gt;52,P445&amp;"-OVRSIZE-",P445))))</f>
        <v/>
      </c>
      <c r="H445" s="15" t="str">
        <v/>
      </c>
      <c r="I445" s="15" t="str">
        <v/>
      </c>
      <c r="J445" s="15" t="str">
        <v/>
      </c>
      <c r="K445" s="15" t="str">
        <v/>
      </c>
      <c r="L445" s="15" t="str">
        <v/>
      </c>
      <c r="M445" s="10" t="str">
        <v/>
      </c>
      <c r="N445" s="14"/>
      <c r="O445" s="15" t="str" cm="1">
        <f t="array" ref="O445">IFERROR(_xlfn.LET(
_xlpm.clean,TRIM(SUBSTITUTE(SUBSTITUTE(P445,CHAR(160),"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5" s="15"/>
      <c r="R445" t="str">
        <v/>
      </c>
      <c r="S445" t="str">
        <f t="shared" si="7"/>
        <v/>
      </c>
    </row>
    <row r="446" spans="1:19" ht="12.75">
      <c r="A446" s="15" t="str">
        <v/>
      </c>
      <c r="B446" s="15" t="str">
        <v/>
      </c>
      <c r="C446" s="15" t="str" cm="1">
        <f t="array" ref="C446">IFERROR(_xlfn.TEXTJOIN("",TRUE,_xlfn._xlws.FILTER(MID(S446,_xlfn.SEQUENCE(LEN(S446)),1),ISNUMBER(SEARCH(MID(S446,_xlfn.SEQUENCE(LEN(S446)),1),"ABCDEFGHIJKLMNOPQRSTUVWXYZabcdefghijklmnopqrstuvwxyz0123456789,")))),"")</f>
        <v/>
      </c>
      <c r="D446" s="15" t="str">
        <v/>
      </c>
      <c r="E446" s="16" t="str">
        <v/>
      </c>
      <c r="F446" s="15" t="str">
        <v/>
      </c>
      <c r="G446" s="20" t="str" cm="1">
        <f t="array" ref="G446">IF(TRIM(P446)="","",IF(SUM(COUNTIF(P446,{"*NLGD*","*FWG*"}))&gt;0,P446,IF(SUM(COUNTIF(P446,{"*GL*","*DGB*","*DGI*","*GT*","*CS*","*PWU*","*DBI*","*SWU*"}))=0,P446,IF(IFERROR(VALUE(SUBSTITUTE(SUBSTITUTE(O446,"W",""),"""","")),0)&gt;52,P446&amp;"-OVRSIZE-",P446))))</f>
        <v/>
      </c>
      <c r="H446" s="15" t="str">
        <v/>
      </c>
      <c r="I446" s="15" t="str">
        <v/>
      </c>
      <c r="J446" s="15" t="str">
        <v/>
      </c>
      <c r="K446" s="15" t="str">
        <v/>
      </c>
      <c r="L446" s="15" t="str">
        <v/>
      </c>
      <c r="M446" s="10" t="str">
        <v/>
      </c>
      <c r="N446" s="14"/>
      <c r="O446" s="15" t="str" cm="1">
        <f t="array" ref="O446">IFERROR(_xlfn.LET(
_xlpm.clean,TRIM(SUBSTITUTE(SUBSTITUTE(P446,CHAR(160),"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6" s="15"/>
      <c r="R446" t="str">
        <v/>
      </c>
      <c r="S446" t="str">
        <f t="shared" si="7"/>
        <v/>
      </c>
    </row>
    <row r="447" spans="1:19" ht="12.75">
      <c r="A447" s="15" t="str">
        <v/>
      </c>
      <c r="B447" s="15" t="str">
        <v/>
      </c>
      <c r="C447" s="15" t="str" cm="1">
        <f t="array" ref="C447">IFERROR(_xlfn.TEXTJOIN("",TRUE,_xlfn._xlws.FILTER(MID(S447,_xlfn.SEQUENCE(LEN(S447)),1),ISNUMBER(SEARCH(MID(S447,_xlfn.SEQUENCE(LEN(S447)),1),"ABCDEFGHIJKLMNOPQRSTUVWXYZabcdefghijklmnopqrstuvwxyz0123456789,")))),"")</f>
        <v/>
      </c>
      <c r="D447" s="15" t="str">
        <v/>
      </c>
      <c r="E447" s="16" t="str">
        <v/>
      </c>
      <c r="F447" s="15" t="str">
        <v/>
      </c>
      <c r="G447" s="20" t="str" cm="1">
        <f t="array" ref="G447">IF(TRIM(P447)="","",IF(SUM(COUNTIF(P447,{"*NLGD*","*FWG*"}))&gt;0,P447,IF(SUM(COUNTIF(P447,{"*GL*","*DGB*","*DGI*","*GT*","*CS*","*PWU*","*DBI*","*SWU*"}))=0,P447,IF(IFERROR(VALUE(SUBSTITUTE(SUBSTITUTE(O447,"W",""),"""","")),0)&gt;52,P447&amp;"-OVRSIZE-",P447))))</f>
        <v/>
      </c>
      <c r="H447" s="15" t="str">
        <v/>
      </c>
      <c r="I447" s="15" t="str">
        <v/>
      </c>
      <c r="J447" s="15" t="str">
        <v/>
      </c>
      <c r="K447" s="15" t="str">
        <v/>
      </c>
      <c r="L447" s="15" t="str">
        <v/>
      </c>
      <c r="M447" s="10" t="str">
        <v/>
      </c>
      <c r="N447" s="14"/>
      <c r="O447" s="15" t="str" cm="1">
        <f t="array" ref="O447">IFERROR(_xlfn.LET(
_xlpm.clean,TRIM(SUBSTITUTE(SUBSTITUTE(P447,CHAR(160),"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7" s="15"/>
      <c r="R447" t="str">
        <v/>
      </c>
      <c r="S447" t="str">
        <f t="shared" si="7"/>
        <v/>
      </c>
    </row>
    <row r="448" spans="1:19" ht="12.75">
      <c r="A448" s="15" t="str">
        <v/>
      </c>
      <c r="B448" s="15" t="str">
        <v/>
      </c>
      <c r="C448" s="15" t="str" cm="1">
        <f t="array" ref="C448">IFERROR(_xlfn.TEXTJOIN("",TRUE,_xlfn._xlws.FILTER(MID(S448,_xlfn.SEQUENCE(LEN(S448)),1),ISNUMBER(SEARCH(MID(S448,_xlfn.SEQUENCE(LEN(S448)),1),"ABCDEFGHIJKLMNOPQRSTUVWXYZabcdefghijklmnopqrstuvwxyz0123456789,")))),"")</f>
        <v/>
      </c>
      <c r="D448" s="15" t="str">
        <v/>
      </c>
      <c r="E448" s="16" t="str">
        <v/>
      </c>
      <c r="F448" s="15" t="str">
        <v/>
      </c>
      <c r="G448" s="20" t="str" cm="1">
        <f t="array" ref="G448">IF(TRIM(P448)="","",IF(SUM(COUNTIF(P448,{"*NLGD*","*FWG*"}))&gt;0,P448,IF(SUM(COUNTIF(P448,{"*GL*","*DGB*","*DGI*","*GT*","*CS*","*PWU*","*DBI*","*SWU*"}))=0,P448,IF(IFERROR(VALUE(SUBSTITUTE(SUBSTITUTE(O448,"W",""),"""","")),0)&gt;52,P448&amp;"-OVRSIZE-",P448))))</f>
        <v/>
      </c>
      <c r="H448" s="15" t="str">
        <v/>
      </c>
      <c r="I448" s="15" t="str">
        <v/>
      </c>
      <c r="J448" s="15" t="str">
        <v/>
      </c>
      <c r="K448" s="15" t="str">
        <v/>
      </c>
      <c r="L448" s="15" t="str">
        <v/>
      </c>
      <c r="M448" s="10" t="str">
        <v/>
      </c>
      <c r="N448" s="14"/>
      <c r="O448" s="15" t="str" cm="1">
        <f t="array" ref="O448">IFERROR(_xlfn.LET(
_xlpm.clean,TRIM(SUBSTITUTE(SUBSTITUTE(P448,CHAR(160),"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8" s="15"/>
      <c r="R448" t="str">
        <v/>
      </c>
      <c r="S448" t="str">
        <f t="shared" si="7"/>
        <v/>
      </c>
    </row>
    <row r="449" spans="1:19" ht="12.75">
      <c r="A449" s="15" t="str">
        <v/>
      </c>
      <c r="B449" s="15" t="str">
        <v/>
      </c>
      <c r="C449" s="15" t="str" cm="1">
        <f t="array" ref="C449">IFERROR(_xlfn.TEXTJOIN("",TRUE,_xlfn._xlws.FILTER(MID(S449,_xlfn.SEQUENCE(LEN(S449)),1),ISNUMBER(SEARCH(MID(S449,_xlfn.SEQUENCE(LEN(S449)),1),"ABCDEFGHIJKLMNOPQRSTUVWXYZabcdefghijklmnopqrstuvwxyz0123456789,")))),"")</f>
        <v/>
      </c>
      <c r="D449" s="15" t="str">
        <v/>
      </c>
      <c r="E449" s="16" t="str">
        <v/>
      </c>
      <c r="F449" s="15" t="str">
        <v/>
      </c>
      <c r="G449" s="20" t="str" cm="1">
        <f t="array" ref="G449">IF(TRIM(P449)="","",IF(SUM(COUNTIF(P449,{"*NLGD*","*FWG*"}))&gt;0,P449,IF(SUM(COUNTIF(P449,{"*GL*","*DGB*","*DGI*","*GT*","*CS*","*PWU*","*DBI*","*SWU*"}))=0,P449,IF(IFERROR(VALUE(SUBSTITUTE(SUBSTITUTE(O449,"W",""),"""","")),0)&gt;52,P449&amp;"-OVRSIZE-",P449))))</f>
        <v/>
      </c>
      <c r="H449" s="15" t="str">
        <v/>
      </c>
      <c r="I449" s="15" t="str">
        <v/>
      </c>
      <c r="J449" s="15" t="str">
        <v/>
      </c>
      <c r="K449" s="15" t="str">
        <v/>
      </c>
      <c r="L449" s="15" t="str">
        <v/>
      </c>
      <c r="M449" s="10" t="str">
        <v/>
      </c>
      <c r="N449" s="14"/>
      <c r="O449" s="15" t="str" cm="1">
        <f t="array" ref="O449">IFERROR(_xlfn.LET(
_xlpm.clean,TRIM(SUBSTITUTE(SUBSTITUTE(P449,CHAR(160),"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49" s="15"/>
      <c r="R449" t="str">
        <v/>
      </c>
      <c r="S449" t="str">
        <f t="shared" si="7"/>
        <v/>
      </c>
    </row>
    <row r="450" spans="1:19" ht="12.75">
      <c r="A450" s="15" t="str">
        <v/>
      </c>
      <c r="B450" s="15" t="str">
        <v/>
      </c>
      <c r="C450" s="15" t="str" cm="1">
        <f t="array" ref="C450">IFERROR(_xlfn.TEXTJOIN("",TRUE,_xlfn._xlws.FILTER(MID(S450,_xlfn.SEQUENCE(LEN(S450)),1),ISNUMBER(SEARCH(MID(S450,_xlfn.SEQUENCE(LEN(S450)),1),"ABCDEFGHIJKLMNOPQRSTUVWXYZabcdefghijklmnopqrstuvwxyz0123456789,")))),"")</f>
        <v/>
      </c>
      <c r="D450" s="15" t="str">
        <v/>
      </c>
      <c r="E450" s="16" t="str">
        <v/>
      </c>
      <c r="F450" s="15" t="str">
        <v/>
      </c>
      <c r="G450" s="20" t="str" cm="1">
        <f t="array" ref="G450">IF(TRIM(P450)="","",IF(SUM(COUNTIF(P450,{"*NLGD*","*FWG*"}))&gt;0,P450,IF(SUM(COUNTIF(P450,{"*GL*","*DGB*","*DGI*","*GT*","*CS*","*PWU*","*DBI*","*SWU*"}))=0,P450,IF(IFERROR(VALUE(SUBSTITUTE(SUBSTITUTE(O450,"W",""),"""","")),0)&gt;52,P450&amp;"-OVRSIZE-",P450))))</f>
        <v/>
      </c>
      <c r="H450" s="15" t="str">
        <v/>
      </c>
      <c r="I450" s="15" t="str">
        <v/>
      </c>
      <c r="J450" s="15" t="str">
        <v/>
      </c>
      <c r="K450" s="15" t="str">
        <v/>
      </c>
      <c r="L450" s="15" t="str">
        <v/>
      </c>
      <c r="M450" s="10" t="str">
        <v/>
      </c>
      <c r="N450" s="14"/>
      <c r="O450" s="15" t="str" cm="1">
        <f t="array" ref="O450">IFERROR(_xlfn.LET(
_xlpm.clean,TRIM(SUBSTITUTE(SUBSTITUTE(P450,CHAR(160),"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0" s="15"/>
      <c r="R450" t="str">
        <v/>
      </c>
      <c r="S450" t="str">
        <f t="shared" si="7"/>
        <v/>
      </c>
    </row>
    <row r="451" spans="1:19" ht="12.75">
      <c r="A451" s="15" t="str">
        <v/>
      </c>
      <c r="B451" s="15" t="str">
        <v/>
      </c>
      <c r="C451" s="15" t="str" cm="1">
        <f t="array" ref="C451">IFERROR(_xlfn.TEXTJOIN("",TRUE,_xlfn._xlws.FILTER(MID(S451,_xlfn.SEQUENCE(LEN(S451)),1),ISNUMBER(SEARCH(MID(S451,_xlfn.SEQUENCE(LEN(S451)),1),"ABCDEFGHIJKLMNOPQRSTUVWXYZabcdefghijklmnopqrstuvwxyz0123456789,")))),"")</f>
        <v/>
      </c>
      <c r="D451" s="15" t="str">
        <v/>
      </c>
      <c r="E451" s="16" t="str">
        <v/>
      </c>
      <c r="F451" s="15" t="str">
        <v/>
      </c>
      <c r="G451" s="20" t="str" cm="1">
        <f t="array" ref="G451">IF(TRIM(P451)="","",IF(SUM(COUNTIF(P451,{"*NLGD*","*FWG*"}))&gt;0,P451,IF(SUM(COUNTIF(P451,{"*GL*","*DGB*","*DGI*","*GT*","*CS*","*PWU*","*DBI*","*SWU*"}))=0,P451,IF(IFERROR(VALUE(SUBSTITUTE(SUBSTITUTE(O451,"W",""),"""","")),0)&gt;52,P451&amp;"-OVRSIZE-",P451))))</f>
        <v/>
      </c>
      <c r="H451" s="15" t="str">
        <v/>
      </c>
      <c r="I451" s="15" t="str">
        <v/>
      </c>
      <c r="J451" s="15" t="str">
        <v/>
      </c>
      <c r="K451" s="15" t="str">
        <v/>
      </c>
      <c r="L451" s="15" t="str">
        <v/>
      </c>
      <c r="M451" s="10" t="str">
        <v/>
      </c>
      <c r="N451" s="14"/>
      <c r="O451" s="15" t="str" cm="1">
        <f t="array" ref="O451">IFERROR(_xlfn.LET(
_xlpm.clean,TRIM(SUBSTITUTE(SUBSTITUTE(P451,CHAR(160),"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1" s="15"/>
      <c r="R451" t="str">
        <v/>
      </c>
      <c r="S451" t="str">
        <f t="shared" si="7"/>
        <v/>
      </c>
    </row>
    <row r="452" spans="1:19" ht="12.75">
      <c r="A452" s="15" t="str">
        <v/>
      </c>
      <c r="B452" s="15" t="str">
        <v/>
      </c>
      <c r="C452" s="15" t="str" cm="1">
        <f t="array" ref="C452">IFERROR(_xlfn.TEXTJOIN("",TRUE,_xlfn._xlws.FILTER(MID(S452,_xlfn.SEQUENCE(LEN(S452)),1),ISNUMBER(SEARCH(MID(S452,_xlfn.SEQUENCE(LEN(S452)),1),"ABCDEFGHIJKLMNOPQRSTUVWXYZabcdefghijklmnopqrstuvwxyz0123456789,")))),"")</f>
        <v/>
      </c>
      <c r="D452" s="15" t="str">
        <v/>
      </c>
      <c r="E452" s="16" t="str">
        <v/>
      </c>
      <c r="F452" s="15" t="str">
        <v/>
      </c>
      <c r="G452" s="20" t="str" cm="1">
        <f t="array" ref="G452">IF(TRIM(P452)="","",IF(SUM(COUNTIF(P452,{"*NLGD*","*FWG*"}))&gt;0,P452,IF(SUM(COUNTIF(P452,{"*GL*","*DGB*","*DGI*","*GT*","*CS*","*PWU*","*DBI*","*SWU*"}))=0,P452,IF(IFERROR(VALUE(SUBSTITUTE(SUBSTITUTE(O452,"W",""),"""","")),0)&gt;52,P452&amp;"-OVRSIZE-",P452))))</f>
        <v/>
      </c>
      <c r="H452" s="15" t="str">
        <v/>
      </c>
      <c r="I452" s="15" t="str">
        <v/>
      </c>
      <c r="J452" s="15" t="str">
        <v/>
      </c>
      <c r="K452" s="15" t="str">
        <v/>
      </c>
      <c r="L452" s="15" t="str">
        <v/>
      </c>
      <c r="M452" s="10" t="str">
        <v/>
      </c>
      <c r="N452" s="14"/>
      <c r="O452" s="15" t="str" cm="1">
        <f t="array" ref="O452">IFERROR(_xlfn.LET(
_xlpm.clean,TRIM(SUBSTITUTE(SUBSTITUTE(P452,CHAR(160),"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2" s="15"/>
      <c r="R452" t="str">
        <v/>
      </c>
      <c r="S452" t="str">
        <f t="shared" si="7"/>
        <v/>
      </c>
    </row>
    <row r="453" spans="1:19" ht="12.75">
      <c r="A453" s="15" t="str">
        <v/>
      </c>
      <c r="B453" s="15" t="str">
        <v/>
      </c>
      <c r="C453" s="15" t="str" cm="1">
        <f t="array" ref="C453">IFERROR(_xlfn.TEXTJOIN("",TRUE,_xlfn._xlws.FILTER(MID(S453,_xlfn.SEQUENCE(LEN(S453)),1),ISNUMBER(SEARCH(MID(S453,_xlfn.SEQUENCE(LEN(S453)),1),"ABCDEFGHIJKLMNOPQRSTUVWXYZabcdefghijklmnopqrstuvwxyz0123456789,")))),"")</f>
        <v/>
      </c>
      <c r="D453" s="15" t="str">
        <v/>
      </c>
      <c r="E453" s="16" t="str">
        <v/>
      </c>
      <c r="F453" s="15" t="str">
        <v/>
      </c>
      <c r="G453" s="20" t="str" cm="1">
        <f t="array" ref="G453">IF(TRIM(P453)="","",IF(SUM(COUNTIF(P453,{"*NLGD*","*FWG*"}))&gt;0,P453,IF(SUM(COUNTIF(P453,{"*GL*","*DGB*","*DGI*","*GT*","*CS*","*PWU*","*DBI*","*SWU*"}))=0,P453,IF(IFERROR(VALUE(SUBSTITUTE(SUBSTITUTE(O453,"W",""),"""","")),0)&gt;52,P453&amp;"-OVRSIZE-",P453))))</f>
        <v/>
      </c>
      <c r="H453" s="15" t="str">
        <v/>
      </c>
      <c r="I453" s="15" t="str">
        <v/>
      </c>
      <c r="J453" s="15" t="str">
        <v/>
      </c>
      <c r="K453" s="15" t="str">
        <v/>
      </c>
      <c r="L453" s="15" t="str">
        <v/>
      </c>
      <c r="M453" s="10" t="str">
        <v/>
      </c>
      <c r="N453" s="14"/>
      <c r="O453" s="15" t="str" cm="1">
        <f t="array" ref="O453">IFERROR(_xlfn.LET(
_xlpm.clean,TRIM(SUBSTITUTE(SUBSTITUTE(P453,CHAR(160),"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3" s="15"/>
      <c r="R453" t="str">
        <v/>
      </c>
      <c r="S453" t="str">
        <f t="shared" si="7"/>
        <v/>
      </c>
    </row>
    <row r="454" spans="1:19" ht="12.75">
      <c r="A454" s="15" t="str">
        <v/>
      </c>
      <c r="B454" s="15" t="str">
        <v/>
      </c>
      <c r="C454" s="15" t="str" cm="1">
        <f t="array" ref="C454">IFERROR(_xlfn.TEXTJOIN("",TRUE,_xlfn._xlws.FILTER(MID(S454,_xlfn.SEQUENCE(LEN(S454)),1),ISNUMBER(SEARCH(MID(S454,_xlfn.SEQUENCE(LEN(S454)),1),"ABCDEFGHIJKLMNOPQRSTUVWXYZabcdefghijklmnopqrstuvwxyz0123456789,")))),"")</f>
        <v/>
      </c>
      <c r="D454" s="15" t="str">
        <v/>
      </c>
      <c r="E454" s="16" t="str">
        <v/>
      </c>
      <c r="F454" s="15" t="str">
        <v/>
      </c>
      <c r="G454" s="20" t="str" cm="1">
        <f t="array" ref="G454">IF(TRIM(P454)="","",IF(SUM(COUNTIF(P454,{"*NLGD*","*FWG*"}))&gt;0,P454,IF(SUM(COUNTIF(P454,{"*GL*","*DGB*","*DGI*","*GT*","*CS*","*PWU*","*DBI*","*SWU*"}))=0,P454,IF(IFERROR(VALUE(SUBSTITUTE(SUBSTITUTE(O454,"W",""),"""","")),0)&gt;52,P454&amp;"-OVRSIZE-",P454))))</f>
        <v/>
      </c>
      <c r="H454" s="15" t="str">
        <v/>
      </c>
      <c r="I454" s="15" t="str">
        <v/>
      </c>
      <c r="J454" s="15" t="str">
        <v/>
      </c>
      <c r="K454" s="15" t="str">
        <v/>
      </c>
      <c r="L454" s="15" t="str">
        <v/>
      </c>
      <c r="M454" s="10" t="str">
        <v/>
      </c>
      <c r="N454" s="14"/>
      <c r="O454" s="15" t="str" cm="1">
        <f t="array" ref="O454">IFERROR(_xlfn.LET(
_xlpm.clean,TRIM(SUBSTITUTE(SUBSTITUTE(P454,CHAR(160),"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4" s="15"/>
      <c r="R454" t="str">
        <v/>
      </c>
      <c r="S454" t="str">
        <f t="shared" si="7"/>
        <v/>
      </c>
    </row>
    <row r="455" spans="1:19" ht="12.75">
      <c r="A455" s="15" t="str">
        <v/>
      </c>
      <c r="B455" s="15" t="str">
        <v/>
      </c>
      <c r="C455" s="15" t="str" cm="1">
        <f t="array" ref="C455">IFERROR(_xlfn.TEXTJOIN("",TRUE,_xlfn._xlws.FILTER(MID(S455,_xlfn.SEQUENCE(LEN(S455)),1),ISNUMBER(SEARCH(MID(S455,_xlfn.SEQUENCE(LEN(S455)),1),"ABCDEFGHIJKLMNOPQRSTUVWXYZabcdefghijklmnopqrstuvwxyz0123456789,")))),"")</f>
        <v/>
      </c>
      <c r="D455" s="15" t="str">
        <v/>
      </c>
      <c r="E455" s="16" t="str">
        <v/>
      </c>
      <c r="F455" s="15" t="str">
        <v/>
      </c>
      <c r="G455" s="20" t="str" cm="1">
        <f t="array" ref="G455">IF(TRIM(P455)="","",IF(SUM(COUNTIF(P455,{"*NLGD*","*FWG*"}))&gt;0,P455,IF(SUM(COUNTIF(P455,{"*GL*","*DGB*","*DGI*","*GT*","*CS*","*PWU*","*DBI*","*SWU*"}))=0,P455,IF(IFERROR(VALUE(SUBSTITUTE(SUBSTITUTE(O455,"W",""),"""","")),0)&gt;52,P455&amp;"-OVRSIZE-",P455))))</f>
        <v/>
      </c>
      <c r="H455" s="15" t="str">
        <v/>
      </c>
      <c r="I455" s="15" t="str">
        <v/>
      </c>
      <c r="J455" s="15" t="str">
        <v/>
      </c>
      <c r="K455" s="15" t="str">
        <v/>
      </c>
      <c r="L455" s="15" t="str">
        <v/>
      </c>
      <c r="M455" s="10" t="str">
        <v/>
      </c>
      <c r="N455" s="14"/>
      <c r="O455" s="15" t="str" cm="1">
        <f t="array" ref="O455">IFERROR(_xlfn.LET(
_xlpm.clean,TRIM(SUBSTITUTE(SUBSTITUTE(P455,CHAR(160),"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5" s="15"/>
      <c r="R455" t="str">
        <v/>
      </c>
      <c r="S455" t="str">
        <f t="shared" si="7"/>
        <v/>
      </c>
    </row>
    <row r="456" spans="1:19" ht="12.75">
      <c r="A456" s="15" t="str">
        <v/>
      </c>
      <c r="B456" s="15" t="str">
        <v/>
      </c>
      <c r="C456" s="15" t="str" cm="1">
        <f t="array" ref="C456">IFERROR(_xlfn.TEXTJOIN("",TRUE,_xlfn._xlws.FILTER(MID(S456,_xlfn.SEQUENCE(LEN(S456)),1),ISNUMBER(SEARCH(MID(S456,_xlfn.SEQUENCE(LEN(S456)),1),"ABCDEFGHIJKLMNOPQRSTUVWXYZabcdefghijklmnopqrstuvwxyz0123456789,")))),"")</f>
        <v/>
      </c>
      <c r="D456" s="15" t="str">
        <v/>
      </c>
      <c r="E456" s="16" t="str">
        <v/>
      </c>
      <c r="F456" s="15" t="str">
        <v/>
      </c>
      <c r="G456" s="20" t="str" cm="1">
        <f t="array" ref="G456">IF(TRIM(P456)="","",IF(SUM(COUNTIF(P456,{"*NLGD*","*FWG*"}))&gt;0,P456,IF(SUM(COUNTIF(P456,{"*GL*","*DGB*","*DGI*","*GT*","*CS*","*PWU*","*DBI*","*SWU*"}))=0,P456,IF(IFERROR(VALUE(SUBSTITUTE(SUBSTITUTE(O456,"W",""),"""","")),0)&gt;52,P456&amp;"-OVRSIZE-",P456))))</f>
        <v/>
      </c>
      <c r="H456" s="15" t="str">
        <v/>
      </c>
      <c r="I456" s="15" t="str">
        <v/>
      </c>
      <c r="J456" s="15" t="str">
        <v/>
      </c>
      <c r="K456" s="15" t="str">
        <v/>
      </c>
      <c r="L456" s="15" t="str">
        <v/>
      </c>
      <c r="M456" s="10" t="str">
        <v/>
      </c>
      <c r="N456" s="14"/>
      <c r="O456" s="15" t="str" cm="1">
        <f t="array" ref="O456">IFERROR(_xlfn.LET(
_xlpm.clean,TRIM(SUBSTITUTE(SUBSTITUTE(P456,CHAR(160),"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6" s="15"/>
      <c r="R456" t="str">
        <v/>
      </c>
      <c r="S456" t="str">
        <f t="shared" ref="S456:S519" si="8">IF(R456="","",_xlfn.LET(
_xlpm.x,TRIM(SUBSTITUTE(SUBSTITUTE(SUBSTITUTE(SUBSTITUTE(R456,":","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457" spans="1:19" ht="12.75">
      <c r="A457" s="15" t="str">
        <v/>
      </c>
      <c r="B457" s="15" t="str">
        <v/>
      </c>
      <c r="C457" s="15" t="str" cm="1">
        <f t="array" ref="C457">IFERROR(_xlfn.TEXTJOIN("",TRUE,_xlfn._xlws.FILTER(MID(S457,_xlfn.SEQUENCE(LEN(S457)),1),ISNUMBER(SEARCH(MID(S457,_xlfn.SEQUENCE(LEN(S457)),1),"ABCDEFGHIJKLMNOPQRSTUVWXYZabcdefghijklmnopqrstuvwxyz0123456789,")))),"")</f>
        <v/>
      </c>
      <c r="D457" s="15" t="str">
        <v/>
      </c>
      <c r="E457" s="16" t="str">
        <v/>
      </c>
      <c r="F457" s="15" t="str">
        <v/>
      </c>
      <c r="G457" s="20" t="str" cm="1">
        <f t="array" ref="G457">IF(TRIM(P457)="","",IF(SUM(COUNTIF(P457,{"*NLGD*","*FWG*"}))&gt;0,P457,IF(SUM(COUNTIF(P457,{"*GL*","*DGB*","*DGI*","*GT*","*CS*","*PWU*","*DBI*","*SWU*"}))=0,P457,IF(IFERROR(VALUE(SUBSTITUTE(SUBSTITUTE(O457,"W",""),"""","")),0)&gt;52,P457&amp;"-OVRSIZE-",P457))))</f>
        <v/>
      </c>
      <c r="H457" s="15" t="str">
        <v/>
      </c>
      <c r="I457" s="15" t="str">
        <v/>
      </c>
      <c r="J457" s="15" t="str">
        <v/>
      </c>
      <c r="K457" s="15" t="str">
        <v/>
      </c>
      <c r="L457" s="15" t="str">
        <v/>
      </c>
      <c r="M457" s="10" t="str">
        <v/>
      </c>
      <c r="N457" s="14"/>
      <c r="O457" s="15" t="str" cm="1">
        <f t="array" ref="O457">IFERROR(_xlfn.LET(
_xlpm.clean,TRIM(SUBSTITUTE(SUBSTITUTE(P457,CHAR(160),"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7" s="15"/>
      <c r="R457" t="str">
        <v/>
      </c>
      <c r="S457" t="str">
        <f t="shared" si="8"/>
        <v/>
      </c>
    </row>
    <row r="458" spans="1:19" ht="12.75">
      <c r="A458" s="15" t="str">
        <v/>
      </c>
      <c r="B458" s="15" t="str">
        <v/>
      </c>
      <c r="C458" s="15" t="str" cm="1">
        <f t="array" ref="C458">IFERROR(_xlfn.TEXTJOIN("",TRUE,_xlfn._xlws.FILTER(MID(S458,_xlfn.SEQUENCE(LEN(S458)),1),ISNUMBER(SEARCH(MID(S458,_xlfn.SEQUENCE(LEN(S458)),1),"ABCDEFGHIJKLMNOPQRSTUVWXYZabcdefghijklmnopqrstuvwxyz0123456789,")))),"")</f>
        <v/>
      </c>
      <c r="D458" s="15" t="str">
        <v/>
      </c>
      <c r="E458" s="16" t="str">
        <v/>
      </c>
      <c r="F458" s="15" t="str">
        <v/>
      </c>
      <c r="G458" s="20" t="str" cm="1">
        <f t="array" ref="G458">IF(TRIM(P458)="","",IF(SUM(COUNTIF(P458,{"*NLGD*","*FWG*"}))&gt;0,P458,IF(SUM(COUNTIF(P458,{"*GL*","*DGB*","*DGI*","*GT*","*CS*","*PWU*","*DBI*","*SWU*"}))=0,P458,IF(IFERROR(VALUE(SUBSTITUTE(SUBSTITUTE(O458,"W",""),"""","")),0)&gt;52,P458&amp;"-OVRSIZE-",P458))))</f>
        <v/>
      </c>
      <c r="H458" s="15" t="str">
        <v/>
      </c>
      <c r="I458" s="15" t="str">
        <v/>
      </c>
      <c r="J458" s="15" t="str">
        <v/>
      </c>
      <c r="K458" s="15" t="str">
        <v/>
      </c>
      <c r="L458" s="15" t="str">
        <v/>
      </c>
      <c r="M458" s="10" t="str">
        <v/>
      </c>
      <c r="N458" s="14"/>
      <c r="O458" s="15" t="str" cm="1">
        <f t="array" ref="O458">IFERROR(_xlfn.LET(
_xlpm.clean,TRIM(SUBSTITUTE(SUBSTITUTE(P458,CHAR(160),"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8" s="15"/>
      <c r="R458" t="str">
        <v/>
      </c>
      <c r="S458" t="str">
        <f t="shared" si="8"/>
        <v/>
      </c>
    </row>
    <row r="459" spans="1:19" ht="12.75">
      <c r="A459" s="15" t="str">
        <v/>
      </c>
      <c r="B459" s="15" t="str">
        <v/>
      </c>
      <c r="C459" s="15" t="str" cm="1">
        <f t="array" ref="C459">IFERROR(_xlfn.TEXTJOIN("",TRUE,_xlfn._xlws.FILTER(MID(S459,_xlfn.SEQUENCE(LEN(S459)),1),ISNUMBER(SEARCH(MID(S459,_xlfn.SEQUENCE(LEN(S459)),1),"ABCDEFGHIJKLMNOPQRSTUVWXYZabcdefghijklmnopqrstuvwxyz0123456789,")))),"")</f>
        <v/>
      </c>
      <c r="D459" s="15" t="str">
        <v/>
      </c>
      <c r="E459" s="16" t="str">
        <v/>
      </c>
      <c r="F459" s="15" t="str">
        <v/>
      </c>
      <c r="G459" s="20" t="str" cm="1">
        <f t="array" ref="G459">IF(TRIM(P459)="","",IF(SUM(COUNTIF(P459,{"*NLGD*","*FWG*"}))&gt;0,P459,IF(SUM(COUNTIF(P459,{"*GL*","*DGB*","*DGI*","*GT*","*CS*","*PWU*","*DBI*","*SWU*"}))=0,P459,IF(IFERROR(VALUE(SUBSTITUTE(SUBSTITUTE(O459,"W",""),"""","")),0)&gt;52,P459&amp;"-OVRSIZE-",P459))))</f>
        <v/>
      </c>
      <c r="H459" s="15" t="str">
        <v/>
      </c>
      <c r="I459" s="15" t="str">
        <v/>
      </c>
      <c r="J459" s="15" t="str">
        <v/>
      </c>
      <c r="K459" s="15" t="str">
        <v/>
      </c>
      <c r="L459" s="15" t="str">
        <v/>
      </c>
      <c r="M459" s="10" t="str">
        <v/>
      </c>
      <c r="N459" s="14"/>
      <c r="O459" s="15" t="str" cm="1">
        <f t="array" ref="O459">IFERROR(_xlfn.LET(
_xlpm.clean,TRIM(SUBSTITUTE(SUBSTITUTE(P459,CHAR(160),"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59" s="15"/>
      <c r="R459" t="str">
        <v/>
      </c>
      <c r="S459" t="str">
        <f t="shared" si="8"/>
        <v/>
      </c>
    </row>
    <row r="460" spans="1:19" ht="12.75">
      <c r="A460" s="15" t="str">
        <v/>
      </c>
      <c r="B460" s="15" t="str">
        <v/>
      </c>
      <c r="C460" s="15" t="str" cm="1">
        <f t="array" ref="C460">IFERROR(_xlfn.TEXTJOIN("",TRUE,_xlfn._xlws.FILTER(MID(S460,_xlfn.SEQUENCE(LEN(S460)),1),ISNUMBER(SEARCH(MID(S460,_xlfn.SEQUENCE(LEN(S460)),1),"ABCDEFGHIJKLMNOPQRSTUVWXYZabcdefghijklmnopqrstuvwxyz0123456789,")))),"")</f>
        <v/>
      </c>
      <c r="D460" s="15" t="str">
        <v/>
      </c>
      <c r="E460" s="16" t="str">
        <v/>
      </c>
      <c r="F460" s="15" t="str">
        <v/>
      </c>
      <c r="G460" s="20" t="str" cm="1">
        <f t="array" ref="G460">IF(TRIM(P460)="","",IF(SUM(COUNTIF(P460,{"*NLGD*","*FWG*"}))&gt;0,P460,IF(SUM(COUNTIF(P460,{"*GL*","*DGB*","*DGI*","*GT*","*CS*","*PWU*","*DBI*","*SWU*"}))=0,P460,IF(IFERROR(VALUE(SUBSTITUTE(SUBSTITUTE(O460,"W",""),"""","")),0)&gt;52,P460&amp;"-OVRSIZE-",P460))))</f>
        <v/>
      </c>
      <c r="H460" s="15" t="str">
        <v/>
      </c>
      <c r="I460" s="15" t="str">
        <v/>
      </c>
      <c r="J460" s="15" t="str">
        <v/>
      </c>
      <c r="K460" s="15" t="str">
        <v/>
      </c>
      <c r="L460" s="15" t="str">
        <v/>
      </c>
      <c r="M460" s="10" t="str">
        <v/>
      </c>
      <c r="N460" s="14"/>
      <c r="O460" s="15" t="str" cm="1">
        <f t="array" ref="O460">IFERROR(_xlfn.LET(
_xlpm.clean,TRIM(SUBSTITUTE(SUBSTITUTE(P460,CHAR(160),"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0" s="15"/>
      <c r="R460" t="str">
        <v/>
      </c>
      <c r="S460" t="str">
        <f t="shared" si="8"/>
        <v/>
      </c>
    </row>
    <row r="461" spans="1:19" ht="12.75">
      <c r="A461" s="15" t="str">
        <v/>
      </c>
      <c r="B461" s="15" t="str">
        <v/>
      </c>
      <c r="C461" s="15" t="str" cm="1">
        <f t="array" ref="C461">IFERROR(_xlfn.TEXTJOIN("",TRUE,_xlfn._xlws.FILTER(MID(S461,_xlfn.SEQUENCE(LEN(S461)),1),ISNUMBER(SEARCH(MID(S461,_xlfn.SEQUENCE(LEN(S461)),1),"ABCDEFGHIJKLMNOPQRSTUVWXYZabcdefghijklmnopqrstuvwxyz0123456789,")))),"")</f>
        <v/>
      </c>
      <c r="D461" s="15" t="str">
        <v/>
      </c>
      <c r="E461" s="16" t="str">
        <v/>
      </c>
      <c r="F461" s="15" t="str">
        <v/>
      </c>
      <c r="G461" s="20" t="str" cm="1">
        <f t="array" ref="G461">IF(TRIM(P461)="","",IF(SUM(COUNTIF(P461,{"*NLGD*","*FWG*"}))&gt;0,P461,IF(SUM(COUNTIF(P461,{"*GL*","*DGB*","*DGI*","*GT*","*CS*","*PWU*","*DBI*","*SWU*"}))=0,P461,IF(IFERROR(VALUE(SUBSTITUTE(SUBSTITUTE(O461,"W",""),"""","")),0)&gt;52,P461&amp;"-OVRSIZE-",P461))))</f>
        <v/>
      </c>
      <c r="H461" s="15" t="str">
        <v/>
      </c>
      <c r="I461" s="15" t="str">
        <v/>
      </c>
      <c r="J461" s="15" t="str">
        <v/>
      </c>
      <c r="K461" s="15" t="str">
        <v/>
      </c>
      <c r="L461" s="15" t="str">
        <v/>
      </c>
      <c r="M461" s="10" t="str">
        <v/>
      </c>
      <c r="N461" s="14"/>
      <c r="O461" s="15" t="str" cm="1">
        <f t="array" ref="O461">IFERROR(_xlfn.LET(
_xlpm.clean,TRIM(SUBSTITUTE(SUBSTITUTE(P461,CHAR(160),"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1" s="15"/>
      <c r="R461" t="str">
        <v/>
      </c>
      <c r="S461" t="str">
        <f t="shared" si="8"/>
        <v/>
      </c>
    </row>
    <row r="462" spans="1:19" ht="12.75">
      <c r="A462" s="15" t="str">
        <v/>
      </c>
      <c r="B462" s="15" t="str">
        <v/>
      </c>
      <c r="C462" s="15" t="str" cm="1">
        <f t="array" ref="C462">IFERROR(_xlfn.TEXTJOIN("",TRUE,_xlfn._xlws.FILTER(MID(S462,_xlfn.SEQUENCE(LEN(S462)),1),ISNUMBER(SEARCH(MID(S462,_xlfn.SEQUENCE(LEN(S462)),1),"ABCDEFGHIJKLMNOPQRSTUVWXYZabcdefghijklmnopqrstuvwxyz0123456789,")))),"")</f>
        <v/>
      </c>
      <c r="D462" s="15" t="str">
        <v/>
      </c>
      <c r="E462" s="16" t="str">
        <v/>
      </c>
      <c r="F462" s="15" t="str">
        <v/>
      </c>
      <c r="G462" s="20" t="str" cm="1">
        <f t="array" ref="G462">IF(TRIM(P462)="","",IF(SUM(COUNTIF(P462,{"*NLGD*","*FWG*"}))&gt;0,P462,IF(SUM(COUNTIF(P462,{"*GL*","*DGB*","*DGI*","*GT*","*CS*","*PWU*","*DBI*","*SWU*"}))=0,P462,IF(IFERROR(VALUE(SUBSTITUTE(SUBSTITUTE(O462,"W",""),"""","")),0)&gt;52,P462&amp;"-OVRSIZE-",P462))))</f>
        <v/>
      </c>
      <c r="H462" s="15" t="str">
        <v/>
      </c>
      <c r="I462" s="15" t="str">
        <v/>
      </c>
      <c r="J462" s="15" t="str">
        <v/>
      </c>
      <c r="K462" s="15" t="str">
        <v/>
      </c>
      <c r="L462" s="15" t="str">
        <v/>
      </c>
      <c r="M462" s="10" t="str">
        <v/>
      </c>
      <c r="N462" s="14"/>
      <c r="O462" s="15" t="str" cm="1">
        <f t="array" ref="O462">IFERROR(_xlfn.LET(
_xlpm.clean,TRIM(SUBSTITUTE(SUBSTITUTE(P462,CHAR(160),"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2" s="15"/>
      <c r="R462" t="str">
        <v/>
      </c>
      <c r="S462" t="str">
        <f t="shared" si="8"/>
        <v/>
      </c>
    </row>
    <row r="463" spans="1:19" ht="12.75">
      <c r="A463" s="15" t="str">
        <v/>
      </c>
      <c r="B463" s="15" t="str">
        <v/>
      </c>
      <c r="C463" s="15" t="str" cm="1">
        <f t="array" ref="C463">IFERROR(_xlfn.TEXTJOIN("",TRUE,_xlfn._xlws.FILTER(MID(S463,_xlfn.SEQUENCE(LEN(S463)),1),ISNUMBER(SEARCH(MID(S463,_xlfn.SEQUENCE(LEN(S463)),1),"ABCDEFGHIJKLMNOPQRSTUVWXYZabcdefghijklmnopqrstuvwxyz0123456789,")))),"")</f>
        <v/>
      </c>
      <c r="D463" s="15" t="str">
        <v/>
      </c>
      <c r="E463" s="16" t="str">
        <v/>
      </c>
      <c r="F463" s="15" t="str">
        <v/>
      </c>
      <c r="G463" s="20" t="str" cm="1">
        <f t="array" ref="G463">IF(TRIM(P463)="","",IF(SUM(COUNTIF(P463,{"*NLGD*","*FWG*"}))&gt;0,P463,IF(SUM(COUNTIF(P463,{"*GL*","*DGB*","*DGI*","*GT*","*CS*","*PWU*","*DBI*","*SWU*"}))=0,P463,IF(IFERROR(VALUE(SUBSTITUTE(SUBSTITUTE(O463,"W",""),"""","")),0)&gt;52,P463&amp;"-OVRSIZE-",P463))))</f>
        <v/>
      </c>
      <c r="H463" s="15" t="str">
        <v/>
      </c>
      <c r="I463" s="15" t="str">
        <v/>
      </c>
      <c r="J463" s="15" t="str">
        <v/>
      </c>
      <c r="K463" s="15" t="str">
        <v/>
      </c>
      <c r="L463" s="15" t="str">
        <v/>
      </c>
      <c r="M463" s="10" t="str">
        <v/>
      </c>
      <c r="N463" s="14"/>
      <c r="O463" s="15" t="str" cm="1">
        <f t="array" ref="O463">IFERROR(_xlfn.LET(
_xlpm.clean,TRIM(SUBSTITUTE(SUBSTITUTE(P463,CHAR(160),"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3" s="15"/>
      <c r="R463" t="str">
        <v/>
      </c>
      <c r="S463" t="str">
        <f t="shared" si="8"/>
        <v/>
      </c>
    </row>
    <row r="464" spans="1:19" ht="12.75">
      <c r="A464" s="15" t="str">
        <v/>
      </c>
      <c r="B464" s="15" t="str">
        <v/>
      </c>
      <c r="C464" s="15" t="str" cm="1">
        <f t="array" ref="C464">IFERROR(_xlfn.TEXTJOIN("",TRUE,_xlfn._xlws.FILTER(MID(S464,_xlfn.SEQUENCE(LEN(S464)),1),ISNUMBER(SEARCH(MID(S464,_xlfn.SEQUENCE(LEN(S464)),1),"ABCDEFGHIJKLMNOPQRSTUVWXYZabcdefghijklmnopqrstuvwxyz0123456789,")))),"")</f>
        <v/>
      </c>
      <c r="D464" s="15" t="str">
        <v/>
      </c>
      <c r="E464" s="16" t="str">
        <v/>
      </c>
      <c r="F464" s="15" t="str">
        <v/>
      </c>
      <c r="G464" s="20" t="str" cm="1">
        <f t="array" ref="G464">IF(TRIM(P464)="","",IF(SUM(COUNTIF(P464,{"*NLGD*","*FWG*"}))&gt;0,P464,IF(SUM(COUNTIF(P464,{"*GL*","*DGB*","*DGI*","*GT*","*CS*","*PWU*","*DBI*","*SWU*"}))=0,P464,IF(IFERROR(VALUE(SUBSTITUTE(SUBSTITUTE(O464,"W",""),"""","")),0)&gt;52,P464&amp;"-OVRSIZE-",P464))))</f>
        <v/>
      </c>
      <c r="H464" s="15" t="str">
        <v/>
      </c>
      <c r="I464" s="15" t="str">
        <v/>
      </c>
      <c r="J464" s="15" t="str">
        <v/>
      </c>
      <c r="K464" s="15" t="str">
        <v/>
      </c>
      <c r="L464" s="15" t="str">
        <v/>
      </c>
      <c r="M464" s="10" t="str">
        <v/>
      </c>
      <c r="N464" s="14"/>
      <c r="O464" s="15" t="str" cm="1">
        <f t="array" ref="O464">IFERROR(_xlfn.LET(
_xlpm.clean,TRIM(SUBSTITUTE(SUBSTITUTE(P464,CHAR(160),"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4" s="15"/>
      <c r="R464" t="str">
        <v/>
      </c>
      <c r="S464" t="str">
        <f t="shared" si="8"/>
        <v/>
      </c>
    </row>
    <row r="465" spans="1:19" ht="12.75">
      <c r="A465" s="15" t="str">
        <v/>
      </c>
      <c r="B465" s="15" t="str">
        <v/>
      </c>
      <c r="C465" s="15" t="str" cm="1">
        <f t="array" ref="C465">IFERROR(_xlfn.TEXTJOIN("",TRUE,_xlfn._xlws.FILTER(MID(S465,_xlfn.SEQUENCE(LEN(S465)),1),ISNUMBER(SEARCH(MID(S465,_xlfn.SEQUENCE(LEN(S465)),1),"ABCDEFGHIJKLMNOPQRSTUVWXYZabcdefghijklmnopqrstuvwxyz0123456789,")))),"")</f>
        <v/>
      </c>
      <c r="D465" s="15" t="str">
        <v/>
      </c>
      <c r="E465" s="16" t="str">
        <v/>
      </c>
      <c r="F465" s="15" t="str">
        <v/>
      </c>
      <c r="G465" s="20" t="str" cm="1">
        <f t="array" ref="G465">IF(TRIM(P465)="","",IF(SUM(COUNTIF(P465,{"*NLGD*","*FWG*"}))&gt;0,P465,IF(SUM(COUNTIF(P465,{"*GL*","*DGB*","*DGI*","*GT*","*CS*","*PWU*","*DBI*","*SWU*"}))=0,P465,IF(IFERROR(VALUE(SUBSTITUTE(SUBSTITUTE(O465,"W",""),"""","")),0)&gt;52,P465&amp;"-OVRSIZE-",P465))))</f>
        <v/>
      </c>
      <c r="H465" s="15" t="str">
        <v/>
      </c>
      <c r="I465" s="15" t="str">
        <v/>
      </c>
      <c r="J465" s="15" t="str">
        <v/>
      </c>
      <c r="K465" s="15" t="str">
        <v/>
      </c>
      <c r="L465" s="15" t="str">
        <v/>
      </c>
      <c r="M465" s="10" t="str">
        <v/>
      </c>
      <c r="N465" s="14"/>
      <c r="O465" s="15" t="str" cm="1">
        <f t="array" ref="O465">IFERROR(_xlfn.LET(
_xlpm.clean,TRIM(SUBSTITUTE(SUBSTITUTE(P465,CHAR(160),"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5" s="15"/>
      <c r="R465" t="str">
        <v/>
      </c>
      <c r="S465" t="str">
        <f t="shared" si="8"/>
        <v/>
      </c>
    </row>
    <row r="466" spans="1:19" ht="12.75">
      <c r="A466" s="15" t="str">
        <v/>
      </c>
      <c r="B466" s="15" t="str">
        <v/>
      </c>
      <c r="C466" s="15" t="str" cm="1">
        <f t="array" ref="C466">IFERROR(_xlfn.TEXTJOIN("",TRUE,_xlfn._xlws.FILTER(MID(S466,_xlfn.SEQUENCE(LEN(S466)),1),ISNUMBER(SEARCH(MID(S466,_xlfn.SEQUENCE(LEN(S466)),1),"ABCDEFGHIJKLMNOPQRSTUVWXYZabcdefghijklmnopqrstuvwxyz0123456789,")))),"")</f>
        <v/>
      </c>
      <c r="D466" s="15" t="str">
        <v/>
      </c>
      <c r="E466" s="16" t="str">
        <v/>
      </c>
      <c r="F466" s="15" t="str">
        <v/>
      </c>
      <c r="G466" s="20" t="str" cm="1">
        <f t="array" ref="G466">IF(TRIM(P466)="","",IF(SUM(COUNTIF(P466,{"*NLGD*","*FWG*"}))&gt;0,P466,IF(SUM(COUNTIF(P466,{"*GL*","*DGB*","*DGI*","*GT*","*CS*","*PWU*","*DBI*","*SWU*"}))=0,P466,IF(IFERROR(VALUE(SUBSTITUTE(SUBSTITUTE(O466,"W",""),"""","")),0)&gt;52,P466&amp;"-OVRSIZE-",P466))))</f>
        <v/>
      </c>
      <c r="H466" s="15" t="str">
        <v/>
      </c>
      <c r="I466" s="15" t="str">
        <v/>
      </c>
      <c r="J466" s="15" t="str">
        <v/>
      </c>
      <c r="K466" s="15" t="str">
        <v/>
      </c>
      <c r="L466" s="15" t="str">
        <v/>
      </c>
      <c r="M466" s="10" t="str">
        <v/>
      </c>
      <c r="N466" s="14"/>
      <c r="O466" s="15" t="str" cm="1">
        <f t="array" ref="O466">IFERROR(_xlfn.LET(
_xlpm.clean,TRIM(SUBSTITUTE(SUBSTITUTE(P466,CHAR(160),"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6" s="15"/>
      <c r="R466" t="str">
        <v/>
      </c>
      <c r="S466" t="str">
        <f t="shared" si="8"/>
        <v/>
      </c>
    </row>
    <row r="467" spans="1:19" ht="12.75">
      <c r="A467" s="15" t="str">
        <v/>
      </c>
      <c r="B467" s="15" t="str">
        <v/>
      </c>
      <c r="C467" s="15" t="str" cm="1">
        <f t="array" ref="C467">IFERROR(_xlfn.TEXTJOIN("",TRUE,_xlfn._xlws.FILTER(MID(S467,_xlfn.SEQUENCE(LEN(S467)),1),ISNUMBER(SEARCH(MID(S467,_xlfn.SEQUENCE(LEN(S467)),1),"ABCDEFGHIJKLMNOPQRSTUVWXYZabcdefghijklmnopqrstuvwxyz0123456789,")))),"")</f>
        <v/>
      </c>
      <c r="D467" s="15" t="str">
        <v/>
      </c>
      <c r="E467" s="16" t="str">
        <v/>
      </c>
      <c r="F467" s="15" t="str">
        <v/>
      </c>
      <c r="G467" s="20" t="str" cm="1">
        <f t="array" ref="G467">IF(TRIM(P467)="","",IF(SUM(COUNTIF(P467,{"*NLGD*","*FWG*"}))&gt;0,P467,IF(SUM(COUNTIF(P467,{"*GL*","*DGB*","*DGI*","*GT*","*CS*","*PWU*","*DBI*","*SWU*"}))=0,P467,IF(IFERROR(VALUE(SUBSTITUTE(SUBSTITUTE(O467,"W",""),"""","")),0)&gt;52,P467&amp;"-OVRSIZE-",P467))))</f>
        <v/>
      </c>
      <c r="H467" s="15" t="str">
        <v/>
      </c>
      <c r="I467" s="15" t="str">
        <v/>
      </c>
      <c r="J467" s="15" t="str">
        <v/>
      </c>
      <c r="K467" s="15" t="str">
        <v/>
      </c>
      <c r="L467" s="15" t="str">
        <v/>
      </c>
      <c r="M467" s="10" t="str">
        <v/>
      </c>
      <c r="N467" s="14"/>
      <c r="O467" s="15" t="str" cm="1">
        <f t="array" ref="O467">IFERROR(_xlfn.LET(
_xlpm.clean,TRIM(SUBSTITUTE(SUBSTITUTE(P467,CHAR(160),"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7" s="15"/>
      <c r="R467" t="str">
        <v/>
      </c>
      <c r="S467" t="str">
        <f t="shared" si="8"/>
        <v/>
      </c>
    </row>
    <row r="468" spans="1:19" ht="12.75">
      <c r="A468" s="15" t="str">
        <v/>
      </c>
      <c r="B468" s="15" t="str">
        <v/>
      </c>
      <c r="C468" s="15" t="str" cm="1">
        <f t="array" ref="C468">IFERROR(_xlfn.TEXTJOIN("",TRUE,_xlfn._xlws.FILTER(MID(S468,_xlfn.SEQUENCE(LEN(S468)),1),ISNUMBER(SEARCH(MID(S468,_xlfn.SEQUENCE(LEN(S468)),1),"ABCDEFGHIJKLMNOPQRSTUVWXYZabcdefghijklmnopqrstuvwxyz0123456789,")))),"")</f>
        <v/>
      </c>
      <c r="D468" s="15" t="str">
        <v/>
      </c>
      <c r="E468" s="16" t="str">
        <v/>
      </c>
      <c r="F468" s="15" t="str">
        <v/>
      </c>
      <c r="G468" s="20" t="str" cm="1">
        <f t="array" ref="G468">IF(TRIM(P468)="","",IF(SUM(COUNTIF(P468,{"*NLGD*","*FWG*"}))&gt;0,P468,IF(SUM(COUNTIF(P468,{"*GL*","*DGB*","*DGI*","*GT*","*CS*","*PWU*","*DBI*","*SWU*"}))=0,P468,IF(IFERROR(VALUE(SUBSTITUTE(SUBSTITUTE(O468,"W",""),"""","")),0)&gt;52,P468&amp;"-OVRSIZE-",P468))))</f>
        <v/>
      </c>
      <c r="H468" s="15" t="str">
        <v/>
      </c>
      <c r="I468" s="15" t="str">
        <v/>
      </c>
      <c r="J468" s="15" t="str">
        <v/>
      </c>
      <c r="K468" s="15" t="str">
        <v/>
      </c>
      <c r="L468" s="15" t="str">
        <v/>
      </c>
      <c r="M468" s="10" t="str">
        <v/>
      </c>
      <c r="N468" s="14"/>
      <c r="O468" s="15" t="str" cm="1">
        <f t="array" ref="O468">IFERROR(_xlfn.LET(
_xlpm.clean,TRIM(SUBSTITUTE(SUBSTITUTE(P468,CHAR(160),"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8" s="15"/>
      <c r="R468" t="str">
        <v/>
      </c>
      <c r="S468" t="str">
        <f t="shared" si="8"/>
        <v/>
      </c>
    </row>
    <row r="469" spans="1:19" ht="12.75">
      <c r="A469" s="15" t="str">
        <v/>
      </c>
      <c r="B469" s="15" t="str">
        <v/>
      </c>
      <c r="C469" s="15" t="str" cm="1">
        <f t="array" ref="C469">IFERROR(_xlfn.TEXTJOIN("",TRUE,_xlfn._xlws.FILTER(MID(S469,_xlfn.SEQUENCE(LEN(S469)),1),ISNUMBER(SEARCH(MID(S469,_xlfn.SEQUENCE(LEN(S469)),1),"ABCDEFGHIJKLMNOPQRSTUVWXYZabcdefghijklmnopqrstuvwxyz0123456789,")))),"")</f>
        <v/>
      </c>
      <c r="D469" s="15" t="str">
        <v/>
      </c>
      <c r="E469" s="16" t="str">
        <v/>
      </c>
      <c r="F469" s="15" t="str">
        <v/>
      </c>
      <c r="G469" s="20" t="str" cm="1">
        <f t="array" ref="G469">IF(TRIM(P469)="","",IF(SUM(COUNTIF(P469,{"*NLGD*","*FWG*"}))&gt;0,P469,IF(SUM(COUNTIF(P469,{"*GL*","*DGB*","*DGI*","*GT*","*CS*","*PWU*","*DBI*","*SWU*"}))=0,P469,IF(IFERROR(VALUE(SUBSTITUTE(SUBSTITUTE(O469,"W",""),"""","")),0)&gt;52,P469&amp;"-OVRSIZE-",P469))))</f>
        <v/>
      </c>
      <c r="H469" s="15" t="str">
        <v/>
      </c>
      <c r="I469" s="15" t="str">
        <v/>
      </c>
      <c r="J469" s="15" t="str">
        <v/>
      </c>
      <c r="K469" s="15" t="str">
        <v/>
      </c>
      <c r="L469" s="15" t="str">
        <v/>
      </c>
      <c r="M469" s="10" t="str">
        <v/>
      </c>
      <c r="N469" s="14"/>
      <c r="O469" s="15" t="str" cm="1">
        <f t="array" ref="O469">IFERROR(_xlfn.LET(
_xlpm.clean,TRIM(SUBSTITUTE(SUBSTITUTE(P469,CHAR(160),"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9" s="15"/>
      <c r="R469" t="str">
        <v/>
      </c>
      <c r="S469" t="str">
        <f t="shared" si="8"/>
        <v/>
      </c>
    </row>
    <row r="470" spans="1:19" ht="12.75">
      <c r="A470" s="15" t="str">
        <v/>
      </c>
      <c r="B470" s="15" t="str">
        <v/>
      </c>
      <c r="C470" s="15" t="str" cm="1">
        <f t="array" ref="C470">IFERROR(_xlfn.TEXTJOIN("",TRUE,_xlfn._xlws.FILTER(MID(S470,_xlfn.SEQUENCE(LEN(S470)),1),ISNUMBER(SEARCH(MID(S470,_xlfn.SEQUENCE(LEN(S470)),1),"ABCDEFGHIJKLMNOPQRSTUVWXYZabcdefghijklmnopqrstuvwxyz0123456789,")))),"")</f>
        <v/>
      </c>
      <c r="D470" s="15" t="str">
        <v/>
      </c>
      <c r="E470" s="16" t="str">
        <v/>
      </c>
      <c r="F470" s="15" t="str">
        <v/>
      </c>
      <c r="G470" s="20" t="str" cm="1">
        <f t="array" ref="G470">IF(TRIM(P470)="","",IF(SUM(COUNTIF(P470,{"*NLGD*","*FWG*"}))&gt;0,P470,IF(SUM(COUNTIF(P470,{"*GL*","*DGB*","*DGI*","*GT*","*CS*","*PWU*","*DBI*","*SWU*"}))=0,P470,IF(IFERROR(VALUE(SUBSTITUTE(SUBSTITUTE(O470,"W",""),"""","")),0)&gt;52,P470&amp;"-OVRSIZE-",P470))))</f>
        <v/>
      </c>
      <c r="H470" s="15" t="str">
        <v/>
      </c>
      <c r="I470" s="15" t="str">
        <v/>
      </c>
      <c r="J470" s="15" t="str">
        <v/>
      </c>
      <c r="K470" s="15" t="str">
        <v/>
      </c>
      <c r="L470" s="15" t="str">
        <v/>
      </c>
      <c r="M470" s="10" t="str">
        <v/>
      </c>
      <c r="N470" s="14"/>
      <c r="O470" s="15" t="str" cm="1">
        <f t="array" ref="O470">IFERROR(_xlfn.LET(
_xlpm.clean,TRIM(SUBSTITUTE(SUBSTITUTE(P470,CHAR(160),"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0" s="15"/>
      <c r="R470" t="str">
        <v/>
      </c>
      <c r="S470" t="str">
        <f t="shared" si="8"/>
        <v/>
      </c>
    </row>
    <row r="471" spans="1:19" ht="12.75">
      <c r="A471" s="15" t="str">
        <v/>
      </c>
      <c r="B471" s="15" t="str">
        <v/>
      </c>
      <c r="C471" s="15" t="str" cm="1">
        <f t="array" ref="C471">IFERROR(_xlfn.TEXTJOIN("",TRUE,_xlfn._xlws.FILTER(MID(S471,_xlfn.SEQUENCE(LEN(S471)),1),ISNUMBER(SEARCH(MID(S471,_xlfn.SEQUENCE(LEN(S471)),1),"ABCDEFGHIJKLMNOPQRSTUVWXYZabcdefghijklmnopqrstuvwxyz0123456789,")))),"")</f>
        <v/>
      </c>
      <c r="D471" s="15" t="str">
        <v/>
      </c>
      <c r="E471" s="16" t="str">
        <v/>
      </c>
      <c r="F471" s="15" t="str">
        <v/>
      </c>
      <c r="G471" s="20" t="str" cm="1">
        <f t="array" ref="G471">IF(TRIM(P471)="","",IF(SUM(COUNTIF(P471,{"*NLGD*","*FWG*"}))&gt;0,P471,IF(SUM(COUNTIF(P471,{"*GL*","*DGB*","*DGI*","*GT*","*CS*","*PWU*","*DBI*","*SWU*"}))=0,P471,IF(IFERROR(VALUE(SUBSTITUTE(SUBSTITUTE(O471,"W",""),"""","")),0)&gt;52,P471&amp;"-OVRSIZE-",P471))))</f>
        <v/>
      </c>
      <c r="H471" s="15" t="str">
        <v/>
      </c>
      <c r="I471" s="15" t="str">
        <v/>
      </c>
      <c r="J471" s="15" t="str">
        <v/>
      </c>
      <c r="K471" s="15" t="str">
        <v/>
      </c>
      <c r="L471" s="15" t="str">
        <v/>
      </c>
      <c r="M471" s="10" t="str">
        <v/>
      </c>
      <c r="N471" s="14"/>
      <c r="O471" s="15" t="str" cm="1">
        <f t="array" ref="O471">IFERROR(_xlfn.LET(
_xlpm.clean,TRIM(SUBSTITUTE(SUBSTITUTE(P471,CHAR(160),"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1" s="15"/>
      <c r="R471" t="str">
        <v/>
      </c>
      <c r="S471" t="str">
        <f t="shared" si="8"/>
        <v/>
      </c>
    </row>
    <row r="472" spans="1:19" ht="12.75">
      <c r="A472" s="15" t="str">
        <v/>
      </c>
      <c r="B472" s="15" t="str">
        <v/>
      </c>
      <c r="C472" s="15" t="str" cm="1">
        <f t="array" ref="C472">IFERROR(_xlfn.TEXTJOIN("",TRUE,_xlfn._xlws.FILTER(MID(S472,_xlfn.SEQUENCE(LEN(S472)),1),ISNUMBER(SEARCH(MID(S472,_xlfn.SEQUENCE(LEN(S472)),1),"ABCDEFGHIJKLMNOPQRSTUVWXYZabcdefghijklmnopqrstuvwxyz0123456789,")))),"")</f>
        <v/>
      </c>
      <c r="D472" s="15" t="str">
        <v/>
      </c>
      <c r="E472" s="16" t="str">
        <v/>
      </c>
      <c r="F472" s="15" t="str">
        <v/>
      </c>
      <c r="G472" s="20" t="str" cm="1">
        <f t="array" ref="G472">IF(TRIM(P472)="","",IF(SUM(COUNTIF(P472,{"*NLGD*","*FWG*"}))&gt;0,P472,IF(SUM(COUNTIF(P472,{"*GL*","*DGB*","*DGI*","*GT*","*CS*","*PWU*","*DBI*","*SWU*"}))=0,P472,IF(IFERROR(VALUE(SUBSTITUTE(SUBSTITUTE(O472,"W",""),"""","")),0)&gt;52,P472&amp;"-OVRSIZE-",P472))))</f>
        <v/>
      </c>
      <c r="H472" s="15" t="str">
        <v/>
      </c>
      <c r="I472" s="15" t="str">
        <v/>
      </c>
      <c r="J472" s="15" t="str">
        <v/>
      </c>
      <c r="K472" s="15" t="str">
        <v/>
      </c>
      <c r="L472" s="15" t="str">
        <v/>
      </c>
      <c r="M472" s="10" t="str">
        <v/>
      </c>
      <c r="N472" s="14"/>
      <c r="O472" s="15" t="str" cm="1">
        <f t="array" ref="O472">IFERROR(_xlfn.LET(
_xlpm.clean,TRIM(SUBSTITUTE(SUBSTITUTE(P472,CHAR(160),"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2" s="15"/>
      <c r="R472" t="str">
        <v/>
      </c>
      <c r="S472" t="str">
        <f t="shared" si="8"/>
        <v/>
      </c>
    </row>
    <row r="473" spans="1:19" ht="12.75">
      <c r="A473" s="15" t="str">
        <v/>
      </c>
      <c r="B473" s="15" t="str">
        <v/>
      </c>
      <c r="C473" s="15" t="str" cm="1">
        <f t="array" ref="C473">IFERROR(_xlfn.TEXTJOIN("",TRUE,_xlfn._xlws.FILTER(MID(S473,_xlfn.SEQUENCE(LEN(S473)),1),ISNUMBER(SEARCH(MID(S473,_xlfn.SEQUENCE(LEN(S473)),1),"ABCDEFGHIJKLMNOPQRSTUVWXYZabcdefghijklmnopqrstuvwxyz0123456789,")))),"")</f>
        <v/>
      </c>
      <c r="D473" s="15" t="str">
        <v/>
      </c>
      <c r="E473" s="16" t="str">
        <v/>
      </c>
      <c r="F473" s="15" t="str">
        <v/>
      </c>
      <c r="G473" s="20" t="str" cm="1">
        <f t="array" ref="G473">IF(TRIM(P473)="","",IF(SUM(COUNTIF(P473,{"*NLGD*","*FWG*"}))&gt;0,P473,IF(SUM(COUNTIF(P473,{"*GL*","*DGB*","*DGI*","*GT*","*CS*","*PWU*","*DBI*","*SWU*"}))=0,P473,IF(IFERROR(VALUE(SUBSTITUTE(SUBSTITUTE(O473,"W",""),"""","")),0)&gt;52,P473&amp;"-OVRSIZE-",P473))))</f>
        <v/>
      </c>
      <c r="H473" s="15" t="str">
        <v/>
      </c>
      <c r="I473" s="15" t="str">
        <v/>
      </c>
      <c r="J473" s="15" t="str">
        <v/>
      </c>
      <c r="K473" s="15" t="str">
        <v/>
      </c>
      <c r="L473" s="15" t="str">
        <v/>
      </c>
      <c r="M473" s="10" t="str">
        <v/>
      </c>
      <c r="N473" s="14"/>
      <c r="O473" s="15" t="str" cm="1">
        <f t="array" ref="O473">IFERROR(_xlfn.LET(
_xlpm.clean,TRIM(SUBSTITUTE(SUBSTITUTE(P473,CHAR(160),"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3" s="15"/>
      <c r="R473" t="str">
        <v/>
      </c>
      <c r="S473" t="str">
        <f t="shared" si="8"/>
        <v/>
      </c>
    </row>
    <row r="474" spans="1:19" ht="12.75">
      <c r="A474" s="15" t="str">
        <v/>
      </c>
      <c r="B474" s="15" t="str">
        <v/>
      </c>
      <c r="C474" s="15" t="str" cm="1">
        <f t="array" ref="C474">IFERROR(_xlfn.TEXTJOIN("",TRUE,_xlfn._xlws.FILTER(MID(S474,_xlfn.SEQUENCE(LEN(S474)),1),ISNUMBER(SEARCH(MID(S474,_xlfn.SEQUENCE(LEN(S474)),1),"ABCDEFGHIJKLMNOPQRSTUVWXYZabcdefghijklmnopqrstuvwxyz0123456789,")))),"")</f>
        <v/>
      </c>
      <c r="D474" s="15" t="str">
        <v/>
      </c>
      <c r="E474" s="16" t="str">
        <v/>
      </c>
      <c r="F474" s="15" t="str">
        <v/>
      </c>
      <c r="G474" s="20" t="str" cm="1">
        <f t="array" ref="G474">IF(TRIM(P474)="","",IF(SUM(COUNTIF(P474,{"*NLGD*","*FWG*"}))&gt;0,P474,IF(SUM(COUNTIF(P474,{"*GL*","*DGB*","*DGI*","*GT*","*CS*","*PWU*","*DBI*","*SWU*"}))=0,P474,IF(IFERROR(VALUE(SUBSTITUTE(SUBSTITUTE(O474,"W",""),"""","")),0)&gt;52,P474&amp;"-OVRSIZE-",P474))))</f>
        <v/>
      </c>
      <c r="H474" s="15" t="str">
        <v/>
      </c>
      <c r="I474" s="15" t="str">
        <v/>
      </c>
      <c r="J474" s="15" t="str">
        <v/>
      </c>
      <c r="K474" s="15" t="str">
        <v/>
      </c>
      <c r="L474" s="15" t="str">
        <v/>
      </c>
      <c r="M474" s="10" t="str">
        <v/>
      </c>
      <c r="N474" s="14"/>
      <c r="O474" s="15" t="str" cm="1">
        <f t="array" ref="O474">IFERROR(_xlfn.LET(
_xlpm.clean,TRIM(SUBSTITUTE(SUBSTITUTE(P474,CHAR(160),"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4" s="15"/>
      <c r="R474" t="str">
        <v/>
      </c>
      <c r="S474" t="str">
        <f t="shared" si="8"/>
        <v/>
      </c>
    </row>
    <row r="475" spans="1:19" ht="12.75">
      <c r="A475" s="15" t="str">
        <v/>
      </c>
      <c r="B475" s="15" t="str">
        <v/>
      </c>
      <c r="C475" s="15" t="str" cm="1">
        <f t="array" ref="C475">IFERROR(_xlfn.TEXTJOIN("",TRUE,_xlfn._xlws.FILTER(MID(S475,_xlfn.SEQUENCE(LEN(S475)),1),ISNUMBER(SEARCH(MID(S475,_xlfn.SEQUENCE(LEN(S475)),1),"ABCDEFGHIJKLMNOPQRSTUVWXYZabcdefghijklmnopqrstuvwxyz0123456789,")))),"")</f>
        <v/>
      </c>
      <c r="D475" s="15" t="str">
        <v/>
      </c>
      <c r="E475" s="16" t="str">
        <v/>
      </c>
      <c r="F475" s="15" t="str">
        <v/>
      </c>
      <c r="G475" s="20" t="str" cm="1">
        <f t="array" ref="G475">IF(TRIM(P475)="","",IF(SUM(COUNTIF(P475,{"*NLGD*","*FWG*"}))&gt;0,P475,IF(SUM(COUNTIF(P475,{"*GL*","*DGB*","*DGI*","*GT*","*CS*","*PWU*","*DBI*","*SWU*"}))=0,P475,IF(IFERROR(VALUE(SUBSTITUTE(SUBSTITUTE(O475,"W",""),"""","")),0)&gt;52,P475&amp;"-OVRSIZE-",P475))))</f>
        <v/>
      </c>
      <c r="H475" s="15" t="str">
        <v/>
      </c>
      <c r="I475" s="15" t="str">
        <v/>
      </c>
      <c r="J475" s="15" t="str">
        <v/>
      </c>
      <c r="K475" s="15" t="str">
        <v/>
      </c>
      <c r="L475" s="15" t="str">
        <v/>
      </c>
      <c r="M475" s="10" t="str">
        <v/>
      </c>
      <c r="N475" s="14"/>
      <c r="O475" s="15" t="str" cm="1">
        <f t="array" ref="O475">IFERROR(_xlfn.LET(
_xlpm.clean,TRIM(SUBSTITUTE(SUBSTITUTE(P475,CHAR(160),"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5" s="15"/>
      <c r="R475" t="str">
        <v/>
      </c>
      <c r="S475" t="str">
        <f t="shared" si="8"/>
        <v/>
      </c>
    </row>
    <row r="476" spans="1:19" ht="12.75">
      <c r="A476" s="15" t="str">
        <v/>
      </c>
      <c r="B476" s="15" t="str">
        <v/>
      </c>
      <c r="C476" s="15" t="str" cm="1">
        <f t="array" ref="C476">IFERROR(_xlfn.TEXTJOIN("",TRUE,_xlfn._xlws.FILTER(MID(S476,_xlfn.SEQUENCE(LEN(S476)),1),ISNUMBER(SEARCH(MID(S476,_xlfn.SEQUENCE(LEN(S476)),1),"ABCDEFGHIJKLMNOPQRSTUVWXYZabcdefghijklmnopqrstuvwxyz0123456789,")))),"")</f>
        <v/>
      </c>
      <c r="D476" s="15" t="str">
        <v/>
      </c>
      <c r="E476" s="16" t="str">
        <v/>
      </c>
      <c r="F476" s="15" t="str">
        <v/>
      </c>
      <c r="G476" s="20" t="str" cm="1">
        <f t="array" ref="G476">IF(TRIM(P476)="","",IF(SUM(COUNTIF(P476,{"*NLGD*","*FWG*"}))&gt;0,P476,IF(SUM(COUNTIF(P476,{"*GL*","*DGB*","*DGI*","*GT*","*CS*","*PWU*","*DBI*","*SWU*"}))=0,P476,IF(IFERROR(VALUE(SUBSTITUTE(SUBSTITUTE(O476,"W",""),"""","")),0)&gt;52,P476&amp;"-OVRSIZE-",P476))))</f>
        <v/>
      </c>
      <c r="H476" s="15" t="str">
        <v/>
      </c>
      <c r="I476" s="15" t="str">
        <v/>
      </c>
      <c r="J476" s="15" t="str">
        <v/>
      </c>
      <c r="K476" s="15" t="str">
        <v/>
      </c>
      <c r="L476" s="15" t="str">
        <v/>
      </c>
      <c r="M476" s="10" t="str">
        <v/>
      </c>
      <c r="N476" s="14"/>
      <c r="O476" s="15" t="str" cm="1">
        <f t="array" ref="O476">IFERROR(_xlfn.LET(
_xlpm.clean,TRIM(SUBSTITUTE(SUBSTITUTE(P476,CHAR(160),"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6" s="15"/>
      <c r="R476" t="str">
        <v/>
      </c>
      <c r="S476" t="str">
        <f t="shared" si="8"/>
        <v/>
      </c>
    </row>
    <row r="477" spans="1:19" ht="12.75">
      <c r="A477" s="15" t="str">
        <v/>
      </c>
      <c r="B477" s="15" t="str">
        <v/>
      </c>
      <c r="C477" s="15" t="str" cm="1">
        <f t="array" ref="C477">IFERROR(_xlfn.TEXTJOIN("",TRUE,_xlfn._xlws.FILTER(MID(S477,_xlfn.SEQUENCE(LEN(S477)),1),ISNUMBER(SEARCH(MID(S477,_xlfn.SEQUENCE(LEN(S477)),1),"ABCDEFGHIJKLMNOPQRSTUVWXYZabcdefghijklmnopqrstuvwxyz0123456789,")))),"")</f>
        <v/>
      </c>
      <c r="D477" s="15" t="str">
        <v/>
      </c>
      <c r="E477" s="16" t="str">
        <v/>
      </c>
      <c r="F477" s="15" t="str">
        <v/>
      </c>
      <c r="G477" s="20" t="str" cm="1">
        <f t="array" ref="G477">IF(TRIM(P477)="","",IF(SUM(COUNTIF(P477,{"*NLGD*","*FWG*"}))&gt;0,P477,IF(SUM(COUNTIF(P477,{"*GL*","*DGB*","*DGI*","*GT*","*CS*","*PWU*","*DBI*","*SWU*"}))=0,P477,IF(IFERROR(VALUE(SUBSTITUTE(SUBSTITUTE(O477,"W",""),"""","")),0)&gt;52,P477&amp;"-OVRSIZE-",P477))))</f>
        <v/>
      </c>
      <c r="H477" s="15" t="str">
        <v/>
      </c>
      <c r="I477" s="15" t="str">
        <v/>
      </c>
      <c r="J477" s="15" t="str">
        <v/>
      </c>
      <c r="K477" s="15" t="str">
        <v/>
      </c>
      <c r="L477" s="15" t="str">
        <v/>
      </c>
      <c r="M477" s="10" t="str">
        <v/>
      </c>
      <c r="N477" s="14"/>
      <c r="O477" s="15" t="str" cm="1">
        <f t="array" ref="O477">IFERROR(_xlfn.LET(
_xlpm.clean,TRIM(SUBSTITUTE(SUBSTITUTE(P477,CHAR(160),"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7" s="15"/>
      <c r="R477" t="str">
        <v/>
      </c>
      <c r="S477" t="str">
        <f t="shared" si="8"/>
        <v/>
      </c>
    </row>
    <row r="478" spans="1:19" ht="12.75">
      <c r="A478" s="15" t="str">
        <v/>
      </c>
      <c r="B478" s="15" t="str">
        <v/>
      </c>
      <c r="C478" s="15" t="str" cm="1">
        <f t="array" ref="C478">IFERROR(_xlfn.TEXTJOIN("",TRUE,_xlfn._xlws.FILTER(MID(S478,_xlfn.SEQUENCE(LEN(S478)),1),ISNUMBER(SEARCH(MID(S478,_xlfn.SEQUENCE(LEN(S478)),1),"ABCDEFGHIJKLMNOPQRSTUVWXYZabcdefghijklmnopqrstuvwxyz0123456789,")))),"")</f>
        <v/>
      </c>
      <c r="D478" s="15" t="str">
        <v/>
      </c>
      <c r="E478" s="16" t="str">
        <v/>
      </c>
      <c r="F478" s="15" t="str">
        <v/>
      </c>
      <c r="G478" s="20" t="str" cm="1">
        <f t="array" ref="G478">IF(TRIM(P478)="","",IF(SUM(COUNTIF(P478,{"*NLGD*","*FWG*"}))&gt;0,P478,IF(SUM(COUNTIF(P478,{"*GL*","*DGB*","*DGI*","*GT*","*CS*","*PWU*","*DBI*","*SWU*"}))=0,P478,IF(IFERROR(VALUE(SUBSTITUTE(SUBSTITUTE(O478,"W",""),"""","")),0)&gt;52,P478&amp;"-OVRSIZE-",P478))))</f>
        <v/>
      </c>
      <c r="H478" s="15" t="str">
        <v/>
      </c>
      <c r="I478" s="15" t="str">
        <v/>
      </c>
      <c r="J478" s="15" t="str">
        <v/>
      </c>
      <c r="K478" s="15" t="str">
        <v/>
      </c>
      <c r="L478" s="15" t="str">
        <v/>
      </c>
      <c r="M478" s="10" t="str">
        <v/>
      </c>
      <c r="N478" s="14"/>
      <c r="O478" s="15" t="str" cm="1">
        <f t="array" ref="O478">IFERROR(_xlfn.LET(
_xlpm.clean,TRIM(SUBSTITUTE(SUBSTITUTE(P478,CHAR(160),"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8" s="15"/>
      <c r="R478" t="str">
        <v/>
      </c>
      <c r="S478" t="str">
        <f t="shared" si="8"/>
        <v/>
      </c>
    </row>
    <row r="479" spans="1:19" ht="12.75">
      <c r="A479" s="15" t="str">
        <v/>
      </c>
      <c r="B479" s="15" t="str">
        <v/>
      </c>
      <c r="C479" s="15" t="str" cm="1">
        <f t="array" ref="C479">IFERROR(_xlfn.TEXTJOIN("",TRUE,_xlfn._xlws.FILTER(MID(S479,_xlfn.SEQUENCE(LEN(S479)),1),ISNUMBER(SEARCH(MID(S479,_xlfn.SEQUENCE(LEN(S479)),1),"ABCDEFGHIJKLMNOPQRSTUVWXYZabcdefghijklmnopqrstuvwxyz0123456789,")))),"")</f>
        <v/>
      </c>
      <c r="D479" s="15" t="str">
        <v/>
      </c>
      <c r="E479" s="16" t="str">
        <v/>
      </c>
      <c r="F479" s="15" t="str">
        <v/>
      </c>
      <c r="G479" s="20" t="str" cm="1">
        <f t="array" ref="G479">IF(TRIM(P479)="","",IF(SUM(COUNTIF(P479,{"*NLGD*","*FWG*"}))&gt;0,P479,IF(SUM(COUNTIF(P479,{"*GL*","*DGB*","*DGI*","*GT*","*CS*","*PWU*","*DBI*","*SWU*"}))=0,P479,IF(IFERROR(VALUE(SUBSTITUTE(SUBSTITUTE(O479,"W",""),"""","")),0)&gt;52,P479&amp;"-OVRSIZE-",P479))))</f>
        <v/>
      </c>
      <c r="H479" s="15" t="str">
        <v/>
      </c>
      <c r="I479" s="15" t="str">
        <v/>
      </c>
      <c r="J479" s="15" t="str">
        <v/>
      </c>
      <c r="K479" s="15" t="str">
        <v/>
      </c>
      <c r="L479" s="15" t="str">
        <v/>
      </c>
      <c r="M479" s="10" t="str">
        <v/>
      </c>
      <c r="N479" s="14"/>
      <c r="O479" s="15" t="str" cm="1">
        <f t="array" ref="O479">IFERROR(_xlfn.LET(
_xlpm.clean,TRIM(SUBSTITUTE(SUBSTITUTE(P479,CHAR(160),"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9" s="15"/>
      <c r="R479" t="str">
        <v/>
      </c>
      <c r="S479" t="str">
        <f t="shared" si="8"/>
        <v/>
      </c>
    </row>
    <row r="480" spans="1:19" ht="12.75">
      <c r="A480" s="15" t="str">
        <v/>
      </c>
      <c r="B480" s="15" t="str">
        <v/>
      </c>
      <c r="C480" s="15" t="str" cm="1">
        <f t="array" ref="C480">IFERROR(_xlfn.TEXTJOIN("",TRUE,_xlfn._xlws.FILTER(MID(S480,_xlfn.SEQUENCE(LEN(S480)),1),ISNUMBER(SEARCH(MID(S480,_xlfn.SEQUENCE(LEN(S480)),1),"ABCDEFGHIJKLMNOPQRSTUVWXYZabcdefghijklmnopqrstuvwxyz0123456789,")))),"")</f>
        <v/>
      </c>
      <c r="D480" s="15" t="str">
        <v/>
      </c>
      <c r="E480" s="16" t="str">
        <v/>
      </c>
      <c r="F480" s="15" t="str">
        <v/>
      </c>
      <c r="G480" s="20" t="str" cm="1">
        <f t="array" ref="G480">IF(TRIM(P480)="","",IF(SUM(COUNTIF(P480,{"*NLGD*","*FWG*"}))&gt;0,P480,IF(SUM(COUNTIF(P480,{"*GL*","*DGB*","*DGI*","*GT*","*CS*","*PWU*","*DBI*","*SWU*"}))=0,P480,IF(IFERROR(VALUE(SUBSTITUTE(SUBSTITUTE(O480,"W",""),"""","")),0)&gt;52,P480&amp;"-OVRSIZE-",P480))))</f>
        <v/>
      </c>
      <c r="H480" s="15" t="str">
        <v/>
      </c>
      <c r="I480" s="15" t="str">
        <v/>
      </c>
      <c r="J480" s="15" t="str">
        <v/>
      </c>
      <c r="K480" s="15" t="str">
        <v/>
      </c>
      <c r="L480" s="15" t="str">
        <v/>
      </c>
      <c r="M480" s="10" t="str">
        <v/>
      </c>
      <c r="N480" s="14"/>
      <c r="O480" s="15" t="str" cm="1">
        <f t="array" ref="O480">IFERROR(_xlfn.LET(
_xlpm.clean,TRIM(SUBSTITUTE(SUBSTITUTE(P480,CHAR(160),"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0" s="15"/>
      <c r="R480" t="str">
        <v/>
      </c>
      <c r="S480" t="str">
        <f t="shared" si="8"/>
        <v/>
      </c>
    </row>
    <row r="481" spans="1:19" ht="12.75">
      <c r="A481" s="15" t="str">
        <v/>
      </c>
      <c r="B481" s="15" t="str">
        <v/>
      </c>
      <c r="C481" s="15" t="str" cm="1">
        <f t="array" ref="C481">IFERROR(_xlfn.TEXTJOIN("",TRUE,_xlfn._xlws.FILTER(MID(S481,_xlfn.SEQUENCE(LEN(S481)),1),ISNUMBER(SEARCH(MID(S481,_xlfn.SEQUENCE(LEN(S481)),1),"ABCDEFGHIJKLMNOPQRSTUVWXYZabcdefghijklmnopqrstuvwxyz0123456789,")))),"")</f>
        <v/>
      </c>
      <c r="D481" s="15" t="str">
        <v/>
      </c>
      <c r="E481" s="16" t="str">
        <v/>
      </c>
      <c r="F481" s="15" t="str">
        <v/>
      </c>
      <c r="G481" s="20" t="str" cm="1">
        <f t="array" ref="G481">IF(TRIM(P481)="","",IF(SUM(COUNTIF(P481,{"*NLGD*","*FWG*"}))&gt;0,P481,IF(SUM(COUNTIF(P481,{"*GL*","*DGB*","*DGI*","*GT*","*CS*","*PWU*","*DBI*","*SWU*"}))=0,P481,IF(IFERROR(VALUE(SUBSTITUTE(SUBSTITUTE(O481,"W",""),"""","")),0)&gt;52,P481&amp;"-OVRSIZE-",P481))))</f>
        <v/>
      </c>
      <c r="H481" s="15" t="str">
        <v/>
      </c>
      <c r="I481" s="15" t="str">
        <v/>
      </c>
      <c r="J481" s="15" t="str">
        <v/>
      </c>
      <c r="K481" s="15" t="str">
        <v/>
      </c>
      <c r="L481" s="15" t="str">
        <v/>
      </c>
      <c r="M481" s="10" t="str">
        <v/>
      </c>
      <c r="N481" s="14"/>
      <c r="O481" s="15" t="str" cm="1">
        <f t="array" ref="O481">IFERROR(_xlfn.LET(
_xlpm.clean,TRIM(SUBSTITUTE(SUBSTITUTE(P481,CHAR(160),"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1" s="15"/>
      <c r="R481" t="str">
        <v/>
      </c>
      <c r="S481" t="str">
        <f t="shared" si="8"/>
        <v/>
      </c>
    </row>
    <row r="482" spans="1:19" ht="12.75">
      <c r="A482" s="15" t="str">
        <v/>
      </c>
      <c r="B482" s="15" t="str">
        <v/>
      </c>
      <c r="C482" s="15" t="str" cm="1">
        <f t="array" ref="C482">IFERROR(_xlfn.TEXTJOIN("",TRUE,_xlfn._xlws.FILTER(MID(S482,_xlfn.SEQUENCE(LEN(S482)),1),ISNUMBER(SEARCH(MID(S482,_xlfn.SEQUENCE(LEN(S482)),1),"ABCDEFGHIJKLMNOPQRSTUVWXYZabcdefghijklmnopqrstuvwxyz0123456789,")))),"")</f>
        <v/>
      </c>
      <c r="D482" s="15" t="str">
        <v/>
      </c>
      <c r="E482" s="16" t="str">
        <v/>
      </c>
      <c r="F482" s="15" t="str">
        <v/>
      </c>
      <c r="G482" s="20" t="str" cm="1">
        <f t="array" ref="G482">IF(TRIM(P482)="","",IF(SUM(COUNTIF(P482,{"*NLGD*","*FWG*"}))&gt;0,P482,IF(SUM(COUNTIF(P482,{"*GL*","*DGB*","*DGI*","*GT*","*CS*","*PWU*","*DBI*","*SWU*"}))=0,P482,IF(IFERROR(VALUE(SUBSTITUTE(SUBSTITUTE(O482,"W",""),"""","")),0)&gt;52,P482&amp;"-OVRSIZE-",P482))))</f>
        <v/>
      </c>
      <c r="H482" s="15" t="str">
        <v/>
      </c>
      <c r="I482" s="15" t="str">
        <v/>
      </c>
      <c r="J482" s="15" t="str">
        <v/>
      </c>
      <c r="K482" s="15" t="str">
        <v/>
      </c>
      <c r="L482" s="15" t="str">
        <v/>
      </c>
      <c r="M482" s="10" t="str">
        <v/>
      </c>
      <c r="N482" s="14"/>
      <c r="O482" s="15" t="str" cm="1">
        <f t="array" ref="O482">IFERROR(_xlfn.LET(
_xlpm.clean,TRIM(SUBSTITUTE(SUBSTITUTE(P482,CHAR(160),"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2" s="15"/>
      <c r="R482" t="str">
        <v/>
      </c>
      <c r="S482" t="str">
        <f t="shared" si="8"/>
        <v/>
      </c>
    </row>
    <row r="483" spans="1:19" ht="12.75">
      <c r="A483" s="15" t="str">
        <v/>
      </c>
      <c r="B483" s="15" t="str">
        <v/>
      </c>
      <c r="C483" s="15" t="str" cm="1">
        <f t="array" ref="C483">IFERROR(_xlfn.TEXTJOIN("",TRUE,_xlfn._xlws.FILTER(MID(S483,_xlfn.SEQUENCE(LEN(S483)),1),ISNUMBER(SEARCH(MID(S483,_xlfn.SEQUENCE(LEN(S483)),1),"ABCDEFGHIJKLMNOPQRSTUVWXYZabcdefghijklmnopqrstuvwxyz0123456789,")))),"")</f>
        <v/>
      </c>
      <c r="D483" s="15" t="str">
        <v/>
      </c>
      <c r="E483" s="16" t="str">
        <v/>
      </c>
      <c r="F483" s="15" t="str">
        <v/>
      </c>
      <c r="G483" s="20" t="str" cm="1">
        <f t="array" ref="G483">IF(TRIM(P483)="","",IF(SUM(COUNTIF(P483,{"*NLGD*","*FWG*"}))&gt;0,P483,IF(SUM(COUNTIF(P483,{"*GL*","*DGB*","*DGI*","*GT*","*CS*","*PWU*","*DBI*","*SWU*"}))=0,P483,IF(IFERROR(VALUE(SUBSTITUTE(SUBSTITUTE(O483,"W",""),"""","")),0)&gt;52,P483&amp;"-OVRSIZE-",P483))))</f>
        <v/>
      </c>
      <c r="H483" s="15" t="str">
        <v/>
      </c>
      <c r="I483" s="15" t="str">
        <v/>
      </c>
      <c r="J483" s="15" t="str">
        <v/>
      </c>
      <c r="K483" s="15" t="str">
        <v/>
      </c>
      <c r="L483" s="15" t="str">
        <v/>
      </c>
      <c r="M483" s="10" t="str">
        <v/>
      </c>
      <c r="N483" s="14"/>
      <c r="O483" s="15" t="str" cm="1">
        <f t="array" ref="O483">IFERROR(_xlfn.LET(
_xlpm.clean,TRIM(SUBSTITUTE(SUBSTITUTE(P483,CHAR(160),"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3" s="15"/>
      <c r="R483" t="str">
        <v/>
      </c>
      <c r="S483" t="str">
        <f t="shared" si="8"/>
        <v/>
      </c>
    </row>
    <row r="484" spans="1:19" ht="12.75">
      <c r="A484" s="15" t="str">
        <v/>
      </c>
      <c r="B484" s="15" t="str">
        <v/>
      </c>
      <c r="C484" s="15" t="str" cm="1">
        <f t="array" ref="C484">IFERROR(_xlfn.TEXTJOIN("",TRUE,_xlfn._xlws.FILTER(MID(S484,_xlfn.SEQUENCE(LEN(S484)),1),ISNUMBER(SEARCH(MID(S484,_xlfn.SEQUENCE(LEN(S484)),1),"ABCDEFGHIJKLMNOPQRSTUVWXYZabcdefghijklmnopqrstuvwxyz0123456789,")))),"")</f>
        <v/>
      </c>
      <c r="D484" s="15" t="str">
        <v/>
      </c>
      <c r="E484" s="16" t="str">
        <v/>
      </c>
      <c r="F484" s="15" t="str">
        <v/>
      </c>
      <c r="G484" s="20" t="str" cm="1">
        <f t="array" ref="G484">IF(TRIM(P484)="","",IF(SUM(COUNTIF(P484,{"*NLGD*","*FWG*"}))&gt;0,P484,IF(SUM(COUNTIF(P484,{"*GL*","*DGB*","*DGI*","*GT*","*CS*","*PWU*","*DBI*","*SWU*"}))=0,P484,IF(IFERROR(VALUE(SUBSTITUTE(SUBSTITUTE(O484,"W",""),"""","")),0)&gt;52,P484&amp;"-OVRSIZE-",P484))))</f>
        <v/>
      </c>
      <c r="H484" s="15" t="str">
        <v/>
      </c>
      <c r="I484" s="15" t="str">
        <v/>
      </c>
      <c r="J484" s="15" t="str">
        <v/>
      </c>
      <c r="K484" s="15" t="str">
        <v/>
      </c>
      <c r="L484" s="15" t="str">
        <v/>
      </c>
      <c r="M484" s="10" t="str">
        <v/>
      </c>
      <c r="N484" s="14"/>
      <c r="O484" s="15" t="str" cm="1">
        <f t="array" ref="O484">IFERROR(_xlfn.LET(
_xlpm.clean,TRIM(SUBSTITUTE(SUBSTITUTE(P484,CHAR(160),"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4" s="15"/>
      <c r="R484" t="str">
        <v/>
      </c>
      <c r="S484" t="str">
        <f t="shared" si="8"/>
        <v/>
      </c>
    </row>
    <row r="485" spans="1:19" ht="12.75">
      <c r="A485" s="15" t="str">
        <v/>
      </c>
      <c r="B485" s="15" t="str">
        <v/>
      </c>
      <c r="C485" s="15" t="str" cm="1">
        <f t="array" ref="C485">IFERROR(_xlfn.TEXTJOIN("",TRUE,_xlfn._xlws.FILTER(MID(S485,_xlfn.SEQUENCE(LEN(S485)),1),ISNUMBER(SEARCH(MID(S485,_xlfn.SEQUENCE(LEN(S485)),1),"ABCDEFGHIJKLMNOPQRSTUVWXYZabcdefghijklmnopqrstuvwxyz0123456789,")))),"")</f>
        <v/>
      </c>
      <c r="D485" s="15" t="str">
        <v/>
      </c>
      <c r="E485" s="16" t="str">
        <v/>
      </c>
      <c r="F485" s="15" t="str">
        <v/>
      </c>
      <c r="G485" s="20" t="str" cm="1">
        <f t="array" ref="G485">IF(TRIM(P485)="","",IF(SUM(COUNTIF(P485,{"*NLGD*","*FWG*"}))&gt;0,P485,IF(SUM(COUNTIF(P485,{"*GL*","*DGB*","*DGI*","*GT*","*CS*","*PWU*","*DBI*","*SWU*"}))=0,P485,IF(IFERROR(VALUE(SUBSTITUTE(SUBSTITUTE(O485,"W",""),"""","")),0)&gt;52,P485&amp;"-OVRSIZE-",P485))))</f>
        <v/>
      </c>
      <c r="H485" s="15" t="str">
        <v/>
      </c>
      <c r="I485" s="15" t="str">
        <v/>
      </c>
      <c r="J485" s="15" t="str">
        <v/>
      </c>
      <c r="K485" s="15" t="str">
        <v/>
      </c>
      <c r="L485" s="15" t="str">
        <v/>
      </c>
      <c r="M485" s="10" t="str">
        <v/>
      </c>
      <c r="N485" s="14"/>
      <c r="O485" s="15" t="str" cm="1">
        <f t="array" ref="O485">IFERROR(_xlfn.LET(
_xlpm.clean,TRIM(SUBSTITUTE(SUBSTITUTE(P485,CHAR(160),"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5" s="15"/>
      <c r="R485" t="str">
        <v/>
      </c>
      <c r="S485" t="str">
        <f t="shared" si="8"/>
        <v/>
      </c>
    </row>
    <row r="486" spans="1:19" ht="12.75">
      <c r="A486" s="15" t="str">
        <v/>
      </c>
      <c r="B486" s="15" t="str">
        <v/>
      </c>
      <c r="C486" s="15" t="str" cm="1">
        <f t="array" ref="C486">IFERROR(_xlfn.TEXTJOIN("",TRUE,_xlfn._xlws.FILTER(MID(S486,_xlfn.SEQUENCE(LEN(S486)),1),ISNUMBER(SEARCH(MID(S486,_xlfn.SEQUENCE(LEN(S486)),1),"ABCDEFGHIJKLMNOPQRSTUVWXYZabcdefghijklmnopqrstuvwxyz0123456789,")))),"")</f>
        <v/>
      </c>
      <c r="D486" s="15" t="str">
        <v/>
      </c>
      <c r="E486" s="16" t="str">
        <v/>
      </c>
      <c r="F486" s="15" t="str">
        <v/>
      </c>
      <c r="G486" s="20" t="str" cm="1">
        <f t="array" ref="G486">IF(TRIM(P486)="","",IF(SUM(COUNTIF(P486,{"*NLGD*","*FWG*"}))&gt;0,P486,IF(SUM(COUNTIF(P486,{"*GL*","*DGB*","*DGI*","*GT*","*CS*","*PWU*","*DBI*","*SWU*"}))=0,P486,IF(IFERROR(VALUE(SUBSTITUTE(SUBSTITUTE(O486,"W",""),"""","")),0)&gt;52,P486&amp;"-OVRSIZE-",P486))))</f>
        <v/>
      </c>
      <c r="H486" s="15" t="str">
        <v/>
      </c>
      <c r="I486" s="15" t="str">
        <v/>
      </c>
      <c r="J486" s="15" t="str">
        <v/>
      </c>
      <c r="K486" s="15" t="str">
        <v/>
      </c>
      <c r="L486" s="15" t="str">
        <v/>
      </c>
      <c r="M486" s="10" t="str">
        <v/>
      </c>
      <c r="N486" s="14"/>
      <c r="O486" s="15" t="str" cm="1">
        <f t="array" ref="O486">IFERROR(_xlfn.LET(
_xlpm.clean,TRIM(SUBSTITUTE(SUBSTITUTE(P486,CHAR(160),"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6" s="15"/>
      <c r="R486" t="str">
        <v/>
      </c>
      <c r="S486" t="str">
        <f t="shared" si="8"/>
        <v/>
      </c>
    </row>
    <row r="487" spans="1:19" ht="12.75">
      <c r="A487" s="15" t="str">
        <v/>
      </c>
      <c r="B487" s="15" t="str">
        <v/>
      </c>
      <c r="C487" s="15" t="str" cm="1">
        <f t="array" ref="C487">IFERROR(_xlfn.TEXTJOIN("",TRUE,_xlfn._xlws.FILTER(MID(S487,_xlfn.SEQUENCE(LEN(S487)),1),ISNUMBER(SEARCH(MID(S487,_xlfn.SEQUENCE(LEN(S487)),1),"ABCDEFGHIJKLMNOPQRSTUVWXYZabcdefghijklmnopqrstuvwxyz0123456789,")))),"")</f>
        <v/>
      </c>
      <c r="D487" s="15" t="str">
        <v/>
      </c>
      <c r="E487" s="16" t="str">
        <v/>
      </c>
      <c r="F487" s="15" t="str">
        <v/>
      </c>
      <c r="G487" s="20" t="str" cm="1">
        <f t="array" ref="G487">IF(TRIM(P487)="","",IF(SUM(COUNTIF(P487,{"*NLGD*","*FWG*"}))&gt;0,P487,IF(SUM(COUNTIF(P487,{"*GL*","*DGB*","*DGI*","*GT*","*CS*","*PWU*","*DBI*","*SWU*"}))=0,P487,IF(IFERROR(VALUE(SUBSTITUTE(SUBSTITUTE(O487,"W",""),"""","")),0)&gt;52,P487&amp;"-OVRSIZE-",P487))))</f>
        <v/>
      </c>
      <c r="H487" s="15" t="str">
        <v/>
      </c>
      <c r="I487" s="15" t="str">
        <v/>
      </c>
      <c r="J487" s="15" t="str">
        <v/>
      </c>
      <c r="K487" s="15" t="str">
        <v/>
      </c>
      <c r="L487" s="15" t="str">
        <v/>
      </c>
      <c r="M487" s="10" t="str">
        <v/>
      </c>
      <c r="N487" s="14"/>
      <c r="O487" s="15" t="str" cm="1">
        <f t="array" ref="O487">IFERROR(_xlfn.LET(
_xlpm.clean,TRIM(SUBSTITUTE(SUBSTITUTE(P487,CHAR(160),"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7" s="15"/>
      <c r="R487" t="str">
        <v/>
      </c>
      <c r="S487" t="str">
        <f t="shared" si="8"/>
        <v/>
      </c>
    </row>
    <row r="488" spans="1:19" ht="12.75">
      <c r="A488" s="15" t="str">
        <v/>
      </c>
      <c r="B488" s="15" t="str">
        <v/>
      </c>
      <c r="C488" s="15" t="str" cm="1">
        <f t="array" ref="C488">IFERROR(_xlfn.TEXTJOIN("",TRUE,_xlfn._xlws.FILTER(MID(S488,_xlfn.SEQUENCE(LEN(S488)),1),ISNUMBER(SEARCH(MID(S488,_xlfn.SEQUENCE(LEN(S488)),1),"ABCDEFGHIJKLMNOPQRSTUVWXYZabcdefghijklmnopqrstuvwxyz0123456789,")))),"")</f>
        <v/>
      </c>
      <c r="D488" s="15" t="str">
        <v/>
      </c>
      <c r="E488" s="16" t="str">
        <v/>
      </c>
      <c r="F488" s="15" t="str">
        <v/>
      </c>
      <c r="G488" s="20" t="str" cm="1">
        <f t="array" ref="G488">IF(TRIM(P488)="","",IF(SUM(COUNTIF(P488,{"*NLGD*","*FWG*"}))&gt;0,P488,IF(SUM(COUNTIF(P488,{"*GL*","*DGB*","*DGI*","*GT*","*CS*","*PWU*","*DBI*","*SWU*"}))=0,P488,IF(IFERROR(VALUE(SUBSTITUTE(SUBSTITUTE(O488,"W",""),"""","")),0)&gt;52,P488&amp;"-OVRSIZE-",P488))))</f>
        <v/>
      </c>
      <c r="H488" s="15" t="str">
        <v/>
      </c>
      <c r="I488" s="15" t="str">
        <v/>
      </c>
      <c r="J488" s="15" t="str">
        <v/>
      </c>
      <c r="K488" s="15" t="str">
        <v/>
      </c>
      <c r="L488" s="15" t="str">
        <v/>
      </c>
      <c r="M488" s="10" t="str">
        <v/>
      </c>
      <c r="N488" s="14"/>
      <c r="O488" s="15" t="str" cm="1">
        <f t="array" ref="O488">IFERROR(_xlfn.LET(
_xlpm.clean,TRIM(SUBSTITUTE(SUBSTITUTE(P488,CHAR(160),"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8" s="15"/>
      <c r="R488" t="str">
        <v/>
      </c>
      <c r="S488" t="str">
        <f t="shared" si="8"/>
        <v/>
      </c>
    </row>
    <row r="489" spans="1:19" ht="12.75">
      <c r="A489" s="15" t="str">
        <v/>
      </c>
      <c r="B489" s="15" t="str">
        <v/>
      </c>
      <c r="C489" s="15" t="str" cm="1">
        <f t="array" ref="C489">IFERROR(_xlfn.TEXTJOIN("",TRUE,_xlfn._xlws.FILTER(MID(S489,_xlfn.SEQUENCE(LEN(S489)),1),ISNUMBER(SEARCH(MID(S489,_xlfn.SEQUENCE(LEN(S489)),1),"ABCDEFGHIJKLMNOPQRSTUVWXYZabcdefghijklmnopqrstuvwxyz0123456789,")))),"")</f>
        <v/>
      </c>
      <c r="D489" s="15" t="str">
        <v/>
      </c>
      <c r="E489" s="16" t="str">
        <v/>
      </c>
      <c r="F489" s="15" t="str">
        <v/>
      </c>
      <c r="G489" s="20" t="str" cm="1">
        <f t="array" ref="G489">IF(TRIM(P489)="","",IF(SUM(COUNTIF(P489,{"*NLGD*","*FWG*"}))&gt;0,P489,IF(SUM(COUNTIF(P489,{"*GL*","*DGB*","*DGI*","*GT*","*CS*","*PWU*","*DBI*","*SWU*"}))=0,P489,IF(IFERROR(VALUE(SUBSTITUTE(SUBSTITUTE(O489,"W",""),"""","")),0)&gt;52,P489&amp;"-OVRSIZE-",P489))))</f>
        <v/>
      </c>
      <c r="H489" s="15" t="str">
        <v/>
      </c>
      <c r="I489" s="15" t="str">
        <v/>
      </c>
      <c r="J489" s="15" t="str">
        <v/>
      </c>
      <c r="K489" s="15" t="str">
        <v/>
      </c>
      <c r="L489" s="15" t="str">
        <v/>
      </c>
      <c r="M489" s="10" t="str">
        <v/>
      </c>
      <c r="N489" s="14"/>
      <c r="O489" s="15" t="str" cm="1">
        <f t="array" ref="O489">IFERROR(_xlfn.LET(
_xlpm.clean,TRIM(SUBSTITUTE(SUBSTITUTE(P489,CHAR(160),"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89" s="15"/>
      <c r="R489" t="str">
        <v/>
      </c>
      <c r="S489" t="str">
        <f t="shared" si="8"/>
        <v/>
      </c>
    </row>
    <row r="490" spans="1:19" ht="12.75">
      <c r="A490" s="15" t="str">
        <v/>
      </c>
      <c r="B490" s="15" t="str">
        <v/>
      </c>
      <c r="C490" s="15" t="str" cm="1">
        <f t="array" ref="C490">IFERROR(_xlfn.TEXTJOIN("",TRUE,_xlfn._xlws.FILTER(MID(S490,_xlfn.SEQUENCE(LEN(S490)),1),ISNUMBER(SEARCH(MID(S490,_xlfn.SEQUENCE(LEN(S490)),1),"ABCDEFGHIJKLMNOPQRSTUVWXYZabcdefghijklmnopqrstuvwxyz0123456789,")))),"")</f>
        <v/>
      </c>
      <c r="D490" s="15" t="str">
        <v/>
      </c>
      <c r="E490" s="16" t="str">
        <v/>
      </c>
      <c r="F490" s="15" t="str">
        <v/>
      </c>
      <c r="G490" s="20" t="str" cm="1">
        <f t="array" ref="G490">IF(TRIM(P490)="","",IF(SUM(COUNTIF(P490,{"*NLGD*","*FWG*"}))&gt;0,P490,IF(SUM(COUNTIF(P490,{"*GL*","*DGB*","*DGI*","*GT*","*CS*","*PWU*","*DBI*","*SWU*"}))=0,P490,IF(IFERROR(VALUE(SUBSTITUTE(SUBSTITUTE(O490,"W",""),"""","")),0)&gt;52,P490&amp;"-OVRSIZE-",P490))))</f>
        <v/>
      </c>
      <c r="H490" s="15" t="str">
        <v/>
      </c>
      <c r="I490" s="15" t="str">
        <v/>
      </c>
      <c r="J490" s="15" t="str">
        <v/>
      </c>
      <c r="K490" s="15" t="str">
        <v/>
      </c>
      <c r="L490" s="15" t="str">
        <v/>
      </c>
      <c r="M490" s="10" t="str">
        <v/>
      </c>
      <c r="N490" s="14"/>
      <c r="O490" s="15" t="str" cm="1">
        <f t="array" ref="O490">IFERROR(_xlfn.LET(
_xlpm.clean,TRIM(SUBSTITUTE(SUBSTITUTE(P490,CHAR(160),"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0" s="15"/>
      <c r="R490" t="str">
        <v/>
      </c>
      <c r="S490" t="str">
        <f t="shared" si="8"/>
        <v/>
      </c>
    </row>
    <row r="491" spans="1:19" ht="12.75">
      <c r="A491" s="15" t="str">
        <v/>
      </c>
      <c r="B491" s="15" t="str">
        <v/>
      </c>
      <c r="C491" s="15" t="str" cm="1">
        <f t="array" ref="C491">IFERROR(_xlfn.TEXTJOIN("",TRUE,_xlfn._xlws.FILTER(MID(S491,_xlfn.SEQUENCE(LEN(S491)),1),ISNUMBER(SEARCH(MID(S491,_xlfn.SEQUENCE(LEN(S491)),1),"ABCDEFGHIJKLMNOPQRSTUVWXYZabcdefghijklmnopqrstuvwxyz0123456789,")))),"")</f>
        <v/>
      </c>
      <c r="D491" s="15" t="str">
        <v/>
      </c>
      <c r="E491" s="16" t="str">
        <v/>
      </c>
      <c r="F491" s="15" t="str">
        <v/>
      </c>
      <c r="G491" s="20" t="str" cm="1">
        <f t="array" ref="G491">IF(TRIM(P491)="","",IF(SUM(COUNTIF(P491,{"*NLGD*","*FWG*"}))&gt;0,P491,IF(SUM(COUNTIF(P491,{"*GL*","*DGB*","*DGI*","*GT*","*CS*","*PWU*","*DBI*","*SWU*"}))=0,P491,IF(IFERROR(VALUE(SUBSTITUTE(SUBSTITUTE(O491,"W",""),"""","")),0)&gt;52,P491&amp;"-OVRSIZE-",P491))))</f>
        <v/>
      </c>
      <c r="H491" s="15" t="str">
        <v/>
      </c>
      <c r="I491" s="15" t="str">
        <v/>
      </c>
      <c r="J491" s="15" t="str">
        <v/>
      </c>
      <c r="K491" s="15" t="str">
        <v/>
      </c>
      <c r="L491" s="15" t="str">
        <v/>
      </c>
      <c r="M491" s="10" t="str">
        <v/>
      </c>
      <c r="N491" s="14"/>
      <c r="O491" s="15" t="str" cm="1">
        <f t="array" ref="O491">IFERROR(_xlfn.LET(
_xlpm.clean,TRIM(SUBSTITUTE(SUBSTITUTE(P491,CHAR(160),"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1" s="15"/>
      <c r="R491" t="str">
        <v/>
      </c>
      <c r="S491" t="str">
        <f t="shared" si="8"/>
        <v/>
      </c>
    </row>
    <row r="492" spans="1:19" ht="12.75">
      <c r="A492" s="15" t="str">
        <v/>
      </c>
      <c r="B492" s="15" t="str">
        <v/>
      </c>
      <c r="C492" s="15" t="str" cm="1">
        <f t="array" ref="C492">IFERROR(_xlfn.TEXTJOIN("",TRUE,_xlfn._xlws.FILTER(MID(S492,_xlfn.SEQUENCE(LEN(S492)),1),ISNUMBER(SEARCH(MID(S492,_xlfn.SEQUENCE(LEN(S492)),1),"ABCDEFGHIJKLMNOPQRSTUVWXYZabcdefghijklmnopqrstuvwxyz0123456789,")))),"")</f>
        <v/>
      </c>
      <c r="D492" s="15" t="str">
        <v/>
      </c>
      <c r="E492" s="16" t="str">
        <v/>
      </c>
      <c r="F492" s="15" t="str">
        <v/>
      </c>
      <c r="G492" s="20" t="str" cm="1">
        <f t="array" ref="G492">IF(TRIM(P492)="","",IF(SUM(COUNTIF(P492,{"*NLGD*","*FWG*"}))&gt;0,P492,IF(SUM(COUNTIF(P492,{"*GL*","*DGB*","*DGI*","*GT*","*CS*","*PWU*","*DBI*","*SWU*"}))=0,P492,IF(IFERROR(VALUE(SUBSTITUTE(SUBSTITUTE(O492,"W",""),"""","")),0)&gt;52,P492&amp;"-OVRSIZE-",P492))))</f>
        <v/>
      </c>
      <c r="H492" s="15" t="str">
        <v/>
      </c>
      <c r="I492" s="15" t="str">
        <v/>
      </c>
      <c r="J492" s="15" t="str">
        <v/>
      </c>
      <c r="K492" s="15" t="str">
        <v/>
      </c>
      <c r="L492" s="15" t="str">
        <v/>
      </c>
      <c r="M492" s="10" t="str">
        <v/>
      </c>
      <c r="N492" s="14"/>
      <c r="O492" s="15" t="str" cm="1">
        <f t="array" ref="O492">IFERROR(_xlfn.LET(
_xlpm.clean,TRIM(SUBSTITUTE(SUBSTITUTE(P492,CHAR(160),"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2" s="15"/>
      <c r="R492" t="str">
        <v/>
      </c>
      <c r="S492" t="str">
        <f t="shared" si="8"/>
        <v/>
      </c>
    </row>
    <row r="493" spans="1:19" ht="12.75">
      <c r="A493" s="15" t="str">
        <v/>
      </c>
      <c r="B493" s="15" t="str">
        <v/>
      </c>
      <c r="C493" s="15" t="str" cm="1">
        <f t="array" ref="C493">IFERROR(_xlfn.TEXTJOIN("",TRUE,_xlfn._xlws.FILTER(MID(S493,_xlfn.SEQUENCE(LEN(S493)),1),ISNUMBER(SEARCH(MID(S493,_xlfn.SEQUENCE(LEN(S493)),1),"ABCDEFGHIJKLMNOPQRSTUVWXYZabcdefghijklmnopqrstuvwxyz0123456789,")))),"")</f>
        <v/>
      </c>
      <c r="D493" s="15" t="str">
        <v/>
      </c>
      <c r="E493" s="16" t="str">
        <v/>
      </c>
      <c r="F493" s="15" t="str">
        <v/>
      </c>
      <c r="G493" s="20" t="str" cm="1">
        <f t="array" ref="G493">IF(TRIM(P493)="","",IF(SUM(COUNTIF(P493,{"*NLGD*","*FWG*"}))&gt;0,P493,IF(SUM(COUNTIF(P493,{"*GL*","*DGB*","*DGI*","*GT*","*CS*","*PWU*","*DBI*","*SWU*"}))=0,P493,IF(IFERROR(VALUE(SUBSTITUTE(SUBSTITUTE(O493,"W",""),"""","")),0)&gt;52,P493&amp;"-OVRSIZE-",P493))))</f>
        <v/>
      </c>
      <c r="H493" s="15" t="str">
        <v/>
      </c>
      <c r="I493" s="15" t="str">
        <v/>
      </c>
      <c r="J493" s="15" t="str">
        <v/>
      </c>
      <c r="K493" s="15" t="str">
        <v/>
      </c>
      <c r="L493" s="15" t="str">
        <v/>
      </c>
      <c r="M493" s="10" t="str">
        <v/>
      </c>
      <c r="N493" s="14"/>
      <c r="O493" s="15" t="str" cm="1">
        <f t="array" ref="O493">IFERROR(_xlfn.LET(
_xlpm.clean,TRIM(SUBSTITUTE(SUBSTITUTE(P493,CHAR(160),"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3" s="15"/>
      <c r="R493" t="str">
        <v/>
      </c>
      <c r="S493" t="str">
        <f t="shared" si="8"/>
        <v/>
      </c>
    </row>
    <row r="494" spans="1:19" ht="12.75">
      <c r="A494" s="15" t="str">
        <v/>
      </c>
      <c r="B494" s="15" t="str">
        <v/>
      </c>
      <c r="C494" s="15" t="str" cm="1">
        <f t="array" ref="C494">IFERROR(_xlfn.TEXTJOIN("",TRUE,_xlfn._xlws.FILTER(MID(S494,_xlfn.SEQUENCE(LEN(S494)),1),ISNUMBER(SEARCH(MID(S494,_xlfn.SEQUENCE(LEN(S494)),1),"ABCDEFGHIJKLMNOPQRSTUVWXYZabcdefghijklmnopqrstuvwxyz0123456789,")))),"")</f>
        <v/>
      </c>
      <c r="D494" s="15" t="str">
        <v/>
      </c>
      <c r="E494" s="16" t="str">
        <v/>
      </c>
      <c r="F494" s="15" t="str">
        <v/>
      </c>
      <c r="G494" s="20" t="str" cm="1">
        <f t="array" ref="G494">IF(TRIM(P494)="","",IF(SUM(COUNTIF(P494,{"*NLGD*","*FWG*"}))&gt;0,P494,IF(SUM(COUNTIF(P494,{"*GL*","*DGB*","*DGI*","*GT*","*CS*","*PWU*","*DBI*","*SWU*"}))=0,P494,IF(IFERROR(VALUE(SUBSTITUTE(SUBSTITUTE(O494,"W",""),"""","")),0)&gt;52,P494&amp;"-OVRSIZE-",P494))))</f>
        <v/>
      </c>
      <c r="H494" s="15" t="str">
        <v/>
      </c>
      <c r="I494" s="15" t="str">
        <v/>
      </c>
      <c r="J494" s="15" t="str">
        <v/>
      </c>
      <c r="K494" s="15" t="str">
        <v/>
      </c>
      <c r="L494" s="15" t="str">
        <v/>
      </c>
      <c r="M494" s="10" t="str">
        <v/>
      </c>
      <c r="N494" s="14"/>
      <c r="O494" s="15" t="str" cm="1">
        <f t="array" ref="O494">IFERROR(_xlfn.LET(
_xlpm.clean,TRIM(SUBSTITUTE(SUBSTITUTE(P494,CHAR(160),"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4" s="15"/>
      <c r="R494" t="str">
        <v/>
      </c>
      <c r="S494" t="str">
        <f t="shared" si="8"/>
        <v/>
      </c>
    </row>
    <row r="495" spans="1:19" ht="12.75">
      <c r="A495" s="15" t="str">
        <v/>
      </c>
      <c r="B495" s="15" t="str">
        <v/>
      </c>
      <c r="C495" s="15" t="str" cm="1">
        <f t="array" ref="C495">IFERROR(_xlfn.TEXTJOIN("",TRUE,_xlfn._xlws.FILTER(MID(S495,_xlfn.SEQUENCE(LEN(S495)),1),ISNUMBER(SEARCH(MID(S495,_xlfn.SEQUENCE(LEN(S495)),1),"ABCDEFGHIJKLMNOPQRSTUVWXYZabcdefghijklmnopqrstuvwxyz0123456789,")))),"")</f>
        <v/>
      </c>
      <c r="D495" s="15" t="str">
        <v/>
      </c>
      <c r="E495" s="16" t="str">
        <v/>
      </c>
      <c r="F495" s="15" t="str">
        <v/>
      </c>
      <c r="G495" s="20" t="str" cm="1">
        <f t="array" ref="G495">IF(TRIM(P495)="","",IF(SUM(COUNTIF(P495,{"*NLGD*","*FWG*"}))&gt;0,P495,IF(SUM(COUNTIF(P495,{"*GL*","*DGB*","*DGI*","*GT*","*CS*","*PWU*","*DBI*","*SWU*"}))=0,P495,IF(IFERROR(VALUE(SUBSTITUTE(SUBSTITUTE(O495,"W",""),"""","")),0)&gt;52,P495&amp;"-OVRSIZE-",P495))))</f>
        <v/>
      </c>
      <c r="H495" s="15" t="str">
        <v/>
      </c>
      <c r="I495" s="15" t="str">
        <v/>
      </c>
      <c r="J495" s="15" t="str">
        <v/>
      </c>
      <c r="K495" s="15" t="str">
        <v/>
      </c>
      <c r="L495" s="15" t="str">
        <v/>
      </c>
      <c r="M495" s="10" t="str">
        <v/>
      </c>
      <c r="N495" s="14"/>
      <c r="O495" s="15" t="str" cm="1">
        <f t="array" ref="O495">IFERROR(_xlfn.LET(
_xlpm.clean,TRIM(SUBSTITUTE(SUBSTITUTE(P495,CHAR(160),"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5" s="15"/>
      <c r="R495" t="str">
        <v/>
      </c>
      <c r="S495" t="str">
        <f t="shared" si="8"/>
        <v/>
      </c>
    </row>
    <row r="496" spans="1:19" ht="12.75">
      <c r="A496" s="15" t="str">
        <v/>
      </c>
      <c r="B496" s="15" t="str">
        <v/>
      </c>
      <c r="C496" s="15" t="str" cm="1">
        <f t="array" ref="C496">IFERROR(_xlfn.TEXTJOIN("",TRUE,_xlfn._xlws.FILTER(MID(S496,_xlfn.SEQUENCE(LEN(S496)),1),ISNUMBER(SEARCH(MID(S496,_xlfn.SEQUENCE(LEN(S496)),1),"ABCDEFGHIJKLMNOPQRSTUVWXYZabcdefghijklmnopqrstuvwxyz0123456789,")))),"")</f>
        <v/>
      </c>
      <c r="D496" s="15" t="str">
        <v/>
      </c>
      <c r="E496" s="16" t="str">
        <v/>
      </c>
      <c r="F496" s="15" t="str">
        <v/>
      </c>
      <c r="G496" s="20" t="str" cm="1">
        <f t="array" ref="G496">IF(TRIM(P496)="","",IF(SUM(COUNTIF(P496,{"*NLGD*","*FWG*"}))&gt;0,P496,IF(SUM(COUNTIF(P496,{"*GL*","*DGB*","*DGI*","*GT*","*CS*","*PWU*","*DBI*","*SWU*"}))=0,P496,IF(IFERROR(VALUE(SUBSTITUTE(SUBSTITUTE(O496,"W",""),"""","")),0)&gt;52,P496&amp;"-OVRSIZE-",P496))))</f>
        <v/>
      </c>
      <c r="H496" s="15" t="str">
        <v/>
      </c>
      <c r="I496" s="15" t="str">
        <v/>
      </c>
      <c r="J496" s="15" t="str">
        <v/>
      </c>
      <c r="K496" s="15" t="str">
        <v/>
      </c>
      <c r="L496" s="15" t="str">
        <v/>
      </c>
      <c r="M496" s="10" t="str">
        <v/>
      </c>
      <c r="N496" s="14"/>
      <c r="O496" s="15" t="str" cm="1">
        <f t="array" ref="O496">IFERROR(_xlfn.LET(
_xlpm.clean,TRIM(SUBSTITUTE(SUBSTITUTE(P496,CHAR(160),"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6" s="15"/>
      <c r="R496" t="str">
        <v/>
      </c>
      <c r="S496" t="str">
        <f t="shared" si="8"/>
        <v/>
      </c>
    </row>
    <row r="497" spans="1:19" ht="12.75">
      <c r="A497" s="15" t="str">
        <v/>
      </c>
      <c r="B497" s="15" t="str">
        <v/>
      </c>
      <c r="C497" s="15" t="str" cm="1">
        <f t="array" ref="C497">IFERROR(_xlfn.TEXTJOIN("",TRUE,_xlfn._xlws.FILTER(MID(S497,_xlfn.SEQUENCE(LEN(S497)),1),ISNUMBER(SEARCH(MID(S497,_xlfn.SEQUENCE(LEN(S497)),1),"ABCDEFGHIJKLMNOPQRSTUVWXYZabcdefghijklmnopqrstuvwxyz0123456789,")))),"")</f>
        <v/>
      </c>
      <c r="D497" s="15" t="str">
        <v/>
      </c>
      <c r="E497" s="16" t="str">
        <v/>
      </c>
      <c r="F497" s="15" t="str">
        <v/>
      </c>
      <c r="G497" s="20" t="str" cm="1">
        <f t="array" ref="G497">IF(TRIM(P497)="","",IF(SUM(COUNTIF(P497,{"*NLGD*","*FWG*"}))&gt;0,P497,IF(SUM(COUNTIF(P497,{"*GL*","*DGB*","*DGI*","*GT*","*CS*","*PWU*","*DBI*","*SWU*"}))=0,P497,IF(IFERROR(VALUE(SUBSTITUTE(SUBSTITUTE(O497,"W",""),"""","")),0)&gt;52,P497&amp;"-OVRSIZE-",P497))))</f>
        <v/>
      </c>
      <c r="H497" s="15" t="str">
        <v/>
      </c>
      <c r="I497" s="15" t="str">
        <v/>
      </c>
      <c r="J497" s="15" t="str">
        <v/>
      </c>
      <c r="K497" s="15" t="str">
        <v/>
      </c>
      <c r="L497" s="15" t="str">
        <v/>
      </c>
      <c r="M497" s="10" t="str">
        <v/>
      </c>
      <c r="N497" s="14"/>
      <c r="O497" s="15" t="str" cm="1">
        <f t="array" ref="O497">IFERROR(_xlfn.LET(
_xlpm.clean,TRIM(SUBSTITUTE(SUBSTITUTE(P497,CHAR(160),"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7" s="15"/>
      <c r="R497" t="str">
        <v/>
      </c>
      <c r="S497" t="str">
        <f t="shared" si="8"/>
        <v/>
      </c>
    </row>
    <row r="498" spans="1:19" ht="12.75">
      <c r="A498" s="15" t="str">
        <v/>
      </c>
      <c r="B498" s="15" t="str">
        <v/>
      </c>
      <c r="C498" s="15" t="str" cm="1">
        <f t="array" ref="C498">IFERROR(_xlfn.TEXTJOIN("",TRUE,_xlfn._xlws.FILTER(MID(S498,_xlfn.SEQUENCE(LEN(S498)),1),ISNUMBER(SEARCH(MID(S498,_xlfn.SEQUENCE(LEN(S498)),1),"ABCDEFGHIJKLMNOPQRSTUVWXYZabcdefghijklmnopqrstuvwxyz0123456789,")))),"")</f>
        <v/>
      </c>
      <c r="D498" s="15" t="str">
        <v/>
      </c>
      <c r="E498" s="16" t="str">
        <v/>
      </c>
      <c r="F498" s="15" t="str">
        <v/>
      </c>
      <c r="G498" s="20" t="str" cm="1">
        <f t="array" ref="G498">IF(TRIM(P498)="","",IF(SUM(COUNTIF(P498,{"*NLGD*","*FWG*"}))&gt;0,P498,IF(SUM(COUNTIF(P498,{"*GL*","*DGB*","*DGI*","*GT*","*CS*","*PWU*","*DBI*","*SWU*"}))=0,P498,IF(IFERROR(VALUE(SUBSTITUTE(SUBSTITUTE(O498,"W",""),"""","")),0)&gt;52,P498&amp;"-OVRSIZE-",P498))))</f>
        <v/>
      </c>
      <c r="H498" s="15" t="str">
        <v/>
      </c>
      <c r="I498" s="15" t="str">
        <v/>
      </c>
      <c r="J498" s="15" t="str">
        <v/>
      </c>
      <c r="K498" s="15" t="str">
        <v/>
      </c>
      <c r="L498" s="15" t="str">
        <v/>
      </c>
      <c r="M498" s="10" t="str">
        <v/>
      </c>
      <c r="N498" s="14"/>
      <c r="O498" s="15" t="str" cm="1">
        <f t="array" ref="O498">IFERROR(_xlfn.LET(
_xlpm.clean,TRIM(SUBSTITUTE(SUBSTITUTE(P498,CHAR(160),"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8" s="15"/>
      <c r="R498" t="str">
        <v/>
      </c>
      <c r="S498" t="str">
        <f t="shared" si="8"/>
        <v/>
      </c>
    </row>
    <row r="499" spans="1:19" ht="12.75">
      <c r="A499" s="15" t="str">
        <v/>
      </c>
      <c r="B499" s="15" t="str">
        <v/>
      </c>
      <c r="C499" s="15" t="str" cm="1">
        <f t="array" ref="C499">IFERROR(_xlfn.TEXTJOIN("",TRUE,_xlfn._xlws.FILTER(MID(S499,_xlfn.SEQUENCE(LEN(S499)),1),ISNUMBER(SEARCH(MID(S499,_xlfn.SEQUENCE(LEN(S499)),1),"ABCDEFGHIJKLMNOPQRSTUVWXYZabcdefghijklmnopqrstuvwxyz0123456789,")))),"")</f>
        <v/>
      </c>
      <c r="D499" s="15" t="str">
        <v/>
      </c>
      <c r="E499" s="16" t="str">
        <v/>
      </c>
      <c r="F499" s="15" t="str">
        <v/>
      </c>
      <c r="G499" s="20" t="str" cm="1">
        <f t="array" ref="G499">IF(TRIM(P499)="","",IF(SUM(COUNTIF(P499,{"*NLGD*","*FWG*"}))&gt;0,P499,IF(SUM(COUNTIF(P499,{"*GL*","*DGB*","*DGI*","*GT*","*CS*","*PWU*","*DBI*","*SWU*"}))=0,P499,IF(IFERROR(VALUE(SUBSTITUTE(SUBSTITUTE(O499,"W",""),"""","")),0)&gt;52,P499&amp;"-OVRSIZE-",P499))))</f>
        <v/>
      </c>
      <c r="H499" s="15" t="str">
        <v/>
      </c>
      <c r="I499" s="15" t="str">
        <v/>
      </c>
      <c r="J499" s="15" t="str">
        <v/>
      </c>
      <c r="K499" s="15" t="str">
        <v/>
      </c>
      <c r="L499" s="15" t="str">
        <v/>
      </c>
      <c r="M499" s="10" t="str">
        <v/>
      </c>
      <c r="N499" s="14"/>
      <c r="O499" s="15" t="str" cm="1">
        <f t="array" ref="O499">IFERROR(_xlfn.LET(
_xlpm.clean,TRIM(SUBSTITUTE(SUBSTITUTE(P499,CHAR(160),"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99" s="15"/>
      <c r="R499" t="str">
        <v/>
      </c>
      <c r="S499" t="str">
        <f t="shared" si="8"/>
        <v/>
      </c>
    </row>
    <row r="500" spans="1:19" ht="12.75">
      <c r="A500" s="15" t="str">
        <v/>
      </c>
      <c r="B500" s="15" t="str">
        <v/>
      </c>
      <c r="C500" s="15" t="str" cm="1">
        <f t="array" ref="C500">IFERROR(_xlfn.TEXTJOIN("",TRUE,_xlfn._xlws.FILTER(MID(S500,_xlfn.SEQUENCE(LEN(S500)),1),ISNUMBER(SEARCH(MID(S500,_xlfn.SEQUENCE(LEN(S500)),1),"ABCDEFGHIJKLMNOPQRSTUVWXYZabcdefghijklmnopqrstuvwxyz0123456789,")))),"")</f>
        <v/>
      </c>
      <c r="D500" s="15" t="str">
        <v/>
      </c>
      <c r="E500" s="16" t="str">
        <v/>
      </c>
      <c r="F500" s="15" t="str">
        <v/>
      </c>
      <c r="G500" s="20" t="str" cm="1">
        <f t="array" ref="G500">IF(TRIM(P500)="","",IF(SUM(COUNTIF(P500,{"*NLGD*","*FWG*"}))&gt;0,P500,IF(SUM(COUNTIF(P500,{"*GL*","*DGB*","*DGI*","*GT*","*CS*","*PWU*","*DBI*","*SWU*"}))=0,P500,IF(IFERROR(VALUE(SUBSTITUTE(SUBSTITUTE(O500,"W",""),"""","")),0)&gt;52,P500&amp;"-OVRSIZE-",P500))))</f>
        <v/>
      </c>
      <c r="H500" s="15" t="str">
        <v/>
      </c>
      <c r="I500" s="15" t="str">
        <v/>
      </c>
      <c r="J500" s="15" t="str">
        <v/>
      </c>
      <c r="K500" s="15" t="str">
        <v/>
      </c>
      <c r="L500" s="15" t="str">
        <v/>
      </c>
      <c r="M500" s="10" t="str">
        <v/>
      </c>
      <c r="N500" s="14"/>
      <c r="O500" s="15" t="str" cm="1">
        <f t="array" ref="O500">IFERROR(_xlfn.LET(
_xlpm.clean,TRIM(SUBSTITUTE(SUBSTITUTE(P500,CHAR(160),"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0" s="15"/>
      <c r="R500" t="str">
        <v/>
      </c>
      <c r="S500" t="str">
        <f t="shared" si="8"/>
        <v/>
      </c>
    </row>
    <row r="501" spans="1:19" ht="12.75">
      <c r="A501" s="15" t="str">
        <v/>
      </c>
      <c r="B501" s="15" t="str">
        <v/>
      </c>
      <c r="C501" s="15" t="str" cm="1">
        <f t="array" ref="C501">IFERROR(_xlfn.TEXTJOIN("",TRUE,_xlfn._xlws.FILTER(MID(S501,_xlfn.SEQUENCE(LEN(S501)),1),ISNUMBER(SEARCH(MID(S501,_xlfn.SEQUENCE(LEN(S501)),1),"ABCDEFGHIJKLMNOPQRSTUVWXYZabcdefghijklmnopqrstuvwxyz0123456789,")))),"")</f>
        <v/>
      </c>
      <c r="D501" s="15" t="str">
        <v/>
      </c>
      <c r="E501" s="16" t="str">
        <v/>
      </c>
      <c r="F501" s="15" t="str">
        <v/>
      </c>
      <c r="G501" s="20" t="str" cm="1">
        <f t="array" ref="G501">IF(TRIM(P501)="","",IF(SUM(COUNTIF(P501,{"*NLGD*","*FWG*"}))&gt;0,P501,IF(SUM(COUNTIF(P501,{"*GL*","*DGB*","*DGI*","*GT*","*CS*","*PWU*","*DBI*","*SWU*"}))=0,P501,IF(IFERROR(VALUE(SUBSTITUTE(SUBSTITUTE(O501,"W",""),"""","")),0)&gt;52,P501&amp;"-OVRSIZE-",P501))))</f>
        <v/>
      </c>
      <c r="H501" s="15" t="str">
        <v/>
      </c>
      <c r="I501" s="15" t="str">
        <v/>
      </c>
      <c r="J501" s="15" t="str">
        <v/>
      </c>
      <c r="K501" s="15" t="str">
        <v/>
      </c>
      <c r="L501" s="15" t="str">
        <v/>
      </c>
      <c r="M501" s="10" t="str">
        <v/>
      </c>
      <c r="N501" s="14"/>
      <c r="O501" s="15" t="str" cm="1">
        <f t="array" ref="O501">IFERROR(_xlfn.LET(
_xlpm.clean,TRIM(SUBSTITUTE(SUBSTITUTE(P501,CHAR(160),"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1" s="15"/>
      <c r="R501" t="str">
        <v/>
      </c>
      <c r="S501" t="str">
        <f t="shared" si="8"/>
        <v/>
      </c>
    </row>
    <row r="502" spans="1:19" ht="12.75">
      <c r="A502" s="15" t="str">
        <v/>
      </c>
      <c r="B502" s="15" t="str">
        <v/>
      </c>
      <c r="C502" s="15" t="str" cm="1">
        <f t="array" ref="C502">IFERROR(_xlfn.TEXTJOIN("",TRUE,_xlfn._xlws.FILTER(MID(S502,_xlfn.SEQUENCE(LEN(S502)),1),ISNUMBER(SEARCH(MID(S502,_xlfn.SEQUENCE(LEN(S502)),1),"ABCDEFGHIJKLMNOPQRSTUVWXYZabcdefghijklmnopqrstuvwxyz0123456789,")))),"")</f>
        <v/>
      </c>
      <c r="D502" s="15" t="str">
        <v/>
      </c>
      <c r="E502" s="16" t="str">
        <v/>
      </c>
      <c r="F502" s="15" t="str">
        <v/>
      </c>
      <c r="G502" s="20" t="str" cm="1">
        <f t="array" ref="G502">IF(TRIM(P502)="","",IF(SUM(COUNTIF(P502,{"*NLGD*","*FWG*"}))&gt;0,P502,IF(SUM(COUNTIF(P502,{"*GL*","*DGB*","*DGI*","*GT*","*CS*","*PWU*","*DBI*","*SWU*"}))=0,P502,IF(IFERROR(VALUE(SUBSTITUTE(SUBSTITUTE(O502,"W",""),"""","")),0)&gt;52,P502&amp;"-OVRSIZE-",P502))))</f>
        <v/>
      </c>
      <c r="H502" s="15" t="str">
        <v/>
      </c>
      <c r="I502" s="15" t="str">
        <v/>
      </c>
      <c r="J502" s="15" t="str">
        <v/>
      </c>
      <c r="K502" s="15" t="str">
        <v/>
      </c>
      <c r="L502" s="15" t="str">
        <v/>
      </c>
      <c r="M502" s="10" t="str">
        <v/>
      </c>
      <c r="N502" s="14"/>
      <c r="O502" s="15" t="str" cm="1">
        <f t="array" ref="O502">IFERROR(_xlfn.LET(
_xlpm.clean,TRIM(SUBSTITUTE(SUBSTITUTE(P502,CHAR(160),"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2" s="15"/>
      <c r="R502" t="str">
        <v/>
      </c>
      <c r="S502" t="str">
        <f t="shared" si="8"/>
        <v/>
      </c>
    </row>
    <row r="503" spans="1:19" ht="12.75">
      <c r="A503" s="15" t="str">
        <v/>
      </c>
      <c r="B503" s="15" t="str">
        <v/>
      </c>
      <c r="C503" s="15" t="str" cm="1">
        <f t="array" ref="C503">IFERROR(_xlfn.TEXTJOIN("",TRUE,_xlfn._xlws.FILTER(MID(S503,_xlfn.SEQUENCE(LEN(S503)),1),ISNUMBER(SEARCH(MID(S503,_xlfn.SEQUENCE(LEN(S503)),1),"ABCDEFGHIJKLMNOPQRSTUVWXYZabcdefghijklmnopqrstuvwxyz0123456789,")))),"")</f>
        <v/>
      </c>
      <c r="D503" s="15" t="str">
        <v/>
      </c>
      <c r="E503" s="16" t="str">
        <v/>
      </c>
      <c r="F503" s="15" t="str">
        <v/>
      </c>
      <c r="G503" s="20" t="str" cm="1">
        <f t="array" ref="G503">IF(TRIM(P503)="","",IF(SUM(COUNTIF(P503,{"*NLGD*","*FWG*"}))&gt;0,P503,IF(SUM(COUNTIF(P503,{"*GL*","*DGB*","*DGI*","*GT*","*CS*","*PWU*","*DBI*","*SWU*"}))=0,P503,IF(IFERROR(VALUE(SUBSTITUTE(SUBSTITUTE(O503,"W",""),"""","")),0)&gt;52,P503&amp;"-OVRSIZE-",P503))))</f>
        <v/>
      </c>
      <c r="H503" s="15" t="str">
        <v/>
      </c>
      <c r="I503" s="15" t="str">
        <v/>
      </c>
      <c r="J503" s="15" t="str">
        <v/>
      </c>
      <c r="K503" s="15" t="str">
        <v/>
      </c>
      <c r="L503" s="15" t="str">
        <v/>
      </c>
      <c r="M503" s="10" t="str">
        <v/>
      </c>
      <c r="N503" s="14"/>
      <c r="O503" s="15" t="str" cm="1">
        <f t="array" ref="O503">IFERROR(_xlfn.LET(
_xlpm.clean,TRIM(SUBSTITUTE(SUBSTITUTE(P503,CHAR(160),"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3" s="15"/>
      <c r="R503" t="str">
        <v/>
      </c>
      <c r="S503" t="str">
        <f t="shared" si="8"/>
        <v/>
      </c>
    </row>
    <row r="504" spans="1:19" ht="12.75">
      <c r="A504" s="15" t="str">
        <v/>
      </c>
      <c r="B504" s="15" t="str">
        <v/>
      </c>
      <c r="C504" s="15" t="str" cm="1">
        <f t="array" ref="C504">IFERROR(_xlfn.TEXTJOIN("",TRUE,_xlfn._xlws.FILTER(MID(S504,_xlfn.SEQUENCE(LEN(S504)),1),ISNUMBER(SEARCH(MID(S504,_xlfn.SEQUENCE(LEN(S504)),1),"ABCDEFGHIJKLMNOPQRSTUVWXYZabcdefghijklmnopqrstuvwxyz0123456789,")))),"")</f>
        <v/>
      </c>
      <c r="D504" s="15" t="str">
        <v/>
      </c>
      <c r="E504" s="16" t="str">
        <v/>
      </c>
      <c r="F504" s="15" t="str">
        <v/>
      </c>
      <c r="G504" s="20" t="str" cm="1">
        <f t="array" ref="G504">IF(TRIM(P504)="","",IF(SUM(COUNTIF(P504,{"*NLGD*","*FWG*"}))&gt;0,P504,IF(SUM(COUNTIF(P504,{"*GL*","*DGB*","*DGI*","*GT*","*CS*","*PWU*","*DBI*","*SWU*"}))=0,P504,IF(IFERROR(VALUE(SUBSTITUTE(SUBSTITUTE(O504,"W",""),"""","")),0)&gt;52,P504&amp;"-OVRSIZE-",P504))))</f>
        <v/>
      </c>
      <c r="H504" s="15" t="str">
        <v/>
      </c>
      <c r="I504" s="15" t="str">
        <v/>
      </c>
      <c r="J504" s="15" t="str">
        <v/>
      </c>
      <c r="K504" s="15" t="str">
        <v/>
      </c>
      <c r="L504" s="15" t="str">
        <v/>
      </c>
      <c r="M504" s="10" t="str">
        <v/>
      </c>
      <c r="N504" s="14"/>
      <c r="O504" s="15" t="str" cm="1">
        <f t="array" ref="O504">IFERROR(_xlfn.LET(
_xlpm.clean,TRIM(SUBSTITUTE(SUBSTITUTE(P504,CHAR(160),"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4" s="15"/>
      <c r="R504" t="str">
        <v/>
      </c>
      <c r="S504" t="str">
        <f t="shared" si="8"/>
        <v/>
      </c>
    </row>
    <row r="505" spans="1:19" ht="12.75">
      <c r="A505" s="15" t="str">
        <v/>
      </c>
      <c r="B505" s="15" t="str">
        <v/>
      </c>
      <c r="C505" s="15" t="str" cm="1">
        <f t="array" ref="C505">IFERROR(_xlfn.TEXTJOIN("",TRUE,_xlfn._xlws.FILTER(MID(S505,_xlfn.SEQUENCE(LEN(S505)),1),ISNUMBER(SEARCH(MID(S505,_xlfn.SEQUENCE(LEN(S505)),1),"ABCDEFGHIJKLMNOPQRSTUVWXYZabcdefghijklmnopqrstuvwxyz0123456789,")))),"")</f>
        <v/>
      </c>
      <c r="D505" s="15" t="str">
        <v/>
      </c>
      <c r="E505" s="16" t="str">
        <v/>
      </c>
      <c r="F505" s="15" t="str">
        <v/>
      </c>
      <c r="G505" s="20" t="str" cm="1">
        <f t="array" ref="G505">IF(TRIM(P505)="","",IF(SUM(COUNTIF(P505,{"*NLGD*","*FWG*"}))&gt;0,P505,IF(SUM(COUNTIF(P505,{"*GL*","*DGB*","*DGI*","*GT*","*CS*","*PWU*","*DBI*","*SWU*"}))=0,P505,IF(IFERROR(VALUE(SUBSTITUTE(SUBSTITUTE(O505,"W",""),"""","")),0)&gt;52,P505&amp;"-OVRSIZE-",P505))))</f>
        <v/>
      </c>
      <c r="H505" s="15" t="str">
        <v/>
      </c>
      <c r="I505" s="15" t="str">
        <v/>
      </c>
      <c r="J505" s="15" t="str">
        <v/>
      </c>
      <c r="K505" s="15" t="str">
        <v/>
      </c>
      <c r="L505" s="15" t="str">
        <v/>
      </c>
      <c r="M505" s="10" t="str">
        <v/>
      </c>
      <c r="N505" s="14"/>
      <c r="O505" s="15" t="str" cm="1">
        <f t="array" ref="O505">IFERROR(_xlfn.LET(
_xlpm.clean,TRIM(SUBSTITUTE(SUBSTITUTE(P505,CHAR(160),"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5" s="15"/>
      <c r="R505" t="str">
        <v/>
      </c>
      <c r="S505" t="str">
        <f t="shared" si="8"/>
        <v/>
      </c>
    </row>
    <row r="506" spans="1:19" ht="12.75">
      <c r="A506" s="15" t="str">
        <v/>
      </c>
      <c r="B506" s="15" t="str">
        <v/>
      </c>
      <c r="C506" s="15" t="str" cm="1">
        <f t="array" ref="C506">IFERROR(_xlfn.TEXTJOIN("",TRUE,_xlfn._xlws.FILTER(MID(S506,_xlfn.SEQUENCE(LEN(S506)),1),ISNUMBER(SEARCH(MID(S506,_xlfn.SEQUENCE(LEN(S506)),1),"ABCDEFGHIJKLMNOPQRSTUVWXYZabcdefghijklmnopqrstuvwxyz0123456789,")))),"")</f>
        <v/>
      </c>
      <c r="D506" s="15" t="str">
        <v/>
      </c>
      <c r="E506" s="16" t="str">
        <v/>
      </c>
      <c r="F506" s="15" t="str">
        <v/>
      </c>
      <c r="G506" s="20" t="str" cm="1">
        <f t="array" ref="G506">IF(TRIM(P506)="","",IF(SUM(COUNTIF(P506,{"*NLGD*","*FWG*"}))&gt;0,P506,IF(SUM(COUNTIF(P506,{"*GL*","*DGB*","*DGI*","*GT*","*CS*","*PWU*","*DBI*","*SWU*"}))=0,P506,IF(IFERROR(VALUE(SUBSTITUTE(SUBSTITUTE(O506,"W",""),"""","")),0)&gt;52,P506&amp;"-OVRSIZE-",P506))))</f>
        <v/>
      </c>
      <c r="H506" s="15" t="str">
        <v/>
      </c>
      <c r="I506" s="15" t="str">
        <v/>
      </c>
      <c r="J506" s="15" t="str">
        <v/>
      </c>
      <c r="K506" s="15" t="str">
        <v/>
      </c>
      <c r="L506" s="15" t="str">
        <v/>
      </c>
      <c r="M506" s="10" t="str">
        <v/>
      </c>
      <c r="N506" s="14"/>
      <c r="O506" s="15" t="str" cm="1">
        <f t="array" ref="O506">IFERROR(_xlfn.LET(
_xlpm.clean,TRIM(SUBSTITUTE(SUBSTITUTE(P506,CHAR(160),"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6" s="15"/>
      <c r="R506" t="str">
        <v/>
      </c>
      <c r="S506" t="str">
        <f t="shared" si="8"/>
        <v/>
      </c>
    </row>
    <row r="507" spans="1:19" ht="12.75">
      <c r="A507" s="15" t="str">
        <v/>
      </c>
      <c r="B507" s="15" t="str">
        <v/>
      </c>
      <c r="C507" s="15" t="str" cm="1">
        <f t="array" ref="C507">IFERROR(_xlfn.TEXTJOIN("",TRUE,_xlfn._xlws.FILTER(MID(S507,_xlfn.SEQUENCE(LEN(S507)),1),ISNUMBER(SEARCH(MID(S507,_xlfn.SEQUENCE(LEN(S507)),1),"ABCDEFGHIJKLMNOPQRSTUVWXYZabcdefghijklmnopqrstuvwxyz0123456789,")))),"")</f>
        <v/>
      </c>
      <c r="D507" s="15" t="str">
        <v/>
      </c>
      <c r="E507" s="16" t="str">
        <v/>
      </c>
      <c r="F507" s="15" t="str">
        <v/>
      </c>
      <c r="G507" s="20" t="str" cm="1">
        <f t="array" ref="G507">IF(TRIM(P507)="","",IF(SUM(COUNTIF(P507,{"*NLGD*","*FWG*"}))&gt;0,P507,IF(SUM(COUNTIF(P507,{"*GL*","*DGB*","*DGI*","*GT*","*CS*","*PWU*","*DBI*","*SWU*"}))=0,P507,IF(IFERROR(VALUE(SUBSTITUTE(SUBSTITUTE(O507,"W",""),"""","")),0)&gt;52,P507&amp;"-OVRSIZE-",P507))))</f>
        <v/>
      </c>
      <c r="H507" s="15" t="str">
        <v/>
      </c>
      <c r="I507" s="15" t="str">
        <v/>
      </c>
      <c r="J507" s="15" t="str">
        <v/>
      </c>
      <c r="K507" s="15" t="str">
        <v/>
      </c>
      <c r="L507" s="15" t="str">
        <v/>
      </c>
      <c r="M507" s="10" t="str">
        <v/>
      </c>
      <c r="N507" s="14"/>
      <c r="O507" s="15" t="str" cm="1">
        <f t="array" ref="O507">IFERROR(_xlfn.LET(
_xlpm.clean,TRIM(SUBSTITUTE(SUBSTITUTE(P507,CHAR(160),"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7" s="15"/>
      <c r="R507" t="str">
        <v/>
      </c>
      <c r="S507" t="str">
        <f t="shared" si="8"/>
        <v/>
      </c>
    </row>
    <row r="508" spans="1:19" ht="12.75">
      <c r="A508" s="15" t="str">
        <v/>
      </c>
      <c r="B508" s="15" t="str">
        <v/>
      </c>
      <c r="C508" s="15" t="str" cm="1">
        <f t="array" ref="C508">IFERROR(_xlfn.TEXTJOIN("",TRUE,_xlfn._xlws.FILTER(MID(S508,_xlfn.SEQUENCE(LEN(S508)),1),ISNUMBER(SEARCH(MID(S508,_xlfn.SEQUENCE(LEN(S508)),1),"ABCDEFGHIJKLMNOPQRSTUVWXYZabcdefghijklmnopqrstuvwxyz0123456789,")))),"")</f>
        <v/>
      </c>
      <c r="D508" s="15" t="str">
        <v/>
      </c>
      <c r="E508" s="16" t="str">
        <v/>
      </c>
      <c r="F508" s="15" t="str">
        <v/>
      </c>
      <c r="G508" s="20" t="str" cm="1">
        <f t="array" ref="G508">IF(TRIM(P508)="","",IF(SUM(COUNTIF(P508,{"*NLGD*","*FWG*"}))&gt;0,P508,IF(SUM(COUNTIF(P508,{"*GL*","*DGB*","*DGI*","*GT*","*CS*","*PWU*","*DBI*","*SWU*"}))=0,P508,IF(IFERROR(VALUE(SUBSTITUTE(SUBSTITUTE(O508,"W",""),"""","")),0)&gt;52,P508&amp;"-OVRSIZE-",P508))))</f>
        <v/>
      </c>
      <c r="H508" s="15" t="str">
        <v/>
      </c>
      <c r="I508" s="15" t="str">
        <v/>
      </c>
      <c r="J508" s="15" t="str">
        <v/>
      </c>
      <c r="K508" s="15" t="str">
        <v/>
      </c>
      <c r="L508" s="15" t="str">
        <v/>
      </c>
      <c r="M508" s="10" t="str">
        <v/>
      </c>
      <c r="N508" s="14"/>
      <c r="O508" s="15" t="str" cm="1">
        <f t="array" ref="O508">IFERROR(_xlfn.LET(
_xlpm.clean,TRIM(SUBSTITUTE(SUBSTITUTE(P508,CHAR(160),"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8" s="15"/>
      <c r="R508" t="str">
        <v/>
      </c>
      <c r="S508" t="str">
        <f t="shared" si="8"/>
        <v/>
      </c>
    </row>
    <row r="509" spans="1:19" ht="12.75">
      <c r="A509" s="15" t="str">
        <v/>
      </c>
      <c r="B509" s="15" t="str">
        <v/>
      </c>
      <c r="C509" s="15" t="str" cm="1">
        <f t="array" ref="C509">IFERROR(_xlfn.TEXTJOIN("",TRUE,_xlfn._xlws.FILTER(MID(S509,_xlfn.SEQUENCE(LEN(S509)),1),ISNUMBER(SEARCH(MID(S509,_xlfn.SEQUENCE(LEN(S509)),1),"ABCDEFGHIJKLMNOPQRSTUVWXYZabcdefghijklmnopqrstuvwxyz0123456789,")))),"")</f>
        <v/>
      </c>
      <c r="D509" s="15" t="str">
        <v/>
      </c>
      <c r="E509" s="16" t="str">
        <v/>
      </c>
      <c r="F509" s="15" t="str">
        <v/>
      </c>
      <c r="G509" s="20" t="str" cm="1">
        <f t="array" ref="G509">IF(TRIM(P509)="","",IF(SUM(COUNTIF(P509,{"*NLGD*","*FWG*"}))&gt;0,P509,IF(SUM(COUNTIF(P509,{"*GL*","*DGB*","*DGI*","*GT*","*CS*","*PWU*","*DBI*","*SWU*"}))=0,P509,IF(IFERROR(VALUE(SUBSTITUTE(SUBSTITUTE(O509,"W",""),"""","")),0)&gt;52,P509&amp;"-OVRSIZE-",P509))))</f>
        <v/>
      </c>
      <c r="H509" s="15" t="str">
        <v/>
      </c>
      <c r="I509" s="15" t="str">
        <v/>
      </c>
      <c r="J509" s="15" t="str">
        <v/>
      </c>
      <c r="K509" s="15" t="str">
        <v/>
      </c>
      <c r="L509" s="15" t="str">
        <v/>
      </c>
      <c r="M509" s="10" t="str">
        <v/>
      </c>
      <c r="N509" s="14"/>
      <c r="O509" s="15" t="str" cm="1">
        <f t="array" ref="O509">IFERROR(_xlfn.LET(
_xlpm.clean,TRIM(SUBSTITUTE(SUBSTITUTE(P509,CHAR(160),"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9" s="15"/>
      <c r="R509" t="str">
        <v/>
      </c>
      <c r="S509" t="str">
        <f t="shared" si="8"/>
        <v/>
      </c>
    </row>
    <row r="510" spans="1:19" ht="12.75">
      <c r="A510" s="15" t="str">
        <v/>
      </c>
      <c r="B510" s="15" t="str">
        <v/>
      </c>
      <c r="C510" s="15" t="str" cm="1">
        <f t="array" ref="C510">IFERROR(_xlfn.TEXTJOIN("",TRUE,_xlfn._xlws.FILTER(MID(S510,_xlfn.SEQUENCE(LEN(S510)),1),ISNUMBER(SEARCH(MID(S510,_xlfn.SEQUENCE(LEN(S510)),1),"ABCDEFGHIJKLMNOPQRSTUVWXYZabcdefghijklmnopqrstuvwxyz0123456789,")))),"")</f>
        <v/>
      </c>
      <c r="D510" s="15" t="str">
        <v/>
      </c>
      <c r="E510" s="16" t="str">
        <v/>
      </c>
      <c r="F510" s="15" t="str">
        <v/>
      </c>
      <c r="G510" s="20" t="str" cm="1">
        <f t="array" ref="G510">IF(TRIM(P510)="","",IF(SUM(COUNTIF(P510,{"*NLGD*","*FWG*"}))&gt;0,P510,IF(SUM(COUNTIF(P510,{"*GL*","*DGB*","*DGI*","*GT*","*CS*","*PWU*","*DBI*","*SWU*"}))=0,P510,IF(IFERROR(VALUE(SUBSTITUTE(SUBSTITUTE(O510,"W",""),"""","")),0)&gt;52,P510&amp;"-OVRSIZE-",P510))))</f>
        <v/>
      </c>
      <c r="H510" s="15" t="str">
        <v/>
      </c>
      <c r="I510" s="15" t="str">
        <v/>
      </c>
      <c r="J510" s="15" t="str">
        <v/>
      </c>
      <c r="K510" s="15" t="str">
        <v/>
      </c>
      <c r="L510" s="15" t="str">
        <v/>
      </c>
      <c r="M510" s="10" t="str">
        <v/>
      </c>
      <c r="N510" s="14"/>
      <c r="O510" s="15" t="str" cm="1">
        <f t="array" ref="O510">IFERROR(_xlfn.LET(
_xlpm.clean,TRIM(SUBSTITUTE(SUBSTITUTE(P510,CHAR(160),"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0" s="15"/>
      <c r="R510" t="str">
        <v/>
      </c>
      <c r="S510" t="str">
        <f t="shared" si="8"/>
        <v/>
      </c>
    </row>
    <row r="511" spans="1:19" ht="12.75">
      <c r="A511" s="15" t="str">
        <v/>
      </c>
      <c r="B511" s="15" t="str">
        <v/>
      </c>
      <c r="C511" s="15" t="str" cm="1">
        <f t="array" ref="C511">IFERROR(_xlfn.TEXTJOIN("",TRUE,_xlfn._xlws.FILTER(MID(S511,_xlfn.SEQUENCE(LEN(S511)),1),ISNUMBER(SEARCH(MID(S511,_xlfn.SEQUENCE(LEN(S511)),1),"ABCDEFGHIJKLMNOPQRSTUVWXYZabcdefghijklmnopqrstuvwxyz0123456789,")))),"")</f>
        <v/>
      </c>
      <c r="D511" s="15" t="str">
        <v/>
      </c>
      <c r="E511" s="16" t="str">
        <v/>
      </c>
      <c r="F511" s="15" t="str">
        <v/>
      </c>
      <c r="G511" s="20" t="str" cm="1">
        <f t="array" ref="G511">IF(TRIM(P511)="","",IF(SUM(COUNTIF(P511,{"*NLGD*","*FWG*"}))&gt;0,P511,IF(SUM(COUNTIF(P511,{"*GL*","*DGB*","*DGI*","*GT*","*CS*","*PWU*","*DBI*","*SWU*"}))=0,P511,IF(IFERROR(VALUE(SUBSTITUTE(SUBSTITUTE(O511,"W",""),"""","")),0)&gt;52,P511&amp;"-OVRSIZE-",P511))))</f>
        <v/>
      </c>
      <c r="H511" s="15" t="str">
        <v/>
      </c>
      <c r="I511" s="15" t="str">
        <v/>
      </c>
      <c r="J511" s="15" t="str">
        <v/>
      </c>
      <c r="K511" s="15" t="str">
        <v/>
      </c>
      <c r="L511" s="15" t="str">
        <v/>
      </c>
      <c r="M511" s="10" t="str">
        <v/>
      </c>
      <c r="N511" s="14"/>
      <c r="O511" s="15" t="str" cm="1">
        <f t="array" ref="O511">IFERROR(_xlfn.LET(
_xlpm.clean,TRIM(SUBSTITUTE(SUBSTITUTE(P511,CHAR(160),"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1" s="15"/>
      <c r="R511" t="str">
        <v/>
      </c>
      <c r="S511" t="str">
        <f t="shared" si="8"/>
        <v/>
      </c>
    </row>
    <row r="512" spans="1:19" ht="12.75">
      <c r="A512" s="15" t="str">
        <v/>
      </c>
      <c r="B512" s="15" t="str">
        <v/>
      </c>
      <c r="C512" s="15" t="str" cm="1">
        <f t="array" ref="C512">IFERROR(_xlfn.TEXTJOIN("",TRUE,_xlfn._xlws.FILTER(MID(S512,_xlfn.SEQUENCE(LEN(S512)),1),ISNUMBER(SEARCH(MID(S512,_xlfn.SEQUENCE(LEN(S512)),1),"ABCDEFGHIJKLMNOPQRSTUVWXYZabcdefghijklmnopqrstuvwxyz0123456789,")))),"")</f>
        <v/>
      </c>
      <c r="D512" s="15" t="str">
        <v/>
      </c>
      <c r="E512" s="16" t="str">
        <v/>
      </c>
      <c r="F512" s="15" t="str">
        <v/>
      </c>
      <c r="G512" s="20" t="str" cm="1">
        <f t="array" ref="G512">IF(TRIM(P512)="","",IF(SUM(COUNTIF(P512,{"*NLGD*","*FWG*"}))&gt;0,P512,IF(SUM(COUNTIF(P512,{"*GL*","*DGB*","*DGI*","*GT*","*CS*","*PWU*","*DBI*","*SWU*"}))=0,P512,IF(IFERROR(VALUE(SUBSTITUTE(SUBSTITUTE(O512,"W",""),"""","")),0)&gt;52,P512&amp;"-OVRSIZE-",P512))))</f>
        <v/>
      </c>
      <c r="H512" s="15" t="str">
        <v/>
      </c>
      <c r="I512" s="15" t="str">
        <v/>
      </c>
      <c r="J512" s="15" t="str">
        <v/>
      </c>
      <c r="K512" s="15" t="str">
        <v/>
      </c>
      <c r="L512" s="15" t="str">
        <v/>
      </c>
      <c r="M512" s="10" t="str">
        <v/>
      </c>
      <c r="N512" s="14"/>
      <c r="O512" s="15" t="str" cm="1">
        <f t="array" ref="O512">IFERROR(_xlfn.LET(
_xlpm.clean,TRIM(SUBSTITUTE(SUBSTITUTE(P512,CHAR(160),"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2" s="15"/>
      <c r="R512" t="str">
        <v/>
      </c>
      <c r="S512" t="str">
        <f t="shared" si="8"/>
        <v/>
      </c>
    </row>
    <row r="513" spans="1:19" ht="12.75">
      <c r="A513" s="15" t="str">
        <v/>
      </c>
      <c r="B513" s="15" t="str">
        <v/>
      </c>
      <c r="C513" s="15" t="str" cm="1">
        <f t="array" ref="C513">IFERROR(_xlfn.TEXTJOIN("",TRUE,_xlfn._xlws.FILTER(MID(S513,_xlfn.SEQUENCE(LEN(S513)),1),ISNUMBER(SEARCH(MID(S513,_xlfn.SEQUENCE(LEN(S513)),1),"ABCDEFGHIJKLMNOPQRSTUVWXYZabcdefghijklmnopqrstuvwxyz0123456789,")))),"")</f>
        <v/>
      </c>
      <c r="D513" s="15" t="str">
        <v/>
      </c>
      <c r="E513" s="16" t="str">
        <v/>
      </c>
      <c r="F513" s="15" t="str">
        <v/>
      </c>
      <c r="G513" s="20" t="str" cm="1">
        <f t="array" ref="G513">IF(TRIM(P513)="","",IF(SUM(COUNTIF(P513,{"*NLGD*","*FWG*"}))&gt;0,P513,IF(SUM(COUNTIF(P513,{"*GL*","*DGB*","*DGI*","*GT*","*CS*","*PWU*","*DBI*","*SWU*"}))=0,P513,IF(IFERROR(VALUE(SUBSTITUTE(SUBSTITUTE(O513,"W",""),"""","")),0)&gt;52,P513&amp;"-OVRSIZE-",P513))))</f>
        <v/>
      </c>
      <c r="H513" s="15" t="str">
        <v/>
      </c>
      <c r="I513" s="15" t="str">
        <v/>
      </c>
      <c r="J513" s="15" t="str">
        <v/>
      </c>
      <c r="K513" s="15" t="str">
        <v/>
      </c>
      <c r="L513" s="15" t="str">
        <v/>
      </c>
      <c r="M513" s="10" t="str">
        <v/>
      </c>
      <c r="N513" s="14"/>
      <c r="O513" s="15" t="str" cm="1">
        <f t="array" ref="O513">IFERROR(_xlfn.LET(
_xlpm.clean,TRIM(SUBSTITUTE(SUBSTITUTE(P513,CHAR(160),"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3" s="15"/>
      <c r="R513" t="str">
        <v/>
      </c>
      <c r="S513" t="str">
        <f t="shared" si="8"/>
        <v/>
      </c>
    </row>
    <row r="514" spans="1:19" ht="12.75">
      <c r="A514" s="15" t="str">
        <v/>
      </c>
      <c r="B514" s="15" t="str">
        <v/>
      </c>
      <c r="C514" s="15" t="str" cm="1">
        <f t="array" ref="C514">IFERROR(_xlfn.TEXTJOIN("",TRUE,_xlfn._xlws.FILTER(MID(S514,_xlfn.SEQUENCE(LEN(S514)),1),ISNUMBER(SEARCH(MID(S514,_xlfn.SEQUENCE(LEN(S514)),1),"ABCDEFGHIJKLMNOPQRSTUVWXYZabcdefghijklmnopqrstuvwxyz0123456789,")))),"")</f>
        <v/>
      </c>
      <c r="D514" s="15" t="str">
        <v/>
      </c>
      <c r="E514" s="16" t="str">
        <v/>
      </c>
      <c r="F514" s="15" t="str">
        <v/>
      </c>
      <c r="G514" s="20" t="str" cm="1">
        <f t="array" ref="G514">IF(TRIM(P514)="","",IF(SUM(COUNTIF(P514,{"*NLGD*","*FWG*"}))&gt;0,P514,IF(SUM(COUNTIF(P514,{"*GL*","*DGB*","*DGI*","*GT*","*CS*","*PWU*","*DBI*","*SWU*"}))=0,P514,IF(IFERROR(VALUE(SUBSTITUTE(SUBSTITUTE(O514,"W",""),"""","")),0)&gt;52,P514&amp;"-OVRSIZE-",P514))))</f>
        <v/>
      </c>
      <c r="H514" s="15" t="str">
        <v/>
      </c>
      <c r="I514" s="15" t="str">
        <v/>
      </c>
      <c r="J514" s="15" t="str">
        <v/>
      </c>
      <c r="K514" s="15" t="str">
        <v/>
      </c>
      <c r="L514" s="15" t="str">
        <v/>
      </c>
      <c r="M514" s="10" t="str">
        <v/>
      </c>
      <c r="N514" s="14"/>
      <c r="O514" s="15" t="str" cm="1">
        <f t="array" ref="O514">IFERROR(_xlfn.LET(
_xlpm.clean,TRIM(SUBSTITUTE(SUBSTITUTE(P514,CHAR(160),"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4" s="15"/>
      <c r="R514" t="str">
        <v/>
      </c>
      <c r="S514" t="str">
        <f t="shared" si="8"/>
        <v/>
      </c>
    </row>
    <row r="515" spans="1:19" ht="12.75">
      <c r="A515" s="15" t="str">
        <v/>
      </c>
      <c r="B515" s="15" t="str">
        <v/>
      </c>
      <c r="C515" s="15" t="str" cm="1">
        <f t="array" ref="C515">IFERROR(_xlfn.TEXTJOIN("",TRUE,_xlfn._xlws.FILTER(MID(S515,_xlfn.SEQUENCE(LEN(S515)),1),ISNUMBER(SEARCH(MID(S515,_xlfn.SEQUENCE(LEN(S515)),1),"ABCDEFGHIJKLMNOPQRSTUVWXYZabcdefghijklmnopqrstuvwxyz0123456789,")))),"")</f>
        <v/>
      </c>
      <c r="D515" s="15" t="str">
        <v/>
      </c>
      <c r="E515" s="16" t="str">
        <v/>
      </c>
      <c r="F515" s="15" t="str">
        <v/>
      </c>
      <c r="G515" s="20" t="str" cm="1">
        <f t="array" ref="G515">IF(TRIM(P515)="","",IF(SUM(COUNTIF(P515,{"*NLGD*","*FWG*"}))&gt;0,P515,IF(SUM(COUNTIF(P515,{"*GL*","*DGB*","*DGI*","*GT*","*CS*","*PWU*","*DBI*","*SWU*"}))=0,P515,IF(IFERROR(VALUE(SUBSTITUTE(SUBSTITUTE(O515,"W",""),"""","")),0)&gt;52,P515&amp;"-OVRSIZE-",P515))))</f>
        <v/>
      </c>
      <c r="H515" s="15" t="str">
        <v/>
      </c>
      <c r="I515" s="15" t="str">
        <v/>
      </c>
      <c r="J515" s="15" t="str">
        <v/>
      </c>
      <c r="K515" s="15" t="str">
        <v/>
      </c>
      <c r="L515" s="15" t="str">
        <v/>
      </c>
      <c r="M515" s="10" t="str">
        <v/>
      </c>
      <c r="N515" s="14"/>
      <c r="O515" s="15" t="str" cm="1">
        <f t="array" ref="O515">IFERROR(_xlfn.LET(
_xlpm.clean,TRIM(SUBSTITUTE(SUBSTITUTE(P515,CHAR(160),"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5" s="15"/>
      <c r="R515" t="str">
        <v/>
      </c>
      <c r="S515" t="str">
        <f t="shared" si="8"/>
        <v/>
      </c>
    </row>
    <row r="516" spans="1:19" ht="12.75">
      <c r="A516" s="15" t="str">
        <v/>
      </c>
      <c r="B516" s="15" t="str">
        <v/>
      </c>
      <c r="C516" s="15" t="str" cm="1">
        <f t="array" ref="C516">IFERROR(_xlfn.TEXTJOIN("",TRUE,_xlfn._xlws.FILTER(MID(S516,_xlfn.SEQUENCE(LEN(S516)),1),ISNUMBER(SEARCH(MID(S516,_xlfn.SEQUENCE(LEN(S516)),1),"ABCDEFGHIJKLMNOPQRSTUVWXYZabcdefghijklmnopqrstuvwxyz0123456789,")))),"")</f>
        <v/>
      </c>
      <c r="D516" s="15" t="str">
        <v/>
      </c>
      <c r="E516" s="16" t="str">
        <v/>
      </c>
      <c r="F516" s="15" t="str">
        <v/>
      </c>
      <c r="G516" s="20" t="str" cm="1">
        <f t="array" ref="G516">IF(TRIM(P516)="","",IF(SUM(COUNTIF(P516,{"*NLGD*","*FWG*"}))&gt;0,P516,IF(SUM(COUNTIF(P516,{"*GL*","*DGB*","*DGI*","*GT*","*CS*","*PWU*","*DBI*","*SWU*"}))=0,P516,IF(IFERROR(VALUE(SUBSTITUTE(SUBSTITUTE(O516,"W",""),"""","")),0)&gt;52,P516&amp;"-OVRSIZE-",P516))))</f>
        <v/>
      </c>
      <c r="H516" s="15" t="str">
        <v/>
      </c>
      <c r="I516" s="15" t="str">
        <v/>
      </c>
      <c r="J516" s="15" t="str">
        <v/>
      </c>
      <c r="K516" s="15" t="str">
        <v/>
      </c>
      <c r="L516" s="15" t="str">
        <v/>
      </c>
      <c r="M516" s="10" t="str">
        <v/>
      </c>
      <c r="N516" s="14"/>
      <c r="O516" s="15" t="str" cm="1">
        <f t="array" ref="O516">IFERROR(_xlfn.LET(
_xlpm.clean,TRIM(SUBSTITUTE(SUBSTITUTE(P516,CHAR(160),"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6" s="15"/>
      <c r="R516" t="str">
        <v/>
      </c>
      <c r="S516" t="str">
        <f t="shared" si="8"/>
        <v/>
      </c>
    </row>
    <row r="517" spans="1:19" ht="12.75">
      <c r="A517" s="15" t="str">
        <v/>
      </c>
      <c r="B517" s="15" t="str">
        <v/>
      </c>
      <c r="C517" s="15" t="str" cm="1">
        <f t="array" ref="C517">IFERROR(_xlfn.TEXTJOIN("",TRUE,_xlfn._xlws.FILTER(MID(S517,_xlfn.SEQUENCE(LEN(S517)),1),ISNUMBER(SEARCH(MID(S517,_xlfn.SEQUENCE(LEN(S517)),1),"ABCDEFGHIJKLMNOPQRSTUVWXYZabcdefghijklmnopqrstuvwxyz0123456789,")))),"")</f>
        <v/>
      </c>
      <c r="D517" s="15" t="str">
        <v/>
      </c>
      <c r="E517" s="16" t="str">
        <v/>
      </c>
      <c r="F517" s="15" t="str">
        <v/>
      </c>
      <c r="G517" s="20" t="str" cm="1">
        <f t="array" ref="G517">IF(TRIM(P517)="","",IF(SUM(COUNTIF(P517,{"*NLGD*","*FWG*"}))&gt;0,P517,IF(SUM(COUNTIF(P517,{"*GL*","*DGB*","*DGI*","*GT*","*CS*","*PWU*","*DBI*","*SWU*"}))=0,P517,IF(IFERROR(VALUE(SUBSTITUTE(SUBSTITUTE(O517,"W",""),"""","")),0)&gt;52,P517&amp;"-OVRSIZE-",P517))))</f>
        <v/>
      </c>
      <c r="H517" s="15" t="str">
        <v/>
      </c>
      <c r="I517" s="15" t="str">
        <v/>
      </c>
      <c r="J517" s="15" t="str">
        <v/>
      </c>
      <c r="K517" s="15" t="str">
        <v/>
      </c>
      <c r="L517" s="15" t="str">
        <v/>
      </c>
      <c r="M517" s="10" t="str">
        <v/>
      </c>
      <c r="N517" s="14"/>
      <c r="O517" s="15" t="str" cm="1">
        <f t="array" ref="O517">IFERROR(_xlfn.LET(
_xlpm.clean,TRIM(SUBSTITUTE(SUBSTITUTE(P517,CHAR(160),"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7" s="15"/>
      <c r="R517" t="str">
        <v/>
      </c>
      <c r="S517" t="str">
        <f t="shared" si="8"/>
        <v/>
      </c>
    </row>
    <row r="518" spans="1:19" ht="12.75">
      <c r="A518" s="15" t="str">
        <v/>
      </c>
      <c r="B518" s="15" t="str">
        <v/>
      </c>
      <c r="C518" s="15" t="str" cm="1">
        <f t="array" ref="C518">IFERROR(_xlfn.TEXTJOIN("",TRUE,_xlfn._xlws.FILTER(MID(S518,_xlfn.SEQUENCE(LEN(S518)),1),ISNUMBER(SEARCH(MID(S518,_xlfn.SEQUENCE(LEN(S518)),1),"ABCDEFGHIJKLMNOPQRSTUVWXYZabcdefghijklmnopqrstuvwxyz0123456789,")))),"")</f>
        <v/>
      </c>
      <c r="D518" s="15" t="str">
        <v/>
      </c>
      <c r="E518" s="16" t="str">
        <v/>
      </c>
      <c r="F518" s="15" t="str">
        <v/>
      </c>
      <c r="G518" s="20" t="str" cm="1">
        <f t="array" ref="G518">IF(TRIM(P518)="","",IF(SUM(COUNTIF(P518,{"*NLGD*","*FWG*"}))&gt;0,P518,IF(SUM(COUNTIF(P518,{"*GL*","*DGB*","*DGI*","*GT*","*CS*","*PWU*","*DBI*","*SWU*"}))=0,P518,IF(IFERROR(VALUE(SUBSTITUTE(SUBSTITUTE(O518,"W",""),"""","")),0)&gt;52,P518&amp;"-OVRSIZE-",P518))))</f>
        <v/>
      </c>
      <c r="H518" s="15" t="str">
        <v/>
      </c>
      <c r="I518" s="15" t="str">
        <v/>
      </c>
      <c r="J518" s="15" t="str">
        <v/>
      </c>
      <c r="K518" s="15" t="str">
        <v/>
      </c>
      <c r="L518" s="15" t="str">
        <v/>
      </c>
      <c r="M518" s="10" t="str">
        <v/>
      </c>
      <c r="N518" s="14"/>
      <c r="O518" s="15" t="str" cm="1">
        <f t="array" ref="O518">IFERROR(_xlfn.LET(
_xlpm.clean,TRIM(SUBSTITUTE(SUBSTITUTE(P518,CHAR(160),"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8" s="15"/>
      <c r="R518" t="str">
        <v/>
      </c>
      <c r="S518" t="str">
        <f t="shared" si="8"/>
        <v/>
      </c>
    </row>
    <row r="519" spans="1:19" ht="12.75">
      <c r="A519" s="15" t="str">
        <v/>
      </c>
      <c r="B519" s="15" t="str">
        <v/>
      </c>
      <c r="C519" s="15" t="str" cm="1">
        <f t="array" ref="C519">IFERROR(_xlfn.TEXTJOIN("",TRUE,_xlfn._xlws.FILTER(MID(S519,_xlfn.SEQUENCE(LEN(S519)),1),ISNUMBER(SEARCH(MID(S519,_xlfn.SEQUENCE(LEN(S519)),1),"ABCDEFGHIJKLMNOPQRSTUVWXYZabcdefghijklmnopqrstuvwxyz0123456789,")))),"")</f>
        <v/>
      </c>
      <c r="D519" s="15" t="str">
        <v/>
      </c>
      <c r="E519" s="16" t="str">
        <v/>
      </c>
      <c r="F519" s="15" t="str">
        <v/>
      </c>
      <c r="G519" s="20" t="str" cm="1">
        <f t="array" ref="G519">IF(TRIM(P519)="","",IF(SUM(COUNTIF(P519,{"*NLGD*","*FWG*"}))&gt;0,P519,IF(SUM(COUNTIF(P519,{"*GL*","*DGB*","*DGI*","*GT*","*CS*","*PWU*","*DBI*","*SWU*"}))=0,P519,IF(IFERROR(VALUE(SUBSTITUTE(SUBSTITUTE(O519,"W",""),"""","")),0)&gt;52,P519&amp;"-OVRSIZE-",P519))))</f>
        <v/>
      </c>
      <c r="H519" s="15" t="str">
        <v/>
      </c>
      <c r="I519" s="15" t="str">
        <v/>
      </c>
      <c r="J519" s="15" t="str">
        <v/>
      </c>
      <c r="K519" s="15" t="str">
        <v/>
      </c>
      <c r="L519" s="15" t="str">
        <v/>
      </c>
      <c r="M519" s="10" t="str">
        <v/>
      </c>
      <c r="N519" s="14"/>
      <c r="O519" s="15" t="str" cm="1">
        <f t="array" ref="O519">IFERROR(_xlfn.LET(
_xlpm.clean,TRIM(SUBSTITUTE(SUBSTITUTE(P519,CHAR(160),"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9" s="15"/>
      <c r="R519" t="str">
        <v/>
      </c>
      <c r="S519" t="str">
        <f t="shared" si="8"/>
        <v/>
      </c>
    </row>
    <row r="520" spans="1:19" ht="12.75">
      <c r="A520" s="15" t="str">
        <v/>
      </c>
      <c r="B520" s="15" t="str">
        <v/>
      </c>
      <c r="C520" s="15" t="str" cm="1">
        <f t="array" ref="C520">IFERROR(_xlfn.TEXTJOIN("",TRUE,_xlfn._xlws.FILTER(MID(S520,_xlfn.SEQUENCE(LEN(S520)),1),ISNUMBER(SEARCH(MID(S520,_xlfn.SEQUENCE(LEN(S520)),1),"ABCDEFGHIJKLMNOPQRSTUVWXYZabcdefghijklmnopqrstuvwxyz0123456789,")))),"")</f>
        <v/>
      </c>
      <c r="D520" s="15" t="str">
        <v/>
      </c>
      <c r="E520" s="16" t="str">
        <v/>
      </c>
      <c r="F520" s="15" t="str">
        <v/>
      </c>
      <c r="G520" s="20" t="str" cm="1">
        <f t="array" ref="G520">IF(TRIM(P520)="","",IF(SUM(COUNTIF(P520,{"*NLGD*","*FWG*"}))&gt;0,P520,IF(SUM(COUNTIF(P520,{"*GL*","*DGB*","*DGI*","*GT*","*CS*","*PWU*","*DBI*","*SWU*"}))=0,P520,IF(IFERROR(VALUE(SUBSTITUTE(SUBSTITUTE(O520,"W",""),"""","")),0)&gt;52,P520&amp;"-OVRSIZE-",P520))))</f>
        <v/>
      </c>
      <c r="H520" s="15" t="str">
        <v/>
      </c>
      <c r="I520" s="15" t="str">
        <v/>
      </c>
      <c r="J520" s="15" t="str">
        <v/>
      </c>
      <c r="K520" s="15" t="str">
        <v/>
      </c>
      <c r="L520" s="15" t="str">
        <v/>
      </c>
      <c r="M520" s="10" t="str">
        <v/>
      </c>
      <c r="N520" s="14"/>
      <c r="O520" s="15" t="str" cm="1">
        <f t="array" ref="O520">IFERROR(_xlfn.LET(
_xlpm.clean,TRIM(SUBSTITUTE(SUBSTITUTE(P520,CHAR(160),"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0" s="15"/>
      <c r="R520" t="str">
        <v/>
      </c>
      <c r="S520" t="str">
        <f t="shared" ref="S520:S583" si="9">IF(R520="","",_xlfn.LET(
_xlpm.x,TRIM(SUBSTITUTE(SUBSTITUTE(SUBSTITUTE(SUBSTITUTE(R520,":","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521" spans="1:19" ht="12.75">
      <c r="A521" s="15" t="str">
        <v/>
      </c>
      <c r="B521" s="15" t="str">
        <v/>
      </c>
      <c r="C521" s="15" t="str" cm="1">
        <f t="array" ref="C521">IFERROR(_xlfn.TEXTJOIN("",TRUE,_xlfn._xlws.FILTER(MID(S521,_xlfn.SEQUENCE(LEN(S521)),1),ISNUMBER(SEARCH(MID(S521,_xlfn.SEQUENCE(LEN(S521)),1),"ABCDEFGHIJKLMNOPQRSTUVWXYZabcdefghijklmnopqrstuvwxyz0123456789,")))),"")</f>
        <v/>
      </c>
      <c r="D521" s="15" t="str">
        <v/>
      </c>
      <c r="E521" s="16" t="str">
        <v/>
      </c>
      <c r="F521" s="15" t="str">
        <v/>
      </c>
      <c r="G521" s="20" t="str" cm="1">
        <f t="array" ref="G521">IF(TRIM(P521)="","",IF(SUM(COUNTIF(P521,{"*NLGD*","*FWG*"}))&gt;0,P521,IF(SUM(COUNTIF(P521,{"*GL*","*DGB*","*DGI*","*GT*","*CS*","*PWU*","*DBI*","*SWU*"}))=0,P521,IF(IFERROR(VALUE(SUBSTITUTE(SUBSTITUTE(O521,"W",""),"""","")),0)&gt;52,P521&amp;"-OVRSIZE-",P521))))</f>
        <v/>
      </c>
      <c r="H521" s="15" t="str">
        <v/>
      </c>
      <c r="I521" s="15" t="str">
        <v/>
      </c>
      <c r="J521" s="15" t="str">
        <v/>
      </c>
      <c r="K521" s="15" t="str">
        <v/>
      </c>
      <c r="L521" s="15" t="str">
        <v/>
      </c>
      <c r="M521" s="10" t="str">
        <v/>
      </c>
      <c r="N521" s="14"/>
      <c r="O521" s="15" t="str" cm="1">
        <f t="array" ref="O521">IFERROR(_xlfn.LET(
_xlpm.clean,TRIM(SUBSTITUTE(SUBSTITUTE(P521,CHAR(160),"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1" s="15"/>
      <c r="R521" t="str">
        <v/>
      </c>
      <c r="S521" t="str">
        <f t="shared" si="9"/>
        <v/>
      </c>
    </row>
    <row r="522" spans="1:19" ht="12.75">
      <c r="A522" s="15" t="str">
        <v/>
      </c>
      <c r="B522" s="15" t="str">
        <v/>
      </c>
      <c r="C522" s="15" t="str" cm="1">
        <f t="array" ref="C522">IFERROR(_xlfn.TEXTJOIN("",TRUE,_xlfn._xlws.FILTER(MID(S522,_xlfn.SEQUENCE(LEN(S522)),1),ISNUMBER(SEARCH(MID(S522,_xlfn.SEQUENCE(LEN(S522)),1),"ABCDEFGHIJKLMNOPQRSTUVWXYZabcdefghijklmnopqrstuvwxyz0123456789,")))),"")</f>
        <v/>
      </c>
      <c r="D522" s="15" t="str">
        <v/>
      </c>
      <c r="E522" s="16" t="str">
        <v/>
      </c>
      <c r="F522" s="15" t="str">
        <v/>
      </c>
      <c r="G522" s="20" t="str" cm="1">
        <f t="array" ref="G522">IF(TRIM(P522)="","",IF(SUM(COUNTIF(P522,{"*NLGD*","*FWG*"}))&gt;0,P522,IF(SUM(COUNTIF(P522,{"*GL*","*DGB*","*DGI*","*GT*","*CS*","*PWU*","*DBI*","*SWU*"}))=0,P522,IF(IFERROR(VALUE(SUBSTITUTE(SUBSTITUTE(O522,"W",""),"""","")),0)&gt;52,P522&amp;"-OVRSIZE-",P522))))</f>
        <v/>
      </c>
      <c r="H522" s="15" t="str">
        <v/>
      </c>
      <c r="I522" s="15" t="str">
        <v/>
      </c>
      <c r="J522" s="15" t="str">
        <v/>
      </c>
      <c r="K522" s="15" t="str">
        <v/>
      </c>
      <c r="L522" s="15" t="str">
        <v/>
      </c>
      <c r="M522" s="10" t="str">
        <v/>
      </c>
      <c r="N522" s="14"/>
      <c r="O522" s="15" t="str" cm="1">
        <f t="array" ref="O522">IFERROR(_xlfn.LET(
_xlpm.clean,TRIM(SUBSTITUTE(SUBSTITUTE(P522,CHAR(160),"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2" s="15"/>
      <c r="R522" t="str">
        <v/>
      </c>
      <c r="S522" t="str">
        <f t="shared" si="9"/>
        <v/>
      </c>
    </row>
    <row r="523" spans="1:19" ht="12.75">
      <c r="A523" s="15" t="str">
        <v/>
      </c>
      <c r="B523" s="15" t="str">
        <v/>
      </c>
      <c r="C523" s="15" t="str" cm="1">
        <f t="array" ref="C523">IFERROR(_xlfn.TEXTJOIN("",TRUE,_xlfn._xlws.FILTER(MID(S523,_xlfn.SEQUENCE(LEN(S523)),1),ISNUMBER(SEARCH(MID(S523,_xlfn.SEQUENCE(LEN(S523)),1),"ABCDEFGHIJKLMNOPQRSTUVWXYZabcdefghijklmnopqrstuvwxyz0123456789,")))),"")</f>
        <v/>
      </c>
      <c r="D523" s="15" t="str">
        <v/>
      </c>
      <c r="E523" s="16" t="str">
        <v/>
      </c>
      <c r="F523" s="15" t="str">
        <v/>
      </c>
      <c r="G523" s="20" t="str" cm="1">
        <f t="array" ref="G523">IF(TRIM(P523)="","",IF(SUM(COUNTIF(P523,{"*NLGD*","*FWG*"}))&gt;0,P523,IF(SUM(COUNTIF(P523,{"*GL*","*DGB*","*DGI*","*GT*","*CS*","*PWU*","*DBI*","*SWU*"}))=0,P523,IF(IFERROR(VALUE(SUBSTITUTE(SUBSTITUTE(O523,"W",""),"""","")),0)&gt;52,P523&amp;"-OVRSIZE-",P523))))</f>
        <v/>
      </c>
      <c r="H523" s="15" t="str">
        <v/>
      </c>
      <c r="I523" s="15" t="str">
        <v/>
      </c>
      <c r="J523" s="15" t="str">
        <v/>
      </c>
      <c r="K523" s="15" t="str">
        <v/>
      </c>
      <c r="L523" s="15" t="str">
        <v/>
      </c>
      <c r="M523" s="10" t="str">
        <v/>
      </c>
      <c r="N523" s="14"/>
      <c r="O523" s="15" t="str" cm="1">
        <f t="array" ref="O523">IFERROR(_xlfn.LET(
_xlpm.clean,TRIM(SUBSTITUTE(SUBSTITUTE(P523,CHAR(160),"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3" s="15"/>
      <c r="R523" t="str">
        <v/>
      </c>
      <c r="S523" t="str">
        <f t="shared" si="9"/>
        <v/>
      </c>
    </row>
    <row r="524" spans="1:19" ht="12.75">
      <c r="A524" s="15" t="str">
        <v/>
      </c>
      <c r="B524" s="15" t="str">
        <v/>
      </c>
      <c r="C524" s="15" t="str" cm="1">
        <f t="array" ref="C524">IFERROR(_xlfn.TEXTJOIN("",TRUE,_xlfn._xlws.FILTER(MID(S524,_xlfn.SEQUENCE(LEN(S524)),1),ISNUMBER(SEARCH(MID(S524,_xlfn.SEQUENCE(LEN(S524)),1),"ABCDEFGHIJKLMNOPQRSTUVWXYZabcdefghijklmnopqrstuvwxyz0123456789,")))),"")</f>
        <v/>
      </c>
      <c r="D524" s="15" t="str">
        <v/>
      </c>
      <c r="E524" s="16" t="str">
        <v/>
      </c>
      <c r="F524" s="15" t="str">
        <v/>
      </c>
      <c r="G524" s="20" t="str" cm="1">
        <f t="array" ref="G524">IF(TRIM(P524)="","",IF(SUM(COUNTIF(P524,{"*NLGD*","*FWG*"}))&gt;0,P524,IF(SUM(COUNTIF(P524,{"*GL*","*DGB*","*DGI*","*GT*","*CS*","*PWU*","*DBI*","*SWU*"}))=0,P524,IF(IFERROR(VALUE(SUBSTITUTE(SUBSTITUTE(O524,"W",""),"""","")),0)&gt;52,P524&amp;"-OVRSIZE-",P524))))</f>
        <v/>
      </c>
      <c r="H524" s="15" t="str">
        <v/>
      </c>
      <c r="I524" s="15" t="str">
        <v/>
      </c>
      <c r="J524" s="15" t="str">
        <v/>
      </c>
      <c r="K524" s="15" t="str">
        <v/>
      </c>
      <c r="L524" s="15" t="str">
        <v/>
      </c>
      <c r="M524" s="10" t="str">
        <v/>
      </c>
      <c r="N524" s="14"/>
      <c r="O524" s="15" t="str" cm="1">
        <f t="array" ref="O524">IFERROR(_xlfn.LET(
_xlpm.clean,TRIM(SUBSTITUTE(SUBSTITUTE(P524,CHAR(160),"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4" s="15"/>
      <c r="R524" t="str">
        <v/>
      </c>
      <c r="S524" t="str">
        <f t="shared" si="9"/>
        <v/>
      </c>
    </row>
    <row r="525" spans="1:19" ht="12.75">
      <c r="A525" s="15" t="str">
        <v/>
      </c>
      <c r="B525" s="15" t="str">
        <v/>
      </c>
      <c r="C525" s="15" t="str" cm="1">
        <f t="array" ref="C525">IFERROR(_xlfn.TEXTJOIN("",TRUE,_xlfn._xlws.FILTER(MID(S525,_xlfn.SEQUENCE(LEN(S525)),1),ISNUMBER(SEARCH(MID(S525,_xlfn.SEQUENCE(LEN(S525)),1),"ABCDEFGHIJKLMNOPQRSTUVWXYZabcdefghijklmnopqrstuvwxyz0123456789,")))),"")</f>
        <v/>
      </c>
      <c r="D525" s="15" t="str">
        <v/>
      </c>
      <c r="E525" s="16" t="str">
        <v/>
      </c>
      <c r="F525" s="15" t="str">
        <v/>
      </c>
      <c r="G525" s="20" t="str" cm="1">
        <f t="array" ref="G525">IF(TRIM(P525)="","",IF(SUM(COUNTIF(P525,{"*NLGD*","*FWG*"}))&gt;0,P525,IF(SUM(COUNTIF(P525,{"*GL*","*DGB*","*DGI*","*GT*","*CS*","*PWU*","*DBI*","*SWU*"}))=0,P525,IF(IFERROR(VALUE(SUBSTITUTE(SUBSTITUTE(O525,"W",""),"""","")),0)&gt;52,P525&amp;"-OVRSIZE-",P525))))</f>
        <v/>
      </c>
      <c r="H525" s="15" t="str">
        <v/>
      </c>
      <c r="I525" s="15" t="str">
        <v/>
      </c>
      <c r="J525" s="15" t="str">
        <v/>
      </c>
      <c r="K525" s="15" t="str">
        <v/>
      </c>
      <c r="L525" s="15" t="str">
        <v/>
      </c>
      <c r="M525" s="10" t="str">
        <v/>
      </c>
      <c r="N525" s="14"/>
      <c r="O525" s="15" t="str" cm="1">
        <f t="array" ref="O525">IFERROR(_xlfn.LET(
_xlpm.clean,TRIM(SUBSTITUTE(SUBSTITUTE(P525,CHAR(160),"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5" s="15"/>
      <c r="R525" t="str">
        <v/>
      </c>
      <c r="S525" t="str">
        <f t="shared" si="9"/>
        <v/>
      </c>
    </row>
    <row r="526" spans="1:19" ht="12.75">
      <c r="A526" s="15" t="str">
        <v/>
      </c>
      <c r="B526" s="15" t="str">
        <v/>
      </c>
      <c r="C526" s="15" t="str" cm="1">
        <f t="array" ref="C526">IFERROR(_xlfn.TEXTJOIN("",TRUE,_xlfn._xlws.FILTER(MID(S526,_xlfn.SEQUENCE(LEN(S526)),1),ISNUMBER(SEARCH(MID(S526,_xlfn.SEQUENCE(LEN(S526)),1),"ABCDEFGHIJKLMNOPQRSTUVWXYZabcdefghijklmnopqrstuvwxyz0123456789,")))),"")</f>
        <v/>
      </c>
      <c r="D526" s="15" t="str">
        <v/>
      </c>
      <c r="E526" s="16" t="str">
        <v/>
      </c>
      <c r="F526" s="15" t="str">
        <v/>
      </c>
      <c r="G526" s="20" t="str" cm="1">
        <f t="array" ref="G526">IF(TRIM(P526)="","",IF(SUM(COUNTIF(P526,{"*NLGD*","*FWG*"}))&gt;0,P526,IF(SUM(COUNTIF(P526,{"*GL*","*DGB*","*DGI*","*GT*","*CS*","*PWU*","*DBI*","*SWU*"}))=0,P526,IF(IFERROR(VALUE(SUBSTITUTE(SUBSTITUTE(O526,"W",""),"""","")),0)&gt;52,P526&amp;"-OVRSIZE-",P526))))</f>
        <v/>
      </c>
      <c r="H526" s="15" t="str">
        <v/>
      </c>
      <c r="I526" s="15" t="str">
        <v/>
      </c>
      <c r="J526" s="15" t="str">
        <v/>
      </c>
      <c r="K526" s="15" t="str">
        <v/>
      </c>
      <c r="L526" s="15" t="str">
        <v/>
      </c>
      <c r="M526" s="10" t="str">
        <v/>
      </c>
      <c r="N526" s="14"/>
      <c r="O526" s="15" t="str" cm="1">
        <f t="array" ref="O526">IFERROR(_xlfn.LET(
_xlpm.clean,TRIM(SUBSTITUTE(SUBSTITUTE(P526,CHAR(160),"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6" s="15"/>
      <c r="R526" t="str">
        <v/>
      </c>
      <c r="S526" t="str">
        <f t="shared" si="9"/>
        <v/>
      </c>
    </row>
    <row r="527" spans="1:19" ht="12.75">
      <c r="A527" s="15" t="str">
        <v/>
      </c>
      <c r="B527" s="15" t="str">
        <v/>
      </c>
      <c r="C527" s="15" t="str" cm="1">
        <f t="array" ref="C527">IFERROR(_xlfn.TEXTJOIN("",TRUE,_xlfn._xlws.FILTER(MID(S527,_xlfn.SEQUENCE(LEN(S527)),1),ISNUMBER(SEARCH(MID(S527,_xlfn.SEQUENCE(LEN(S527)),1),"ABCDEFGHIJKLMNOPQRSTUVWXYZabcdefghijklmnopqrstuvwxyz0123456789,")))),"")</f>
        <v/>
      </c>
      <c r="D527" s="15" t="str">
        <v/>
      </c>
      <c r="E527" s="16" t="str">
        <v/>
      </c>
      <c r="F527" s="15" t="str">
        <v/>
      </c>
      <c r="G527" s="20" t="str" cm="1">
        <f t="array" ref="G527">IF(TRIM(P527)="","",IF(SUM(COUNTIF(P527,{"*NLGD*","*FWG*"}))&gt;0,P527,IF(SUM(COUNTIF(P527,{"*GL*","*DGB*","*DGI*","*GT*","*CS*","*PWU*","*DBI*","*SWU*"}))=0,P527,IF(IFERROR(VALUE(SUBSTITUTE(SUBSTITUTE(O527,"W",""),"""","")),0)&gt;52,P527&amp;"-OVRSIZE-",P527))))</f>
        <v/>
      </c>
      <c r="H527" s="15" t="str">
        <v/>
      </c>
      <c r="I527" s="15" t="str">
        <v/>
      </c>
      <c r="J527" s="15" t="str">
        <v/>
      </c>
      <c r="K527" s="15" t="str">
        <v/>
      </c>
      <c r="L527" s="15" t="str">
        <v/>
      </c>
      <c r="M527" s="10" t="str">
        <v/>
      </c>
      <c r="N527" s="14"/>
      <c r="O527" s="15" t="str" cm="1">
        <f t="array" ref="O527">IFERROR(_xlfn.LET(
_xlpm.clean,TRIM(SUBSTITUTE(SUBSTITUTE(P527,CHAR(160),"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7" s="15"/>
      <c r="R527" t="str">
        <v/>
      </c>
      <c r="S527" t="str">
        <f t="shared" si="9"/>
        <v/>
      </c>
    </row>
    <row r="528" spans="1:19" ht="12.75">
      <c r="A528" s="15" t="str">
        <v/>
      </c>
      <c r="B528" s="15" t="str">
        <v/>
      </c>
      <c r="C528" s="15" t="str" cm="1">
        <f t="array" ref="C528">IFERROR(_xlfn.TEXTJOIN("",TRUE,_xlfn._xlws.FILTER(MID(S528,_xlfn.SEQUENCE(LEN(S528)),1),ISNUMBER(SEARCH(MID(S528,_xlfn.SEQUENCE(LEN(S528)),1),"ABCDEFGHIJKLMNOPQRSTUVWXYZabcdefghijklmnopqrstuvwxyz0123456789,")))),"")</f>
        <v/>
      </c>
      <c r="D528" s="15" t="str">
        <v/>
      </c>
      <c r="E528" s="16" t="str">
        <v/>
      </c>
      <c r="F528" s="15" t="str">
        <v/>
      </c>
      <c r="G528" s="20" t="str" cm="1">
        <f t="array" ref="G528">IF(TRIM(P528)="","",IF(SUM(COUNTIF(P528,{"*NLGD*","*FWG*"}))&gt;0,P528,IF(SUM(COUNTIF(P528,{"*GL*","*DGB*","*DGI*","*GT*","*CS*","*PWU*","*DBI*","*SWU*"}))=0,P528,IF(IFERROR(VALUE(SUBSTITUTE(SUBSTITUTE(O528,"W",""),"""","")),0)&gt;52,P528&amp;"-OVRSIZE-",P528))))</f>
        <v/>
      </c>
      <c r="H528" s="15" t="str">
        <v/>
      </c>
      <c r="I528" s="15" t="str">
        <v/>
      </c>
      <c r="J528" s="15" t="str">
        <v/>
      </c>
      <c r="K528" s="15" t="str">
        <v/>
      </c>
      <c r="L528" s="15" t="str">
        <v/>
      </c>
      <c r="M528" s="10" t="str">
        <v/>
      </c>
      <c r="N528" s="14"/>
      <c r="O528" s="15" t="str" cm="1">
        <f t="array" ref="O528">IFERROR(_xlfn.LET(
_xlpm.clean,TRIM(SUBSTITUTE(SUBSTITUTE(P528,CHAR(160),"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8" s="15"/>
      <c r="R528" t="str">
        <v/>
      </c>
      <c r="S528" t="str">
        <f t="shared" si="9"/>
        <v/>
      </c>
    </row>
    <row r="529" spans="1:19" ht="12.75">
      <c r="A529" s="15" t="str">
        <v/>
      </c>
      <c r="B529" s="15" t="str">
        <v/>
      </c>
      <c r="C529" s="15" t="str" cm="1">
        <f t="array" ref="C529">IFERROR(_xlfn.TEXTJOIN("",TRUE,_xlfn._xlws.FILTER(MID(S529,_xlfn.SEQUENCE(LEN(S529)),1),ISNUMBER(SEARCH(MID(S529,_xlfn.SEQUENCE(LEN(S529)),1),"ABCDEFGHIJKLMNOPQRSTUVWXYZabcdefghijklmnopqrstuvwxyz0123456789,")))),"")</f>
        <v/>
      </c>
      <c r="D529" s="15" t="str">
        <v/>
      </c>
      <c r="E529" s="16" t="str">
        <v/>
      </c>
      <c r="F529" s="15" t="str">
        <v/>
      </c>
      <c r="G529" s="20" t="str" cm="1">
        <f t="array" ref="G529">IF(TRIM(P529)="","",IF(SUM(COUNTIF(P529,{"*NLGD*","*FWG*"}))&gt;0,P529,IF(SUM(COUNTIF(P529,{"*GL*","*DGB*","*DGI*","*GT*","*CS*","*PWU*","*DBI*","*SWU*"}))=0,P529,IF(IFERROR(VALUE(SUBSTITUTE(SUBSTITUTE(O529,"W",""),"""","")),0)&gt;52,P529&amp;"-OVRSIZE-",P529))))</f>
        <v/>
      </c>
      <c r="H529" s="15" t="str">
        <v/>
      </c>
      <c r="I529" s="15" t="str">
        <v/>
      </c>
      <c r="J529" s="15" t="str">
        <v/>
      </c>
      <c r="K529" s="15" t="str">
        <v/>
      </c>
      <c r="L529" s="15" t="str">
        <v/>
      </c>
      <c r="M529" s="10" t="str">
        <v/>
      </c>
      <c r="N529" s="14"/>
      <c r="O529" s="15" t="str" cm="1">
        <f t="array" ref="O529">IFERROR(_xlfn.LET(
_xlpm.clean,TRIM(SUBSTITUTE(SUBSTITUTE(P529,CHAR(160),"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29" s="15"/>
      <c r="R529" t="str">
        <v/>
      </c>
      <c r="S529" t="str">
        <f t="shared" si="9"/>
        <v/>
      </c>
    </row>
    <row r="530" spans="1:19" ht="12.75">
      <c r="A530" s="15" t="str">
        <v/>
      </c>
      <c r="B530" s="15" t="str">
        <v/>
      </c>
      <c r="C530" s="15" t="str" cm="1">
        <f t="array" ref="C530">IFERROR(_xlfn.TEXTJOIN("",TRUE,_xlfn._xlws.FILTER(MID(S530,_xlfn.SEQUENCE(LEN(S530)),1),ISNUMBER(SEARCH(MID(S530,_xlfn.SEQUENCE(LEN(S530)),1),"ABCDEFGHIJKLMNOPQRSTUVWXYZabcdefghijklmnopqrstuvwxyz0123456789,")))),"")</f>
        <v/>
      </c>
      <c r="D530" s="15" t="str">
        <v/>
      </c>
      <c r="E530" s="16" t="str">
        <v/>
      </c>
      <c r="F530" s="15" t="str">
        <v/>
      </c>
      <c r="G530" s="20" t="str" cm="1">
        <f t="array" ref="G530">IF(TRIM(P530)="","",IF(SUM(COUNTIF(P530,{"*NLGD*","*FWG*"}))&gt;0,P530,IF(SUM(COUNTIF(P530,{"*GL*","*DGB*","*DGI*","*GT*","*CS*","*PWU*","*DBI*","*SWU*"}))=0,P530,IF(IFERROR(VALUE(SUBSTITUTE(SUBSTITUTE(O530,"W",""),"""","")),0)&gt;52,P530&amp;"-OVRSIZE-",P530))))</f>
        <v/>
      </c>
      <c r="H530" s="15" t="str">
        <v/>
      </c>
      <c r="I530" s="15" t="str">
        <v/>
      </c>
      <c r="J530" s="15" t="str">
        <v/>
      </c>
      <c r="K530" s="15" t="str">
        <v/>
      </c>
      <c r="L530" s="15" t="str">
        <v/>
      </c>
      <c r="M530" s="10" t="str">
        <v/>
      </c>
      <c r="N530" s="14"/>
      <c r="O530" s="15" t="str" cm="1">
        <f t="array" ref="O530">IFERROR(_xlfn.LET(
_xlpm.clean,TRIM(SUBSTITUTE(SUBSTITUTE(P530,CHAR(160),"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0" s="15"/>
      <c r="R530" t="str">
        <v/>
      </c>
      <c r="S530" t="str">
        <f t="shared" si="9"/>
        <v/>
      </c>
    </row>
    <row r="531" spans="1:19" ht="12.75">
      <c r="A531" s="15" t="str">
        <v/>
      </c>
      <c r="B531" s="15" t="str">
        <v/>
      </c>
      <c r="C531" s="15" t="str" cm="1">
        <f t="array" ref="C531">IFERROR(_xlfn.TEXTJOIN("",TRUE,_xlfn._xlws.FILTER(MID(S531,_xlfn.SEQUENCE(LEN(S531)),1),ISNUMBER(SEARCH(MID(S531,_xlfn.SEQUENCE(LEN(S531)),1),"ABCDEFGHIJKLMNOPQRSTUVWXYZabcdefghijklmnopqrstuvwxyz0123456789,")))),"")</f>
        <v/>
      </c>
      <c r="D531" s="15" t="str">
        <v/>
      </c>
      <c r="E531" s="16" t="str">
        <v/>
      </c>
      <c r="F531" s="15" t="str">
        <v/>
      </c>
      <c r="G531" s="20" t="str" cm="1">
        <f t="array" ref="G531">IF(TRIM(P531)="","",IF(SUM(COUNTIF(P531,{"*NLGD*","*FWG*"}))&gt;0,P531,IF(SUM(COUNTIF(P531,{"*GL*","*DGB*","*DGI*","*GT*","*CS*","*PWU*","*DBI*","*SWU*"}))=0,P531,IF(IFERROR(VALUE(SUBSTITUTE(SUBSTITUTE(O531,"W",""),"""","")),0)&gt;52,P531&amp;"-OVRSIZE-",P531))))</f>
        <v/>
      </c>
      <c r="H531" s="15" t="str">
        <v/>
      </c>
      <c r="I531" s="15" t="str">
        <v/>
      </c>
      <c r="J531" s="15" t="str">
        <v/>
      </c>
      <c r="K531" s="15" t="str">
        <v/>
      </c>
      <c r="L531" s="15" t="str">
        <v/>
      </c>
      <c r="M531" s="10" t="str">
        <v/>
      </c>
      <c r="N531" s="14"/>
      <c r="O531" s="15" t="str" cm="1">
        <f t="array" ref="O531">IFERROR(_xlfn.LET(
_xlpm.clean,TRIM(SUBSTITUTE(SUBSTITUTE(P531,CHAR(160),"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1" s="15"/>
      <c r="R531" t="str">
        <v/>
      </c>
      <c r="S531" t="str">
        <f t="shared" si="9"/>
        <v/>
      </c>
    </row>
    <row r="532" spans="1:19" ht="12.75">
      <c r="A532" s="15" t="str">
        <v/>
      </c>
      <c r="B532" s="15" t="str">
        <v/>
      </c>
      <c r="C532" s="15" t="str" cm="1">
        <f t="array" ref="C532">IFERROR(_xlfn.TEXTJOIN("",TRUE,_xlfn._xlws.FILTER(MID(S532,_xlfn.SEQUENCE(LEN(S532)),1),ISNUMBER(SEARCH(MID(S532,_xlfn.SEQUENCE(LEN(S532)),1),"ABCDEFGHIJKLMNOPQRSTUVWXYZabcdefghijklmnopqrstuvwxyz0123456789,")))),"")</f>
        <v/>
      </c>
      <c r="D532" s="15" t="str">
        <v/>
      </c>
      <c r="E532" s="16" t="str">
        <v/>
      </c>
      <c r="F532" s="15" t="str">
        <v/>
      </c>
      <c r="G532" s="20" t="str" cm="1">
        <f t="array" ref="G532">IF(TRIM(P532)="","",IF(SUM(COUNTIF(P532,{"*NLGD*","*FWG*"}))&gt;0,P532,IF(SUM(COUNTIF(P532,{"*GL*","*DGB*","*DGI*","*GT*","*CS*","*PWU*","*DBI*","*SWU*"}))=0,P532,IF(IFERROR(VALUE(SUBSTITUTE(SUBSTITUTE(O532,"W",""),"""","")),0)&gt;52,P532&amp;"-OVRSIZE-",P532))))</f>
        <v/>
      </c>
      <c r="H532" s="15" t="str">
        <v/>
      </c>
      <c r="I532" s="15" t="str">
        <v/>
      </c>
      <c r="J532" s="15" t="str">
        <v/>
      </c>
      <c r="K532" s="15" t="str">
        <v/>
      </c>
      <c r="L532" s="15" t="str">
        <v/>
      </c>
      <c r="M532" s="10" t="str">
        <v/>
      </c>
      <c r="N532" s="14"/>
      <c r="O532" s="15" t="str" cm="1">
        <f t="array" ref="O532">IFERROR(_xlfn.LET(
_xlpm.clean,TRIM(SUBSTITUTE(SUBSTITUTE(P532,CHAR(160),"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2" s="15"/>
      <c r="R532" t="str">
        <v/>
      </c>
      <c r="S532" t="str">
        <f t="shared" si="9"/>
        <v/>
      </c>
    </row>
    <row r="533" spans="1:19" ht="12.75">
      <c r="A533" s="15" t="str">
        <v/>
      </c>
      <c r="B533" s="15" t="str">
        <v/>
      </c>
      <c r="C533" s="15" t="str" cm="1">
        <f t="array" ref="C533">IFERROR(_xlfn.TEXTJOIN("",TRUE,_xlfn._xlws.FILTER(MID(S533,_xlfn.SEQUENCE(LEN(S533)),1),ISNUMBER(SEARCH(MID(S533,_xlfn.SEQUENCE(LEN(S533)),1),"ABCDEFGHIJKLMNOPQRSTUVWXYZabcdefghijklmnopqrstuvwxyz0123456789,")))),"")</f>
        <v/>
      </c>
      <c r="D533" s="15" t="str">
        <v/>
      </c>
      <c r="E533" s="16" t="str">
        <v/>
      </c>
      <c r="F533" s="15" t="str">
        <v/>
      </c>
      <c r="G533" s="20" t="str" cm="1">
        <f t="array" ref="G533">IF(TRIM(P533)="","",IF(SUM(COUNTIF(P533,{"*NLGD*","*FWG*"}))&gt;0,P533,IF(SUM(COUNTIF(P533,{"*GL*","*DGB*","*DGI*","*GT*","*CS*","*PWU*","*DBI*","*SWU*"}))=0,P533,IF(IFERROR(VALUE(SUBSTITUTE(SUBSTITUTE(O533,"W",""),"""","")),0)&gt;52,P533&amp;"-OVRSIZE-",P533))))</f>
        <v/>
      </c>
      <c r="H533" s="15" t="str">
        <v/>
      </c>
      <c r="I533" s="15" t="str">
        <v/>
      </c>
      <c r="J533" s="15" t="str">
        <v/>
      </c>
      <c r="K533" s="15" t="str">
        <v/>
      </c>
      <c r="L533" s="15" t="str">
        <v/>
      </c>
      <c r="M533" s="10" t="str">
        <v/>
      </c>
      <c r="N533" s="14"/>
      <c r="O533" s="15" t="str" cm="1">
        <f t="array" ref="O533">IFERROR(_xlfn.LET(
_xlpm.clean,TRIM(SUBSTITUTE(SUBSTITUTE(P533,CHAR(160),"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3" s="15"/>
      <c r="R533" t="str">
        <v/>
      </c>
      <c r="S533" t="str">
        <f t="shared" si="9"/>
        <v/>
      </c>
    </row>
    <row r="534" spans="1:19" ht="12.75">
      <c r="A534" s="15" t="str">
        <v/>
      </c>
      <c r="B534" s="15" t="str">
        <v/>
      </c>
      <c r="C534" s="15" t="str" cm="1">
        <f t="array" ref="C534">IFERROR(_xlfn.TEXTJOIN("",TRUE,_xlfn._xlws.FILTER(MID(S534,_xlfn.SEQUENCE(LEN(S534)),1),ISNUMBER(SEARCH(MID(S534,_xlfn.SEQUENCE(LEN(S534)),1),"ABCDEFGHIJKLMNOPQRSTUVWXYZabcdefghijklmnopqrstuvwxyz0123456789,")))),"")</f>
        <v/>
      </c>
      <c r="D534" s="15" t="str">
        <v/>
      </c>
      <c r="E534" s="16" t="str">
        <v/>
      </c>
      <c r="F534" s="15" t="str">
        <v/>
      </c>
      <c r="G534" s="20" t="str" cm="1">
        <f t="array" ref="G534">IF(TRIM(P534)="","",IF(SUM(COUNTIF(P534,{"*NLGD*","*FWG*"}))&gt;0,P534,IF(SUM(COUNTIF(P534,{"*GL*","*DGB*","*DGI*","*GT*","*CS*","*PWU*","*DBI*","*SWU*"}))=0,P534,IF(IFERROR(VALUE(SUBSTITUTE(SUBSTITUTE(O534,"W",""),"""","")),0)&gt;52,P534&amp;"-OVRSIZE-",P534))))</f>
        <v/>
      </c>
      <c r="H534" s="15" t="str">
        <v/>
      </c>
      <c r="I534" s="15" t="str">
        <v/>
      </c>
      <c r="J534" s="15" t="str">
        <v/>
      </c>
      <c r="K534" s="15" t="str">
        <v/>
      </c>
      <c r="L534" s="15" t="str">
        <v/>
      </c>
      <c r="M534" s="10" t="str">
        <v/>
      </c>
      <c r="N534" s="14"/>
      <c r="O534" s="15" t="str" cm="1">
        <f t="array" ref="O534">IFERROR(_xlfn.LET(
_xlpm.clean,TRIM(SUBSTITUTE(SUBSTITUTE(P534,CHAR(160),"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4" s="15"/>
      <c r="R534" t="str">
        <v/>
      </c>
      <c r="S534" t="str">
        <f t="shared" si="9"/>
        <v/>
      </c>
    </row>
    <row r="535" spans="1:19" ht="12.75">
      <c r="A535" s="15" t="str">
        <v/>
      </c>
      <c r="B535" s="15" t="str">
        <v/>
      </c>
      <c r="C535" s="15" t="str" cm="1">
        <f t="array" ref="C535">IFERROR(_xlfn.TEXTJOIN("",TRUE,_xlfn._xlws.FILTER(MID(S535,_xlfn.SEQUENCE(LEN(S535)),1),ISNUMBER(SEARCH(MID(S535,_xlfn.SEQUENCE(LEN(S535)),1),"ABCDEFGHIJKLMNOPQRSTUVWXYZabcdefghijklmnopqrstuvwxyz0123456789,")))),"")</f>
        <v/>
      </c>
      <c r="D535" s="15" t="str">
        <v/>
      </c>
      <c r="E535" s="16" t="str">
        <v/>
      </c>
      <c r="F535" s="15" t="str">
        <v/>
      </c>
      <c r="G535" s="20" t="str" cm="1">
        <f t="array" ref="G535">IF(TRIM(P535)="","",IF(SUM(COUNTIF(P535,{"*NLGD*","*FWG*"}))&gt;0,P535,IF(SUM(COUNTIF(P535,{"*GL*","*DGB*","*DGI*","*GT*","*CS*","*PWU*","*DBI*","*SWU*"}))=0,P535,IF(IFERROR(VALUE(SUBSTITUTE(SUBSTITUTE(O535,"W",""),"""","")),0)&gt;52,P535&amp;"-OVRSIZE-",P535))))</f>
        <v/>
      </c>
      <c r="H535" s="15" t="str">
        <v/>
      </c>
      <c r="I535" s="15" t="str">
        <v/>
      </c>
      <c r="J535" s="15" t="str">
        <v/>
      </c>
      <c r="K535" s="15" t="str">
        <v/>
      </c>
      <c r="L535" s="15" t="str">
        <v/>
      </c>
      <c r="M535" s="10" t="str">
        <v/>
      </c>
      <c r="N535" s="14"/>
      <c r="O535" s="15" t="str" cm="1">
        <f t="array" ref="O535">IFERROR(_xlfn.LET(
_xlpm.clean,TRIM(SUBSTITUTE(SUBSTITUTE(P535,CHAR(160),"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5" s="15"/>
      <c r="R535" t="str">
        <v/>
      </c>
      <c r="S535" t="str">
        <f t="shared" si="9"/>
        <v/>
      </c>
    </row>
    <row r="536" spans="1:19" ht="12.75">
      <c r="A536" s="15" t="str">
        <v/>
      </c>
      <c r="B536" s="15" t="str">
        <v/>
      </c>
      <c r="C536" s="15" t="str" cm="1">
        <f t="array" ref="C536">IFERROR(_xlfn.TEXTJOIN("",TRUE,_xlfn._xlws.FILTER(MID(S536,_xlfn.SEQUENCE(LEN(S536)),1),ISNUMBER(SEARCH(MID(S536,_xlfn.SEQUENCE(LEN(S536)),1),"ABCDEFGHIJKLMNOPQRSTUVWXYZabcdefghijklmnopqrstuvwxyz0123456789,")))),"")</f>
        <v/>
      </c>
      <c r="D536" s="15" t="str">
        <v/>
      </c>
      <c r="E536" s="16" t="str">
        <v/>
      </c>
      <c r="F536" s="15" t="str">
        <v/>
      </c>
      <c r="G536" s="20" t="str" cm="1">
        <f t="array" ref="G536">IF(TRIM(P536)="","",IF(SUM(COUNTIF(P536,{"*NLGD*","*FWG*"}))&gt;0,P536,IF(SUM(COUNTIF(P536,{"*GL*","*DGB*","*DGI*","*GT*","*CS*","*PWU*","*DBI*","*SWU*"}))=0,P536,IF(IFERROR(VALUE(SUBSTITUTE(SUBSTITUTE(O536,"W",""),"""","")),0)&gt;52,P536&amp;"-OVRSIZE-",P536))))</f>
        <v/>
      </c>
      <c r="H536" s="15" t="str">
        <v/>
      </c>
      <c r="I536" s="15" t="str">
        <v/>
      </c>
      <c r="J536" s="15" t="str">
        <v/>
      </c>
      <c r="K536" s="15" t="str">
        <v/>
      </c>
      <c r="L536" s="15" t="str">
        <v/>
      </c>
      <c r="M536" s="10" t="str">
        <v/>
      </c>
      <c r="N536" s="14"/>
      <c r="O536" s="15" t="str" cm="1">
        <f t="array" ref="O536">IFERROR(_xlfn.LET(
_xlpm.clean,TRIM(SUBSTITUTE(SUBSTITUTE(P536,CHAR(160),"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6" s="15"/>
      <c r="R536" t="str">
        <v/>
      </c>
      <c r="S536" t="str">
        <f t="shared" si="9"/>
        <v/>
      </c>
    </row>
    <row r="537" spans="1:19" ht="12.75">
      <c r="A537" s="15" t="str">
        <v/>
      </c>
      <c r="B537" s="15" t="str">
        <v/>
      </c>
      <c r="C537" s="15" t="str" cm="1">
        <f t="array" ref="C537">IFERROR(_xlfn.TEXTJOIN("",TRUE,_xlfn._xlws.FILTER(MID(S537,_xlfn.SEQUENCE(LEN(S537)),1),ISNUMBER(SEARCH(MID(S537,_xlfn.SEQUENCE(LEN(S537)),1),"ABCDEFGHIJKLMNOPQRSTUVWXYZabcdefghijklmnopqrstuvwxyz0123456789,")))),"")</f>
        <v/>
      </c>
      <c r="D537" s="15" t="str">
        <v/>
      </c>
      <c r="E537" s="16" t="str">
        <v/>
      </c>
      <c r="F537" s="15" t="str">
        <v/>
      </c>
      <c r="G537" s="20" t="str" cm="1">
        <f t="array" ref="G537">IF(TRIM(P537)="","",IF(SUM(COUNTIF(P537,{"*NLGD*","*FWG*"}))&gt;0,P537,IF(SUM(COUNTIF(P537,{"*GL*","*DGB*","*DGI*","*GT*","*CS*","*PWU*","*DBI*","*SWU*"}))=0,P537,IF(IFERROR(VALUE(SUBSTITUTE(SUBSTITUTE(O537,"W",""),"""","")),0)&gt;52,P537&amp;"-OVRSIZE-",P537))))</f>
        <v/>
      </c>
      <c r="H537" s="15" t="str">
        <v/>
      </c>
      <c r="I537" s="15" t="str">
        <v/>
      </c>
      <c r="J537" s="15" t="str">
        <v/>
      </c>
      <c r="K537" s="15" t="str">
        <v/>
      </c>
      <c r="L537" s="15" t="str">
        <v/>
      </c>
      <c r="M537" s="10" t="str">
        <v/>
      </c>
      <c r="N537" s="14"/>
      <c r="O537" s="15" t="str" cm="1">
        <f t="array" ref="O537">IFERROR(_xlfn.LET(
_xlpm.clean,TRIM(SUBSTITUTE(SUBSTITUTE(P537,CHAR(160),"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7" s="15"/>
      <c r="R537" t="str">
        <v/>
      </c>
      <c r="S537" t="str">
        <f t="shared" si="9"/>
        <v/>
      </c>
    </row>
    <row r="538" spans="1:19" ht="12.75">
      <c r="A538" s="15" t="str">
        <v/>
      </c>
      <c r="B538" s="15" t="str">
        <v/>
      </c>
      <c r="C538" s="15" t="str" cm="1">
        <f t="array" ref="C538">IFERROR(_xlfn.TEXTJOIN("",TRUE,_xlfn._xlws.FILTER(MID(S538,_xlfn.SEQUENCE(LEN(S538)),1),ISNUMBER(SEARCH(MID(S538,_xlfn.SEQUENCE(LEN(S538)),1),"ABCDEFGHIJKLMNOPQRSTUVWXYZabcdefghijklmnopqrstuvwxyz0123456789,")))),"")</f>
        <v/>
      </c>
      <c r="D538" s="15" t="str">
        <v/>
      </c>
      <c r="E538" s="16" t="str">
        <v/>
      </c>
      <c r="F538" s="15" t="str">
        <v/>
      </c>
      <c r="G538" s="20" t="str" cm="1">
        <f t="array" ref="G538">IF(TRIM(P538)="","",IF(SUM(COUNTIF(P538,{"*NLGD*","*FWG*"}))&gt;0,P538,IF(SUM(COUNTIF(P538,{"*GL*","*DGB*","*DGI*","*GT*","*CS*","*PWU*","*DBI*","*SWU*"}))=0,P538,IF(IFERROR(VALUE(SUBSTITUTE(SUBSTITUTE(O538,"W",""),"""","")),0)&gt;52,P538&amp;"-OVRSIZE-",P538))))</f>
        <v/>
      </c>
      <c r="H538" s="15" t="str">
        <v/>
      </c>
      <c r="I538" s="15" t="str">
        <v/>
      </c>
      <c r="J538" s="15" t="str">
        <v/>
      </c>
      <c r="K538" s="15" t="str">
        <v/>
      </c>
      <c r="L538" s="15" t="str">
        <v/>
      </c>
      <c r="M538" s="10" t="str">
        <v/>
      </c>
      <c r="N538" s="14"/>
      <c r="O538" s="15" t="str" cm="1">
        <f t="array" ref="O538">IFERROR(_xlfn.LET(
_xlpm.clean,TRIM(SUBSTITUTE(SUBSTITUTE(P538,CHAR(160),"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8" s="15"/>
      <c r="R538" t="str">
        <v/>
      </c>
      <c r="S538" t="str">
        <f t="shared" si="9"/>
        <v/>
      </c>
    </row>
    <row r="539" spans="1:19" ht="12.75">
      <c r="A539" s="15" t="str">
        <v/>
      </c>
      <c r="B539" s="15" t="str">
        <v/>
      </c>
      <c r="C539" s="15" t="str" cm="1">
        <f t="array" ref="C539">IFERROR(_xlfn.TEXTJOIN("",TRUE,_xlfn._xlws.FILTER(MID(S539,_xlfn.SEQUENCE(LEN(S539)),1),ISNUMBER(SEARCH(MID(S539,_xlfn.SEQUENCE(LEN(S539)),1),"ABCDEFGHIJKLMNOPQRSTUVWXYZabcdefghijklmnopqrstuvwxyz0123456789,")))),"")</f>
        <v/>
      </c>
      <c r="D539" s="15" t="str">
        <v/>
      </c>
      <c r="E539" s="16" t="str">
        <v/>
      </c>
      <c r="F539" s="15" t="str">
        <v/>
      </c>
      <c r="G539" s="20" t="str" cm="1">
        <f t="array" ref="G539">IF(TRIM(P539)="","",IF(SUM(COUNTIF(P539,{"*NLGD*","*FWG*"}))&gt;0,P539,IF(SUM(COUNTIF(P539,{"*GL*","*DGB*","*DGI*","*GT*","*CS*","*PWU*","*DBI*","*SWU*"}))=0,P539,IF(IFERROR(VALUE(SUBSTITUTE(SUBSTITUTE(O539,"W",""),"""","")),0)&gt;52,P539&amp;"-OVRSIZE-",P539))))</f>
        <v/>
      </c>
      <c r="H539" s="15" t="str">
        <v/>
      </c>
      <c r="I539" s="15" t="str">
        <v/>
      </c>
      <c r="J539" s="15" t="str">
        <v/>
      </c>
      <c r="K539" s="15" t="str">
        <v/>
      </c>
      <c r="L539" s="15" t="str">
        <v/>
      </c>
      <c r="M539" s="10" t="str">
        <v/>
      </c>
      <c r="N539" s="14"/>
      <c r="O539" s="15" t="str" cm="1">
        <f t="array" ref="O539">IFERROR(_xlfn.LET(
_xlpm.clean,TRIM(SUBSTITUTE(SUBSTITUTE(P539,CHAR(160),"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39" s="15"/>
      <c r="R539" t="str">
        <v/>
      </c>
      <c r="S539" t="str">
        <f t="shared" si="9"/>
        <v/>
      </c>
    </row>
    <row r="540" spans="1:19" ht="12.75">
      <c r="A540" s="15" t="str">
        <v/>
      </c>
      <c r="B540" s="15" t="str">
        <v/>
      </c>
      <c r="C540" s="15" t="str" cm="1">
        <f t="array" ref="C540">IFERROR(_xlfn.TEXTJOIN("",TRUE,_xlfn._xlws.FILTER(MID(S540,_xlfn.SEQUENCE(LEN(S540)),1),ISNUMBER(SEARCH(MID(S540,_xlfn.SEQUENCE(LEN(S540)),1),"ABCDEFGHIJKLMNOPQRSTUVWXYZabcdefghijklmnopqrstuvwxyz0123456789,")))),"")</f>
        <v/>
      </c>
      <c r="D540" s="15" t="str">
        <v/>
      </c>
      <c r="E540" s="16" t="str">
        <v/>
      </c>
      <c r="F540" s="15" t="str">
        <v/>
      </c>
      <c r="G540" s="20" t="str" cm="1">
        <f t="array" ref="G540">IF(TRIM(P540)="","",IF(SUM(COUNTIF(P540,{"*NLGD*","*FWG*"}))&gt;0,P540,IF(SUM(COUNTIF(P540,{"*GL*","*DGB*","*DGI*","*GT*","*CS*","*PWU*","*DBI*","*SWU*"}))=0,P540,IF(IFERROR(VALUE(SUBSTITUTE(SUBSTITUTE(O540,"W",""),"""","")),0)&gt;52,P540&amp;"-OVRSIZE-",P540))))</f>
        <v/>
      </c>
      <c r="H540" s="15" t="str">
        <v/>
      </c>
      <c r="I540" s="15" t="str">
        <v/>
      </c>
      <c r="J540" s="15" t="str">
        <v/>
      </c>
      <c r="K540" s="15" t="str">
        <v/>
      </c>
      <c r="L540" s="15" t="str">
        <v/>
      </c>
      <c r="M540" s="10" t="str">
        <v/>
      </c>
      <c r="N540" s="14"/>
      <c r="O540" s="15" t="str" cm="1">
        <f t="array" ref="O540">IFERROR(_xlfn.LET(
_xlpm.clean,TRIM(SUBSTITUTE(SUBSTITUTE(P540,CHAR(160),"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0" s="15"/>
      <c r="R540" t="str">
        <v/>
      </c>
      <c r="S540" t="str">
        <f t="shared" si="9"/>
        <v/>
      </c>
    </row>
    <row r="541" spans="1:19" ht="12.75">
      <c r="A541" s="15" t="str">
        <v/>
      </c>
      <c r="B541" s="15" t="str">
        <v/>
      </c>
      <c r="C541" s="15" t="str" cm="1">
        <f t="array" ref="C541">IFERROR(_xlfn.TEXTJOIN("",TRUE,_xlfn._xlws.FILTER(MID(S541,_xlfn.SEQUENCE(LEN(S541)),1),ISNUMBER(SEARCH(MID(S541,_xlfn.SEQUENCE(LEN(S541)),1),"ABCDEFGHIJKLMNOPQRSTUVWXYZabcdefghijklmnopqrstuvwxyz0123456789,")))),"")</f>
        <v/>
      </c>
      <c r="D541" s="15" t="str">
        <v/>
      </c>
      <c r="E541" s="16" t="str">
        <v/>
      </c>
      <c r="F541" s="15" t="str">
        <v/>
      </c>
      <c r="G541" s="20" t="str" cm="1">
        <f t="array" ref="G541">IF(TRIM(P541)="","",IF(SUM(COUNTIF(P541,{"*NLGD*","*FWG*"}))&gt;0,P541,IF(SUM(COUNTIF(P541,{"*GL*","*DGB*","*DGI*","*GT*","*CS*","*PWU*","*DBI*","*SWU*"}))=0,P541,IF(IFERROR(VALUE(SUBSTITUTE(SUBSTITUTE(O541,"W",""),"""","")),0)&gt;52,P541&amp;"-OVRSIZE-",P541))))</f>
        <v/>
      </c>
      <c r="H541" s="15" t="str">
        <v/>
      </c>
      <c r="I541" s="15" t="str">
        <v/>
      </c>
      <c r="J541" s="15" t="str">
        <v/>
      </c>
      <c r="K541" s="15" t="str">
        <v/>
      </c>
      <c r="L541" s="15" t="str">
        <v/>
      </c>
      <c r="M541" s="10" t="str">
        <v/>
      </c>
      <c r="N541" s="14"/>
      <c r="O541" s="15" t="str" cm="1">
        <f t="array" ref="O541">IFERROR(_xlfn.LET(
_xlpm.clean,TRIM(SUBSTITUTE(SUBSTITUTE(P541,CHAR(160),"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1" s="15"/>
      <c r="R541" t="str">
        <v/>
      </c>
      <c r="S541" t="str">
        <f t="shared" si="9"/>
        <v/>
      </c>
    </row>
    <row r="542" spans="1:19" ht="12.75">
      <c r="A542" s="15" t="str">
        <v/>
      </c>
      <c r="B542" s="15" t="str">
        <v/>
      </c>
      <c r="C542" s="15" t="str" cm="1">
        <f t="array" ref="C542">IFERROR(_xlfn.TEXTJOIN("",TRUE,_xlfn._xlws.FILTER(MID(S542,_xlfn.SEQUENCE(LEN(S542)),1),ISNUMBER(SEARCH(MID(S542,_xlfn.SEQUENCE(LEN(S542)),1),"ABCDEFGHIJKLMNOPQRSTUVWXYZabcdefghijklmnopqrstuvwxyz0123456789,")))),"")</f>
        <v/>
      </c>
      <c r="D542" s="15" t="str">
        <v/>
      </c>
      <c r="E542" s="16" t="str">
        <v/>
      </c>
      <c r="F542" s="15" t="str">
        <v/>
      </c>
      <c r="G542" s="20" t="str" cm="1">
        <f t="array" ref="G542">IF(TRIM(P542)="","",IF(SUM(COUNTIF(P542,{"*NLGD*","*FWG*"}))&gt;0,P542,IF(SUM(COUNTIF(P542,{"*GL*","*DGB*","*DGI*","*GT*","*CS*","*PWU*","*DBI*","*SWU*"}))=0,P542,IF(IFERROR(VALUE(SUBSTITUTE(SUBSTITUTE(O542,"W",""),"""","")),0)&gt;52,P542&amp;"-OVRSIZE-",P542))))</f>
        <v/>
      </c>
      <c r="H542" s="15" t="str">
        <v/>
      </c>
      <c r="I542" s="15" t="str">
        <v/>
      </c>
      <c r="J542" s="15" t="str">
        <v/>
      </c>
      <c r="K542" s="15" t="str">
        <v/>
      </c>
      <c r="L542" s="15" t="str">
        <v/>
      </c>
      <c r="M542" s="10" t="str">
        <v/>
      </c>
      <c r="N542" s="14"/>
      <c r="O542" s="15" t="str" cm="1">
        <f t="array" ref="O542">IFERROR(_xlfn.LET(
_xlpm.clean,TRIM(SUBSTITUTE(SUBSTITUTE(P542,CHAR(160),"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2" s="15"/>
      <c r="R542" t="str">
        <v/>
      </c>
      <c r="S542" t="str">
        <f t="shared" si="9"/>
        <v/>
      </c>
    </row>
    <row r="543" spans="1:19" ht="12.75">
      <c r="A543" s="15" t="str">
        <v/>
      </c>
      <c r="B543" s="15" t="str">
        <v/>
      </c>
      <c r="C543" s="15" t="str" cm="1">
        <f t="array" ref="C543">IFERROR(_xlfn.TEXTJOIN("",TRUE,_xlfn._xlws.FILTER(MID(S543,_xlfn.SEQUENCE(LEN(S543)),1),ISNUMBER(SEARCH(MID(S543,_xlfn.SEQUENCE(LEN(S543)),1),"ABCDEFGHIJKLMNOPQRSTUVWXYZabcdefghijklmnopqrstuvwxyz0123456789,")))),"")</f>
        <v/>
      </c>
      <c r="D543" s="15" t="str">
        <v/>
      </c>
      <c r="E543" s="16" t="str">
        <v/>
      </c>
      <c r="F543" s="15" t="str">
        <v/>
      </c>
      <c r="G543" s="20" t="str" cm="1">
        <f t="array" ref="G543">IF(TRIM(P543)="","",IF(SUM(COUNTIF(P543,{"*NLGD*","*FWG*"}))&gt;0,P543,IF(SUM(COUNTIF(P543,{"*GL*","*DGB*","*DGI*","*GT*","*CS*","*PWU*","*DBI*","*SWU*"}))=0,P543,IF(IFERROR(VALUE(SUBSTITUTE(SUBSTITUTE(O543,"W",""),"""","")),0)&gt;52,P543&amp;"-OVRSIZE-",P543))))</f>
        <v/>
      </c>
      <c r="H543" s="15" t="str">
        <v/>
      </c>
      <c r="I543" s="15" t="str">
        <v/>
      </c>
      <c r="J543" s="15" t="str">
        <v/>
      </c>
      <c r="K543" s="15" t="str">
        <v/>
      </c>
      <c r="L543" s="15" t="str">
        <v/>
      </c>
      <c r="M543" s="10" t="str">
        <v/>
      </c>
      <c r="N543" s="14"/>
      <c r="O543" s="15" t="str" cm="1">
        <f t="array" ref="O543">IFERROR(_xlfn.LET(
_xlpm.clean,TRIM(SUBSTITUTE(SUBSTITUTE(P543,CHAR(160),"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3" s="15"/>
      <c r="R543" t="str">
        <v/>
      </c>
      <c r="S543" t="str">
        <f t="shared" si="9"/>
        <v/>
      </c>
    </row>
    <row r="544" spans="1:19" ht="12.75">
      <c r="A544" s="15" t="str">
        <v/>
      </c>
      <c r="B544" s="15" t="str">
        <v/>
      </c>
      <c r="C544" s="15" t="str" cm="1">
        <f t="array" ref="C544">IFERROR(_xlfn.TEXTJOIN("",TRUE,_xlfn._xlws.FILTER(MID(S544,_xlfn.SEQUENCE(LEN(S544)),1),ISNUMBER(SEARCH(MID(S544,_xlfn.SEQUENCE(LEN(S544)),1),"ABCDEFGHIJKLMNOPQRSTUVWXYZabcdefghijklmnopqrstuvwxyz0123456789,")))),"")</f>
        <v/>
      </c>
      <c r="D544" s="15" t="str">
        <v/>
      </c>
      <c r="E544" s="16" t="str">
        <v/>
      </c>
      <c r="F544" s="15" t="str">
        <v/>
      </c>
      <c r="G544" s="20" t="str" cm="1">
        <f t="array" ref="G544">IF(TRIM(P544)="","",IF(SUM(COUNTIF(P544,{"*NLGD*","*FWG*"}))&gt;0,P544,IF(SUM(COUNTIF(P544,{"*GL*","*DGB*","*DGI*","*GT*","*CS*","*PWU*","*DBI*","*SWU*"}))=0,P544,IF(IFERROR(VALUE(SUBSTITUTE(SUBSTITUTE(O544,"W",""),"""","")),0)&gt;52,P544&amp;"-OVRSIZE-",P544))))</f>
        <v/>
      </c>
      <c r="H544" s="15" t="str">
        <v/>
      </c>
      <c r="I544" s="15" t="str">
        <v/>
      </c>
      <c r="J544" s="15" t="str">
        <v/>
      </c>
      <c r="K544" s="15" t="str">
        <v/>
      </c>
      <c r="L544" s="15" t="str">
        <v/>
      </c>
      <c r="M544" s="10" t="str">
        <v/>
      </c>
      <c r="N544" s="14"/>
      <c r="O544" s="15" t="str" cm="1">
        <f t="array" ref="O544">IFERROR(_xlfn.LET(
_xlpm.clean,TRIM(SUBSTITUTE(SUBSTITUTE(P544,CHAR(160),"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4" s="15"/>
      <c r="R544" t="str">
        <v/>
      </c>
      <c r="S544" t="str">
        <f t="shared" si="9"/>
        <v/>
      </c>
    </row>
    <row r="545" spans="1:19" ht="12.75">
      <c r="A545" s="15" t="str">
        <v/>
      </c>
      <c r="B545" s="15" t="str">
        <v/>
      </c>
      <c r="C545" s="15" t="str" cm="1">
        <f t="array" ref="C545">IFERROR(_xlfn.TEXTJOIN("",TRUE,_xlfn._xlws.FILTER(MID(S545,_xlfn.SEQUENCE(LEN(S545)),1),ISNUMBER(SEARCH(MID(S545,_xlfn.SEQUENCE(LEN(S545)),1),"ABCDEFGHIJKLMNOPQRSTUVWXYZabcdefghijklmnopqrstuvwxyz0123456789,")))),"")</f>
        <v/>
      </c>
      <c r="D545" s="15" t="str">
        <v/>
      </c>
      <c r="E545" s="16" t="str">
        <v/>
      </c>
      <c r="F545" s="15" t="str">
        <v/>
      </c>
      <c r="G545" s="20" t="str" cm="1">
        <f t="array" ref="G545">IF(TRIM(P545)="","",IF(SUM(COUNTIF(P545,{"*NLGD*","*FWG*"}))&gt;0,P545,IF(SUM(COUNTIF(P545,{"*GL*","*DGB*","*DGI*","*GT*","*CS*","*PWU*","*DBI*","*SWU*"}))=0,P545,IF(IFERROR(VALUE(SUBSTITUTE(SUBSTITUTE(O545,"W",""),"""","")),0)&gt;52,P545&amp;"-OVRSIZE-",P545))))</f>
        <v/>
      </c>
      <c r="H545" s="15" t="str">
        <v/>
      </c>
      <c r="I545" s="15" t="str">
        <v/>
      </c>
      <c r="J545" s="15" t="str">
        <v/>
      </c>
      <c r="K545" s="15" t="str">
        <v/>
      </c>
      <c r="L545" s="15" t="str">
        <v/>
      </c>
      <c r="M545" s="10" t="str">
        <v/>
      </c>
      <c r="N545" s="14"/>
      <c r="O545" s="15" t="str" cm="1">
        <f t="array" ref="O545">IFERROR(_xlfn.LET(
_xlpm.clean,TRIM(SUBSTITUTE(SUBSTITUTE(P545,CHAR(160),"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5" s="15"/>
      <c r="R545" t="str">
        <v/>
      </c>
      <c r="S545" t="str">
        <f t="shared" si="9"/>
        <v/>
      </c>
    </row>
    <row r="546" spans="1:19" ht="12.75">
      <c r="A546" s="15" t="str">
        <v/>
      </c>
      <c r="B546" s="15" t="str">
        <v/>
      </c>
      <c r="C546" s="15" t="str" cm="1">
        <f t="array" ref="C546">IFERROR(_xlfn.TEXTJOIN("",TRUE,_xlfn._xlws.FILTER(MID(S546,_xlfn.SEQUENCE(LEN(S546)),1),ISNUMBER(SEARCH(MID(S546,_xlfn.SEQUENCE(LEN(S546)),1),"ABCDEFGHIJKLMNOPQRSTUVWXYZabcdefghijklmnopqrstuvwxyz0123456789,")))),"")</f>
        <v/>
      </c>
      <c r="D546" s="15" t="str">
        <v/>
      </c>
      <c r="E546" s="16" t="str">
        <v/>
      </c>
      <c r="F546" s="15" t="str">
        <v/>
      </c>
      <c r="G546" s="20" t="str" cm="1">
        <f t="array" ref="G546">IF(TRIM(P546)="","",IF(SUM(COUNTIF(P546,{"*NLGD*","*FWG*"}))&gt;0,P546,IF(SUM(COUNTIF(P546,{"*GL*","*DGB*","*DGI*","*GT*","*CS*","*PWU*","*DBI*","*SWU*"}))=0,P546,IF(IFERROR(VALUE(SUBSTITUTE(SUBSTITUTE(O546,"W",""),"""","")),0)&gt;52,P546&amp;"-OVRSIZE-",P546))))</f>
        <v/>
      </c>
      <c r="H546" s="15" t="str">
        <v/>
      </c>
      <c r="I546" s="15" t="str">
        <v/>
      </c>
      <c r="J546" s="15" t="str">
        <v/>
      </c>
      <c r="K546" s="15" t="str">
        <v/>
      </c>
      <c r="L546" s="15" t="str">
        <v/>
      </c>
      <c r="M546" s="10" t="str">
        <v/>
      </c>
      <c r="N546" s="14"/>
      <c r="O546" s="15" t="str" cm="1">
        <f t="array" ref="O546">IFERROR(_xlfn.LET(
_xlpm.clean,TRIM(SUBSTITUTE(SUBSTITUTE(P546,CHAR(160),"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6" s="15"/>
      <c r="R546" t="str">
        <v/>
      </c>
      <c r="S546" t="str">
        <f t="shared" si="9"/>
        <v/>
      </c>
    </row>
    <row r="547" spans="1:19" ht="12.75">
      <c r="A547" s="15" t="str">
        <v/>
      </c>
      <c r="B547" s="15" t="str">
        <v/>
      </c>
      <c r="C547" s="15" t="str" cm="1">
        <f t="array" ref="C547">IFERROR(_xlfn.TEXTJOIN("",TRUE,_xlfn._xlws.FILTER(MID(S547,_xlfn.SEQUENCE(LEN(S547)),1),ISNUMBER(SEARCH(MID(S547,_xlfn.SEQUENCE(LEN(S547)),1),"ABCDEFGHIJKLMNOPQRSTUVWXYZabcdefghijklmnopqrstuvwxyz0123456789,")))),"")</f>
        <v/>
      </c>
      <c r="D547" s="15" t="str">
        <v/>
      </c>
      <c r="E547" s="16" t="str">
        <v/>
      </c>
      <c r="F547" s="15" t="str">
        <v/>
      </c>
      <c r="G547" s="20" t="str" cm="1">
        <f t="array" ref="G547">IF(TRIM(P547)="","",IF(SUM(COUNTIF(P547,{"*NLGD*","*FWG*"}))&gt;0,P547,IF(SUM(COUNTIF(P547,{"*GL*","*DGB*","*DGI*","*GT*","*CS*","*PWU*","*DBI*","*SWU*"}))=0,P547,IF(IFERROR(VALUE(SUBSTITUTE(SUBSTITUTE(O547,"W",""),"""","")),0)&gt;52,P547&amp;"-OVRSIZE-",P547))))</f>
        <v/>
      </c>
      <c r="H547" s="15" t="str">
        <v/>
      </c>
      <c r="I547" s="15" t="str">
        <v/>
      </c>
      <c r="J547" s="15" t="str">
        <v/>
      </c>
      <c r="K547" s="15" t="str">
        <v/>
      </c>
      <c r="L547" s="15" t="str">
        <v/>
      </c>
      <c r="M547" s="10" t="str">
        <v/>
      </c>
      <c r="N547" s="14"/>
      <c r="O547" s="15" t="str" cm="1">
        <f t="array" ref="O547">IFERROR(_xlfn.LET(
_xlpm.clean,TRIM(SUBSTITUTE(SUBSTITUTE(P547,CHAR(160),"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7" s="15"/>
      <c r="R547" t="str">
        <v/>
      </c>
      <c r="S547" t="str">
        <f t="shared" si="9"/>
        <v/>
      </c>
    </row>
    <row r="548" spans="1:19" ht="12.75">
      <c r="A548" s="15" t="str">
        <v/>
      </c>
      <c r="B548" s="15" t="str">
        <v/>
      </c>
      <c r="C548" s="15" t="str" cm="1">
        <f t="array" ref="C548">IFERROR(_xlfn.TEXTJOIN("",TRUE,_xlfn._xlws.FILTER(MID(S548,_xlfn.SEQUENCE(LEN(S548)),1),ISNUMBER(SEARCH(MID(S548,_xlfn.SEQUENCE(LEN(S548)),1),"ABCDEFGHIJKLMNOPQRSTUVWXYZabcdefghijklmnopqrstuvwxyz0123456789,")))),"")</f>
        <v/>
      </c>
      <c r="D548" s="15" t="str">
        <v/>
      </c>
      <c r="E548" s="16" t="str">
        <v/>
      </c>
      <c r="F548" s="15" t="str">
        <v/>
      </c>
      <c r="G548" s="20" t="str" cm="1">
        <f t="array" ref="G548">IF(TRIM(P548)="","",IF(SUM(COUNTIF(P548,{"*NLGD*","*FWG*"}))&gt;0,P548,IF(SUM(COUNTIF(P548,{"*GL*","*DGB*","*DGI*","*GT*","*CS*","*PWU*","*DBI*","*SWU*"}))=0,P548,IF(IFERROR(VALUE(SUBSTITUTE(SUBSTITUTE(O548,"W",""),"""","")),0)&gt;52,P548&amp;"-OVRSIZE-",P548))))</f>
        <v/>
      </c>
      <c r="H548" s="15" t="str">
        <v/>
      </c>
      <c r="I548" s="15" t="str">
        <v/>
      </c>
      <c r="J548" s="15" t="str">
        <v/>
      </c>
      <c r="K548" s="15" t="str">
        <v/>
      </c>
      <c r="L548" s="15" t="str">
        <v/>
      </c>
      <c r="M548" s="10" t="str">
        <v/>
      </c>
      <c r="N548" s="14"/>
      <c r="O548" s="15" t="str" cm="1">
        <f t="array" ref="O548">IFERROR(_xlfn.LET(
_xlpm.clean,TRIM(SUBSTITUTE(SUBSTITUTE(P548,CHAR(160),"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8" s="15"/>
      <c r="R548" t="str">
        <v/>
      </c>
      <c r="S548" t="str">
        <f t="shared" si="9"/>
        <v/>
      </c>
    </row>
    <row r="549" spans="1:19" ht="12.75">
      <c r="A549" s="15" t="str">
        <v/>
      </c>
      <c r="B549" s="15" t="str">
        <v/>
      </c>
      <c r="C549" s="15" t="str" cm="1">
        <f t="array" ref="C549">IFERROR(_xlfn.TEXTJOIN("",TRUE,_xlfn._xlws.FILTER(MID(S549,_xlfn.SEQUENCE(LEN(S549)),1),ISNUMBER(SEARCH(MID(S549,_xlfn.SEQUENCE(LEN(S549)),1),"ABCDEFGHIJKLMNOPQRSTUVWXYZabcdefghijklmnopqrstuvwxyz0123456789,")))),"")</f>
        <v/>
      </c>
      <c r="D549" s="15" t="str">
        <v/>
      </c>
      <c r="E549" s="16" t="str">
        <v/>
      </c>
      <c r="F549" s="15" t="str">
        <v/>
      </c>
      <c r="G549" s="20" t="str" cm="1">
        <f t="array" ref="G549">IF(TRIM(P549)="","",IF(SUM(COUNTIF(P549,{"*NLGD*","*FWG*"}))&gt;0,P549,IF(SUM(COUNTIF(P549,{"*GL*","*DGB*","*DGI*","*GT*","*CS*","*PWU*","*DBI*","*SWU*"}))=0,P549,IF(IFERROR(VALUE(SUBSTITUTE(SUBSTITUTE(O549,"W",""),"""","")),0)&gt;52,P549&amp;"-OVRSIZE-",P549))))</f>
        <v/>
      </c>
      <c r="H549" s="15" t="str">
        <v/>
      </c>
      <c r="I549" s="15" t="str">
        <v/>
      </c>
      <c r="J549" s="15" t="str">
        <v/>
      </c>
      <c r="K549" s="15" t="str">
        <v/>
      </c>
      <c r="L549" s="15" t="str">
        <v/>
      </c>
      <c r="M549" s="10" t="str">
        <v/>
      </c>
      <c r="N549" s="14"/>
      <c r="O549" s="15" t="str" cm="1">
        <f t="array" ref="O549">IFERROR(_xlfn.LET(
_xlpm.clean,TRIM(SUBSTITUTE(SUBSTITUTE(P549,CHAR(160),"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9" s="15"/>
      <c r="R549" t="str">
        <v/>
      </c>
      <c r="S549" t="str">
        <f t="shared" si="9"/>
        <v/>
      </c>
    </row>
    <row r="550" spans="1:19" ht="12.75">
      <c r="A550" s="15" t="str">
        <v/>
      </c>
      <c r="B550" s="15" t="str">
        <v/>
      </c>
      <c r="C550" s="15" t="str" cm="1">
        <f t="array" ref="C550">IFERROR(_xlfn.TEXTJOIN("",TRUE,_xlfn._xlws.FILTER(MID(S550,_xlfn.SEQUENCE(LEN(S550)),1),ISNUMBER(SEARCH(MID(S550,_xlfn.SEQUENCE(LEN(S550)),1),"ABCDEFGHIJKLMNOPQRSTUVWXYZabcdefghijklmnopqrstuvwxyz0123456789,")))),"")</f>
        <v/>
      </c>
      <c r="D550" s="15" t="str">
        <v/>
      </c>
      <c r="E550" s="16" t="str">
        <v/>
      </c>
      <c r="F550" s="15" t="str">
        <v/>
      </c>
      <c r="G550" s="20" t="str" cm="1">
        <f t="array" ref="G550">IF(TRIM(P550)="","",IF(SUM(COUNTIF(P550,{"*NLGD*","*FWG*"}))&gt;0,P550,IF(SUM(COUNTIF(P550,{"*GL*","*DGB*","*DGI*","*GT*","*CS*","*PWU*","*DBI*","*SWU*"}))=0,P550,IF(IFERROR(VALUE(SUBSTITUTE(SUBSTITUTE(O550,"W",""),"""","")),0)&gt;52,P550&amp;"-OVRSIZE-",P550))))</f>
        <v/>
      </c>
      <c r="H550" s="15" t="str">
        <v/>
      </c>
      <c r="I550" s="15" t="str">
        <v/>
      </c>
      <c r="J550" s="15" t="str">
        <v/>
      </c>
      <c r="K550" s="15" t="str">
        <v/>
      </c>
      <c r="L550" s="15" t="str">
        <v/>
      </c>
      <c r="M550" s="10" t="str">
        <v/>
      </c>
      <c r="N550" s="14"/>
      <c r="O550" s="15" t="str" cm="1">
        <f t="array" ref="O550">IFERROR(_xlfn.LET(
_xlpm.clean,TRIM(SUBSTITUTE(SUBSTITUTE(P550,CHAR(160),"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0" s="15"/>
      <c r="R550" t="str">
        <v/>
      </c>
      <c r="S550" t="str">
        <f t="shared" si="9"/>
        <v/>
      </c>
    </row>
    <row r="551" spans="1:19" ht="12.75">
      <c r="A551" s="15" t="str">
        <v/>
      </c>
      <c r="B551" s="15" t="str">
        <v/>
      </c>
      <c r="C551" s="15" t="str" cm="1">
        <f t="array" ref="C551">IFERROR(_xlfn.TEXTJOIN("",TRUE,_xlfn._xlws.FILTER(MID(S551,_xlfn.SEQUENCE(LEN(S551)),1),ISNUMBER(SEARCH(MID(S551,_xlfn.SEQUENCE(LEN(S551)),1),"ABCDEFGHIJKLMNOPQRSTUVWXYZabcdefghijklmnopqrstuvwxyz0123456789,")))),"")</f>
        <v/>
      </c>
      <c r="D551" s="15" t="str">
        <v/>
      </c>
      <c r="E551" s="16" t="str">
        <v/>
      </c>
      <c r="F551" s="15" t="str">
        <v/>
      </c>
      <c r="G551" s="20" t="str" cm="1">
        <f t="array" ref="G551">IF(TRIM(P551)="","",IF(SUM(COUNTIF(P551,{"*NLGD*","*FWG*"}))&gt;0,P551,IF(SUM(COUNTIF(P551,{"*GL*","*DGB*","*DGI*","*GT*","*CS*","*PWU*","*DBI*","*SWU*"}))=0,P551,IF(IFERROR(VALUE(SUBSTITUTE(SUBSTITUTE(O551,"W",""),"""","")),0)&gt;52,P551&amp;"-OVRSIZE-",P551))))</f>
        <v/>
      </c>
      <c r="H551" s="15" t="str">
        <v/>
      </c>
      <c r="I551" s="15" t="str">
        <v/>
      </c>
      <c r="J551" s="15" t="str">
        <v/>
      </c>
      <c r="K551" s="15" t="str">
        <v/>
      </c>
      <c r="L551" s="15" t="str">
        <v/>
      </c>
      <c r="M551" s="10" t="str">
        <v/>
      </c>
      <c r="N551" s="14"/>
      <c r="O551" s="15" t="str" cm="1">
        <f t="array" ref="O551">IFERROR(_xlfn.LET(
_xlpm.clean,TRIM(SUBSTITUTE(SUBSTITUTE(P551,CHAR(160),"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1" s="15"/>
      <c r="R551" t="str">
        <v/>
      </c>
      <c r="S551" t="str">
        <f t="shared" si="9"/>
        <v/>
      </c>
    </row>
    <row r="552" spans="1:19" ht="12.75">
      <c r="A552" s="15" t="str">
        <v/>
      </c>
      <c r="B552" s="15" t="str">
        <v/>
      </c>
      <c r="C552" s="15" t="str" cm="1">
        <f t="array" ref="C552">IFERROR(_xlfn.TEXTJOIN("",TRUE,_xlfn._xlws.FILTER(MID(S552,_xlfn.SEQUENCE(LEN(S552)),1),ISNUMBER(SEARCH(MID(S552,_xlfn.SEQUENCE(LEN(S552)),1),"ABCDEFGHIJKLMNOPQRSTUVWXYZabcdefghijklmnopqrstuvwxyz0123456789,")))),"")</f>
        <v/>
      </c>
      <c r="D552" s="15" t="str">
        <v/>
      </c>
      <c r="E552" s="16" t="str">
        <v/>
      </c>
      <c r="F552" s="15" t="str">
        <v/>
      </c>
      <c r="G552" s="20" t="str" cm="1">
        <f t="array" ref="G552">IF(TRIM(P552)="","",IF(SUM(COUNTIF(P552,{"*NLGD*","*FWG*"}))&gt;0,P552,IF(SUM(COUNTIF(P552,{"*GL*","*DGB*","*DGI*","*GT*","*CS*","*PWU*","*DBI*","*SWU*"}))=0,P552,IF(IFERROR(VALUE(SUBSTITUTE(SUBSTITUTE(O552,"W",""),"""","")),0)&gt;52,P552&amp;"-OVRSIZE-",P552))))</f>
        <v/>
      </c>
      <c r="H552" s="15" t="str">
        <v/>
      </c>
      <c r="I552" s="15" t="str">
        <v/>
      </c>
      <c r="J552" s="15" t="str">
        <v/>
      </c>
      <c r="K552" s="15" t="str">
        <v/>
      </c>
      <c r="L552" s="15" t="str">
        <v/>
      </c>
      <c r="M552" s="10" t="str">
        <v/>
      </c>
      <c r="N552" s="14"/>
      <c r="O552" s="15" t="str" cm="1">
        <f t="array" ref="O552">IFERROR(_xlfn.LET(
_xlpm.clean,TRIM(SUBSTITUTE(SUBSTITUTE(P552,CHAR(160),"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2" s="15"/>
      <c r="R552" t="str">
        <v/>
      </c>
      <c r="S552" t="str">
        <f t="shared" si="9"/>
        <v/>
      </c>
    </row>
    <row r="553" spans="1:19" ht="12.75">
      <c r="A553" s="15" t="str">
        <v/>
      </c>
      <c r="B553" s="15" t="str">
        <v/>
      </c>
      <c r="C553" s="15" t="str" cm="1">
        <f t="array" ref="C553">IFERROR(_xlfn.TEXTJOIN("",TRUE,_xlfn._xlws.FILTER(MID(S553,_xlfn.SEQUENCE(LEN(S553)),1),ISNUMBER(SEARCH(MID(S553,_xlfn.SEQUENCE(LEN(S553)),1),"ABCDEFGHIJKLMNOPQRSTUVWXYZabcdefghijklmnopqrstuvwxyz0123456789,")))),"")</f>
        <v/>
      </c>
      <c r="D553" s="15" t="str">
        <v/>
      </c>
      <c r="E553" s="16" t="str">
        <v/>
      </c>
      <c r="F553" s="15" t="str">
        <v/>
      </c>
      <c r="G553" s="20" t="str" cm="1">
        <f t="array" ref="G553">IF(TRIM(P553)="","",IF(SUM(COUNTIF(P553,{"*NLGD*","*FWG*"}))&gt;0,P553,IF(SUM(COUNTIF(P553,{"*GL*","*DGB*","*DGI*","*GT*","*CS*","*PWU*","*DBI*","*SWU*"}))=0,P553,IF(IFERROR(VALUE(SUBSTITUTE(SUBSTITUTE(O553,"W",""),"""","")),0)&gt;52,P553&amp;"-OVRSIZE-",P553))))</f>
        <v/>
      </c>
      <c r="H553" s="15" t="str">
        <v/>
      </c>
      <c r="I553" s="15" t="str">
        <v/>
      </c>
      <c r="J553" s="15" t="str">
        <v/>
      </c>
      <c r="K553" s="15" t="str">
        <v/>
      </c>
      <c r="L553" s="15" t="str">
        <v/>
      </c>
      <c r="M553" s="10" t="str">
        <v/>
      </c>
      <c r="N553" s="14"/>
      <c r="O553" s="15" t="str" cm="1">
        <f t="array" ref="O553">IFERROR(_xlfn.LET(
_xlpm.clean,TRIM(SUBSTITUTE(SUBSTITUTE(P553,CHAR(160),"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3" s="15"/>
      <c r="R553" t="str">
        <v/>
      </c>
      <c r="S553" t="str">
        <f t="shared" si="9"/>
        <v/>
      </c>
    </row>
    <row r="554" spans="1:19" ht="12.75">
      <c r="A554" s="15" t="str">
        <v/>
      </c>
      <c r="B554" s="15" t="str">
        <v/>
      </c>
      <c r="C554" s="15" t="str" cm="1">
        <f t="array" ref="C554">IFERROR(_xlfn.TEXTJOIN("",TRUE,_xlfn._xlws.FILTER(MID(S554,_xlfn.SEQUENCE(LEN(S554)),1),ISNUMBER(SEARCH(MID(S554,_xlfn.SEQUENCE(LEN(S554)),1),"ABCDEFGHIJKLMNOPQRSTUVWXYZabcdefghijklmnopqrstuvwxyz0123456789,")))),"")</f>
        <v/>
      </c>
      <c r="D554" s="15" t="str">
        <v/>
      </c>
      <c r="E554" s="16" t="str">
        <v/>
      </c>
      <c r="F554" s="15" t="str">
        <v/>
      </c>
      <c r="G554" s="20" t="str" cm="1">
        <f t="array" ref="G554">IF(TRIM(P554)="","",IF(SUM(COUNTIF(P554,{"*NLGD*","*FWG*"}))&gt;0,P554,IF(SUM(COUNTIF(P554,{"*GL*","*DGB*","*DGI*","*GT*","*CS*","*PWU*","*DBI*","*SWU*"}))=0,P554,IF(IFERROR(VALUE(SUBSTITUTE(SUBSTITUTE(O554,"W",""),"""","")),0)&gt;52,P554&amp;"-OVRSIZE-",P554))))</f>
        <v/>
      </c>
      <c r="H554" s="15" t="str">
        <v/>
      </c>
      <c r="I554" s="15" t="str">
        <v/>
      </c>
      <c r="J554" s="15" t="str">
        <v/>
      </c>
      <c r="K554" s="15" t="str">
        <v/>
      </c>
      <c r="L554" s="15" t="str">
        <v/>
      </c>
      <c r="M554" s="10" t="str">
        <v/>
      </c>
      <c r="N554" s="14"/>
      <c r="O554" s="15" t="str" cm="1">
        <f t="array" ref="O554">IFERROR(_xlfn.LET(
_xlpm.clean,TRIM(SUBSTITUTE(SUBSTITUTE(P554,CHAR(160),"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4" s="15"/>
      <c r="R554" t="str">
        <v/>
      </c>
      <c r="S554" t="str">
        <f t="shared" si="9"/>
        <v/>
      </c>
    </row>
    <row r="555" spans="1:19" ht="12.75">
      <c r="A555" s="15" t="str">
        <v/>
      </c>
      <c r="B555" s="15" t="str">
        <v/>
      </c>
      <c r="C555" s="15" t="str" cm="1">
        <f t="array" ref="C555">IFERROR(_xlfn.TEXTJOIN("",TRUE,_xlfn._xlws.FILTER(MID(S555,_xlfn.SEQUENCE(LEN(S555)),1),ISNUMBER(SEARCH(MID(S555,_xlfn.SEQUENCE(LEN(S555)),1),"ABCDEFGHIJKLMNOPQRSTUVWXYZabcdefghijklmnopqrstuvwxyz0123456789,")))),"")</f>
        <v/>
      </c>
      <c r="D555" s="15" t="str">
        <v/>
      </c>
      <c r="E555" s="16" t="str">
        <v/>
      </c>
      <c r="F555" s="15" t="str">
        <v/>
      </c>
      <c r="G555" s="20" t="str" cm="1">
        <f t="array" ref="G555">IF(TRIM(P555)="","",IF(SUM(COUNTIF(P555,{"*NLGD*","*FWG*"}))&gt;0,P555,IF(SUM(COUNTIF(P555,{"*GL*","*DGB*","*DGI*","*GT*","*CS*","*PWU*","*DBI*","*SWU*"}))=0,P555,IF(IFERROR(VALUE(SUBSTITUTE(SUBSTITUTE(O555,"W",""),"""","")),0)&gt;52,P555&amp;"-OVRSIZE-",P555))))</f>
        <v/>
      </c>
      <c r="H555" s="15" t="str">
        <v/>
      </c>
      <c r="I555" s="15" t="str">
        <v/>
      </c>
      <c r="J555" s="15" t="str">
        <v/>
      </c>
      <c r="K555" s="15" t="str">
        <v/>
      </c>
      <c r="L555" s="15" t="str">
        <v/>
      </c>
      <c r="M555" s="10" t="str">
        <v/>
      </c>
      <c r="N555" s="14"/>
      <c r="O555" s="15" t="str" cm="1">
        <f t="array" ref="O555">IFERROR(_xlfn.LET(
_xlpm.clean,TRIM(SUBSTITUTE(SUBSTITUTE(P555,CHAR(160),"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5" s="15"/>
      <c r="R555" t="str">
        <v/>
      </c>
      <c r="S555" t="str">
        <f t="shared" si="9"/>
        <v/>
      </c>
    </row>
    <row r="556" spans="1:19" ht="12.75">
      <c r="A556" s="15" t="str">
        <v/>
      </c>
      <c r="B556" s="15" t="str">
        <v/>
      </c>
      <c r="C556" s="15" t="str" cm="1">
        <f t="array" ref="C556">IFERROR(_xlfn.TEXTJOIN("",TRUE,_xlfn._xlws.FILTER(MID(S556,_xlfn.SEQUENCE(LEN(S556)),1),ISNUMBER(SEARCH(MID(S556,_xlfn.SEQUENCE(LEN(S556)),1),"ABCDEFGHIJKLMNOPQRSTUVWXYZabcdefghijklmnopqrstuvwxyz0123456789,")))),"")</f>
        <v/>
      </c>
      <c r="D556" s="15" t="str">
        <v/>
      </c>
      <c r="E556" s="16" t="str">
        <v/>
      </c>
      <c r="F556" s="15" t="str">
        <v/>
      </c>
      <c r="G556" s="20" t="str" cm="1">
        <f t="array" ref="G556">IF(TRIM(P556)="","",IF(SUM(COUNTIF(P556,{"*NLGD*","*FWG*"}))&gt;0,P556,IF(SUM(COUNTIF(P556,{"*GL*","*DGB*","*DGI*","*GT*","*CS*","*PWU*","*DBI*","*SWU*"}))=0,P556,IF(IFERROR(VALUE(SUBSTITUTE(SUBSTITUTE(O556,"W",""),"""","")),0)&gt;52,P556&amp;"-OVRSIZE-",P556))))</f>
        <v/>
      </c>
      <c r="H556" s="15" t="str">
        <v/>
      </c>
      <c r="I556" s="15" t="str">
        <v/>
      </c>
      <c r="J556" s="15" t="str">
        <v/>
      </c>
      <c r="K556" s="15" t="str">
        <v/>
      </c>
      <c r="L556" s="15" t="str">
        <v/>
      </c>
      <c r="M556" s="10" t="str">
        <v/>
      </c>
      <c r="N556" s="14"/>
      <c r="O556" s="15" t="str" cm="1">
        <f t="array" ref="O556">IFERROR(_xlfn.LET(
_xlpm.clean,TRIM(SUBSTITUTE(SUBSTITUTE(P556,CHAR(160),"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6" s="15"/>
      <c r="R556" t="str">
        <v/>
      </c>
      <c r="S556" t="str">
        <f t="shared" si="9"/>
        <v/>
      </c>
    </row>
    <row r="557" spans="1:19" ht="12.75">
      <c r="A557" s="15" t="str">
        <v/>
      </c>
      <c r="B557" s="15" t="str">
        <v/>
      </c>
      <c r="C557" s="15" t="str" cm="1">
        <f t="array" ref="C557">IFERROR(_xlfn.TEXTJOIN("",TRUE,_xlfn._xlws.FILTER(MID(S557,_xlfn.SEQUENCE(LEN(S557)),1),ISNUMBER(SEARCH(MID(S557,_xlfn.SEQUENCE(LEN(S557)),1),"ABCDEFGHIJKLMNOPQRSTUVWXYZabcdefghijklmnopqrstuvwxyz0123456789,")))),"")</f>
        <v/>
      </c>
      <c r="D557" s="15" t="str">
        <v/>
      </c>
      <c r="E557" s="16" t="str">
        <v/>
      </c>
      <c r="F557" s="15" t="str">
        <v/>
      </c>
      <c r="G557" s="20" t="str" cm="1">
        <f t="array" ref="G557">IF(TRIM(P557)="","",IF(SUM(COUNTIF(P557,{"*NLGD*","*FWG*"}))&gt;0,P557,IF(SUM(COUNTIF(P557,{"*GL*","*DGB*","*DGI*","*GT*","*CS*","*PWU*","*DBI*","*SWU*"}))=0,P557,IF(IFERROR(VALUE(SUBSTITUTE(SUBSTITUTE(O557,"W",""),"""","")),0)&gt;52,P557&amp;"-OVRSIZE-",P557))))</f>
        <v/>
      </c>
      <c r="H557" s="15" t="str">
        <v/>
      </c>
      <c r="I557" s="15" t="str">
        <v/>
      </c>
      <c r="J557" s="15" t="str">
        <v/>
      </c>
      <c r="K557" s="15" t="str">
        <v/>
      </c>
      <c r="L557" s="15" t="str">
        <v/>
      </c>
      <c r="M557" s="10" t="str">
        <v/>
      </c>
      <c r="N557" s="14"/>
      <c r="O557" s="15" t="str" cm="1">
        <f t="array" ref="O557">IFERROR(_xlfn.LET(
_xlpm.clean,TRIM(SUBSTITUTE(SUBSTITUTE(P557,CHAR(160),"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7" s="15"/>
      <c r="R557" t="str">
        <v/>
      </c>
      <c r="S557" t="str">
        <f t="shared" si="9"/>
        <v/>
      </c>
    </row>
    <row r="558" spans="1:19" ht="12.75">
      <c r="A558" s="15" t="str">
        <v/>
      </c>
      <c r="B558" s="15" t="str">
        <v/>
      </c>
      <c r="C558" s="15" t="str" cm="1">
        <f t="array" ref="C558">IFERROR(_xlfn.TEXTJOIN("",TRUE,_xlfn._xlws.FILTER(MID(S558,_xlfn.SEQUENCE(LEN(S558)),1),ISNUMBER(SEARCH(MID(S558,_xlfn.SEQUENCE(LEN(S558)),1),"ABCDEFGHIJKLMNOPQRSTUVWXYZabcdefghijklmnopqrstuvwxyz0123456789,")))),"")</f>
        <v/>
      </c>
      <c r="D558" s="15" t="str">
        <v/>
      </c>
      <c r="E558" s="16" t="str">
        <v/>
      </c>
      <c r="F558" s="15" t="str">
        <v/>
      </c>
      <c r="G558" s="20" t="str" cm="1">
        <f t="array" ref="G558">IF(TRIM(P558)="","",IF(SUM(COUNTIF(P558,{"*NLGD*","*FWG*"}))&gt;0,P558,IF(SUM(COUNTIF(P558,{"*GL*","*DGB*","*DGI*","*GT*","*CS*","*PWU*","*DBI*","*SWU*"}))=0,P558,IF(IFERROR(VALUE(SUBSTITUTE(SUBSTITUTE(O558,"W",""),"""","")),0)&gt;52,P558&amp;"-OVRSIZE-",P558))))</f>
        <v/>
      </c>
      <c r="H558" s="15" t="str">
        <v/>
      </c>
      <c r="I558" s="15" t="str">
        <v/>
      </c>
      <c r="J558" s="15" t="str">
        <v/>
      </c>
      <c r="K558" s="15" t="str">
        <v/>
      </c>
      <c r="L558" s="15" t="str">
        <v/>
      </c>
      <c r="M558" s="10" t="str">
        <v/>
      </c>
      <c r="N558" s="14"/>
      <c r="O558" s="15" t="str" cm="1">
        <f t="array" ref="O558">IFERROR(_xlfn.LET(
_xlpm.clean,TRIM(SUBSTITUTE(SUBSTITUTE(P558,CHAR(160),"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8" s="15"/>
      <c r="R558" t="str">
        <v/>
      </c>
      <c r="S558" t="str">
        <f t="shared" si="9"/>
        <v/>
      </c>
    </row>
    <row r="559" spans="1:19" ht="12.75">
      <c r="A559" s="15" t="str">
        <v/>
      </c>
      <c r="B559" s="15" t="str">
        <v/>
      </c>
      <c r="C559" s="15" t="str" cm="1">
        <f t="array" ref="C559">IFERROR(_xlfn.TEXTJOIN("",TRUE,_xlfn._xlws.FILTER(MID(S559,_xlfn.SEQUENCE(LEN(S559)),1),ISNUMBER(SEARCH(MID(S559,_xlfn.SEQUENCE(LEN(S559)),1),"ABCDEFGHIJKLMNOPQRSTUVWXYZabcdefghijklmnopqrstuvwxyz0123456789,")))),"")</f>
        <v/>
      </c>
      <c r="D559" s="15" t="str">
        <v/>
      </c>
      <c r="E559" s="16" t="str">
        <v/>
      </c>
      <c r="F559" s="15" t="str">
        <v/>
      </c>
      <c r="G559" s="20" t="str" cm="1">
        <f t="array" ref="G559">IF(TRIM(P559)="","",IF(SUM(COUNTIF(P559,{"*NLGD*","*FWG*"}))&gt;0,P559,IF(SUM(COUNTIF(P559,{"*GL*","*DGB*","*DGI*","*GT*","*CS*","*PWU*","*DBI*","*SWU*"}))=0,P559,IF(IFERROR(VALUE(SUBSTITUTE(SUBSTITUTE(O559,"W",""),"""","")),0)&gt;52,P559&amp;"-OVRSIZE-",P559))))</f>
        <v/>
      </c>
      <c r="H559" s="15" t="str">
        <v/>
      </c>
      <c r="I559" s="15" t="str">
        <v/>
      </c>
      <c r="J559" s="15" t="str">
        <v/>
      </c>
      <c r="K559" s="15" t="str">
        <v/>
      </c>
      <c r="L559" s="15" t="str">
        <v/>
      </c>
      <c r="M559" s="10" t="str">
        <v/>
      </c>
      <c r="N559" s="14"/>
      <c r="O559" s="15" t="str" cm="1">
        <f t="array" ref="O559">IFERROR(_xlfn.LET(
_xlpm.clean,TRIM(SUBSTITUTE(SUBSTITUTE(P559,CHAR(160),"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9" s="15"/>
      <c r="R559" t="str">
        <v/>
      </c>
      <c r="S559" t="str">
        <f t="shared" si="9"/>
        <v/>
      </c>
    </row>
    <row r="560" spans="1:19" ht="12.75">
      <c r="A560" s="15" t="str">
        <v/>
      </c>
      <c r="B560" s="15" t="str">
        <v/>
      </c>
      <c r="C560" s="15" t="str" cm="1">
        <f t="array" ref="C560">IFERROR(_xlfn.TEXTJOIN("",TRUE,_xlfn._xlws.FILTER(MID(S560,_xlfn.SEQUENCE(LEN(S560)),1),ISNUMBER(SEARCH(MID(S560,_xlfn.SEQUENCE(LEN(S560)),1),"ABCDEFGHIJKLMNOPQRSTUVWXYZabcdefghijklmnopqrstuvwxyz0123456789,")))),"")</f>
        <v/>
      </c>
      <c r="D560" s="15" t="str">
        <v/>
      </c>
      <c r="E560" s="16" t="str">
        <v/>
      </c>
      <c r="F560" s="15" t="str">
        <v/>
      </c>
      <c r="G560" s="20" t="str" cm="1">
        <f t="array" ref="G560">IF(TRIM(P560)="","",IF(SUM(COUNTIF(P560,{"*NLGD*","*FWG*"}))&gt;0,P560,IF(SUM(COUNTIF(P560,{"*GL*","*DGB*","*DGI*","*GT*","*CS*","*PWU*","*DBI*","*SWU*"}))=0,P560,IF(IFERROR(VALUE(SUBSTITUTE(SUBSTITUTE(O560,"W",""),"""","")),0)&gt;52,P560&amp;"-OVRSIZE-",P560))))</f>
        <v/>
      </c>
      <c r="H560" s="15" t="str">
        <v/>
      </c>
      <c r="I560" s="15" t="str">
        <v/>
      </c>
      <c r="J560" s="15" t="str">
        <v/>
      </c>
      <c r="K560" s="15" t="str">
        <v/>
      </c>
      <c r="L560" s="15" t="str">
        <v/>
      </c>
      <c r="M560" s="10" t="str">
        <v/>
      </c>
      <c r="N560" s="14"/>
      <c r="O560" s="15" t="str" cm="1">
        <f t="array" ref="O560">IFERROR(_xlfn.LET(
_xlpm.clean,TRIM(SUBSTITUTE(SUBSTITUTE(P560,CHAR(160),"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0" s="15"/>
      <c r="R560" t="str">
        <v/>
      </c>
      <c r="S560" t="str">
        <f t="shared" si="9"/>
        <v/>
      </c>
    </row>
    <row r="561" spans="1:19" ht="12.75">
      <c r="A561" s="15" t="str">
        <v/>
      </c>
      <c r="B561" s="15" t="str">
        <v/>
      </c>
      <c r="C561" s="15" t="str" cm="1">
        <f t="array" ref="C561">IFERROR(_xlfn.TEXTJOIN("",TRUE,_xlfn._xlws.FILTER(MID(S561,_xlfn.SEQUENCE(LEN(S561)),1),ISNUMBER(SEARCH(MID(S561,_xlfn.SEQUENCE(LEN(S561)),1),"ABCDEFGHIJKLMNOPQRSTUVWXYZabcdefghijklmnopqrstuvwxyz0123456789,")))),"")</f>
        <v/>
      </c>
      <c r="D561" s="15" t="str">
        <v/>
      </c>
      <c r="E561" s="16" t="str">
        <v/>
      </c>
      <c r="F561" s="15" t="str">
        <v/>
      </c>
      <c r="G561" s="20" t="str" cm="1">
        <f t="array" ref="G561">IF(TRIM(P561)="","",IF(SUM(COUNTIF(P561,{"*NLGD*","*FWG*"}))&gt;0,P561,IF(SUM(COUNTIF(P561,{"*GL*","*DGB*","*DGI*","*GT*","*CS*","*PWU*","*DBI*","*SWU*"}))=0,P561,IF(IFERROR(VALUE(SUBSTITUTE(SUBSTITUTE(O561,"W",""),"""","")),0)&gt;52,P561&amp;"-OVRSIZE-",P561))))</f>
        <v/>
      </c>
      <c r="H561" s="15" t="str">
        <v/>
      </c>
      <c r="I561" s="15" t="str">
        <v/>
      </c>
      <c r="J561" s="15" t="str">
        <v/>
      </c>
      <c r="K561" s="15" t="str">
        <v/>
      </c>
      <c r="L561" s="15" t="str">
        <v/>
      </c>
      <c r="M561" s="10" t="str">
        <v/>
      </c>
      <c r="N561" s="14"/>
      <c r="O561" s="15" t="str" cm="1">
        <f t="array" ref="O561">IFERROR(_xlfn.LET(
_xlpm.clean,TRIM(SUBSTITUTE(SUBSTITUTE(P561,CHAR(160),"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1" s="15"/>
      <c r="R561" t="str">
        <v/>
      </c>
      <c r="S561" t="str">
        <f t="shared" si="9"/>
        <v/>
      </c>
    </row>
    <row r="562" spans="1:19" ht="12.75">
      <c r="A562" s="15" t="str">
        <v/>
      </c>
      <c r="B562" s="15" t="str">
        <v/>
      </c>
      <c r="C562" s="15" t="str" cm="1">
        <f t="array" ref="C562">IFERROR(_xlfn.TEXTJOIN("",TRUE,_xlfn._xlws.FILTER(MID(S562,_xlfn.SEQUENCE(LEN(S562)),1),ISNUMBER(SEARCH(MID(S562,_xlfn.SEQUENCE(LEN(S562)),1),"ABCDEFGHIJKLMNOPQRSTUVWXYZabcdefghijklmnopqrstuvwxyz0123456789,")))),"")</f>
        <v/>
      </c>
      <c r="D562" s="15" t="str">
        <v/>
      </c>
      <c r="E562" s="16" t="str">
        <v/>
      </c>
      <c r="F562" s="15" t="str">
        <v/>
      </c>
      <c r="G562" s="20" t="str" cm="1">
        <f t="array" ref="G562">IF(TRIM(P562)="","",IF(SUM(COUNTIF(P562,{"*NLGD*","*FWG*"}))&gt;0,P562,IF(SUM(COUNTIF(P562,{"*GL*","*DGB*","*DGI*","*GT*","*CS*","*PWU*","*DBI*","*SWU*"}))=0,P562,IF(IFERROR(VALUE(SUBSTITUTE(SUBSTITUTE(O562,"W",""),"""","")),0)&gt;52,P562&amp;"-OVRSIZE-",P562))))</f>
        <v/>
      </c>
      <c r="H562" s="15" t="str">
        <v/>
      </c>
      <c r="I562" s="15" t="str">
        <v/>
      </c>
      <c r="J562" s="15" t="str">
        <v/>
      </c>
      <c r="K562" s="15" t="str">
        <v/>
      </c>
      <c r="L562" s="15" t="str">
        <v/>
      </c>
      <c r="M562" s="10" t="str">
        <v/>
      </c>
      <c r="N562" s="14"/>
      <c r="O562" s="15" t="str" cm="1">
        <f t="array" ref="O562">IFERROR(_xlfn.LET(
_xlpm.clean,TRIM(SUBSTITUTE(SUBSTITUTE(P562,CHAR(160),"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2" s="15"/>
      <c r="R562" t="str">
        <v/>
      </c>
      <c r="S562" t="str">
        <f t="shared" si="9"/>
        <v/>
      </c>
    </row>
    <row r="563" spans="1:19" ht="12.75">
      <c r="A563" s="15" t="str">
        <v/>
      </c>
      <c r="B563" s="15" t="str">
        <v/>
      </c>
      <c r="C563" s="15" t="str" cm="1">
        <f t="array" ref="C563">IFERROR(_xlfn.TEXTJOIN("",TRUE,_xlfn._xlws.FILTER(MID(S563,_xlfn.SEQUENCE(LEN(S563)),1),ISNUMBER(SEARCH(MID(S563,_xlfn.SEQUENCE(LEN(S563)),1),"ABCDEFGHIJKLMNOPQRSTUVWXYZabcdefghijklmnopqrstuvwxyz0123456789,")))),"")</f>
        <v/>
      </c>
      <c r="D563" s="15" t="str">
        <v/>
      </c>
      <c r="E563" s="16" t="str">
        <v/>
      </c>
      <c r="F563" s="15" t="str">
        <v/>
      </c>
      <c r="G563" s="20" t="str" cm="1">
        <f t="array" ref="G563">IF(TRIM(P563)="","",IF(SUM(COUNTIF(P563,{"*NLGD*","*FWG*"}))&gt;0,P563,IF(SUM(COUNTIF(P563,{"*GL*","*DGB*","*DGI*","*GT*","*CS*","*PWU*","*DBI*","*SWU*"}))=0,P563,IF(IFERROR(VALUE(SUBSTITUTE(SUBSTITUTE(O563,"W",""),"""","")),0)&gt;52,P563&amp;"-OVRSIZE-",P563))))</f>
        <v/>
      </c>
      <c r="H563" s="15" t="str">
        <v/>
      </c>
      <c r="I563" s="15" t="str">
        <v/>
      </c>
      <c r="J563" s="15" t="str">
        <v/>
      </c>
      <c r="K563" s="15" t="str">
        <v/>
      </c>
      <c r="L563" s="15" t="str">
        <v/>
      </c>
      <c r="M563" s="10" t="str">
        <v/>
      </c>
      <c r="N563" s="14"/>
      <c r="O563" s="15" t="str" cm="1">
        <f t="array" ref="O563">IFERROR(_xlfn.LET(
_xlpm.clean,TRIM(SUBSTITUTE(SUBSTITUTE(P563,CHAR(160),"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3" s="15"/>
      <c r="R563" t="str">
        <v/>
      </c>
      <c r="S563" t="str">
        <f t="shared" si="9"/>
        <v/>
      </c>
    </row>
    <row r="564" spans="1:19" ht="12.75">
      <c r="A564" s="15" t="str">
        <v/>
      </c>
      <c r="B564" s="15" t="str">
        <v/>
      </c>
      <c r="C564" s="15" t="str" cm="1">
        <f t="array" ref="C564">IFERROR(_xlfn.TEXTJOIN("",TRUE,_xlfn._xlws.FILTER(MID(S564,_xlfn.SEQUENCE(LEN(S564)),1),ISNUMBER(SEARCH(MID(S564,_xlfn.SEQUENCE(LEN(S564)),1),"ABCDEFGHIJKLMNOPQRSTUVWXYZabcdefghijklmnopqrstuvwxyz0123456789,")))),"")</f>
        <v/>
      </c>
      <c r="D564" s="15" t="str">
        <v/>
      </c>
      <c r="E564" s="16" t="str">
        <v/>
      </c>
      <c r="F564" s="15" t="str">
        <v/>
      </c>
      <c r="G564" s="20" t="str" cm="1">
        <f t="array" ref="G564">IF(TRIM(P564)="","",IF(SUM(COUNTIF(P564,{"*NLGD*","*FWG*"}))&gt;0,P564,IF(SUM(COUNTIF(P564,{"*GL*","*DGB*","*DGI*","*GT*","*CS*","*PWU*","*DBI*","*SWU*"}))=0,P564,IF(IFERROR(VALUE(SUBSTITUTE(SUBSTITUTE(O564,"W",""),"""","")),0)&gt;52,P564&amp;"-OVRSIZE-",P564))))</f>
        <v/>
      </c>
      <c r="H564" s="15" t="str">
        <v/>
      </c>
      <c r="I564" s="15" t="str">
        <v/>
      </c>
      <c r="J564" s="15" t="str">
        <v/>
      </c>
      <c r="K564" s="15" t="str">
        <v/>
      </c>
      <c r="L564" s="15" t="str">
        <v/>
      </c>
      <c r="M564" s="10" t="str">
        <v/>
      </c>
      <c r="N564" s="14"/>
      <c r="O564" s="15" t="str" cm="1">
        <f t="array" ref="O564">IFERROR(_xlfn.LET(
_xlpm.clean,TRIM(SUBSTITUTE(SUBSTITUTE(P564,CHAR(160),"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4" s="15"/>
      <c r="R564" t="str">
        <v/>
      </c>
      <c r="S564" t="str">
        <f t="shared" si="9"/>
        <v/>
      </c>
    </row>
    <row r="565" spans="1:19" ht="12.75">
      <c r="A565" s="15" t="str">
        <v/>
      </c>
      <c r="B565" s="15" t="str">
        <v/>
      </c>
      <c r="C565" s="15" t="str" cm="1">
        <f t="array" ref="C565">IFERROR(_xlfn.TEXTJOIN("",TRUE,_xlfn._xlws.FILTER(MID(S565,_xlfn.SEQUENCE(LEN(S565)),1),ISNUMBER(SEARCH(MID(S565,_xlfn.SEQUENCE(LEN(S565)),1),"ABCDEFGHIJKLMNOPQRSTUVWXYZabcdefghijklmnopqrstuvwxyz0123456789,")))),"")</f>
        <v/>
      </c>
      <c r="D565" s="15" t="str">
        <v/>
      </c>
      <c r="E565" s="16" t="str">
        <v/>
      </c>
      <c r="F565" s="15" t="str">
        <v/>
      </c>
      <c r="G565" s="20" t="str" cm="1">
        <f t="array" ref="G565">IF(TRIM(P565)="","",IF(SUM(COUNTIF(P565,{"*NLGD*","*FWG*"}))&gt;0,P565,IF(SUM(COUNTIF(P565,{"*GL*","*DGB*","*DGI*","*GT*","*CS*","*PWU*","*DBI*","*SWU*"}))=0,P565,IF(IFERROR(VALUE(SUBSTITUTE(SUBSTITUTE(O565,"W",""),"""","")),0)&gt;52,P565&amp;"-OVRSIZE-",P565))))</f>
        <v/>
      </c>
      <c r="H565" s="15" t="str">
        <v/>
      </c>
      <c r="I565" s="15" t="str">
        <v/>
      </c>
      <c r="J565" s="15" t="str">
        <v/>
      </c>
      <c r="K565" s="15" t="str">
        <v/>
      </c>
      <c r="L565" s="15" t="str">
        <v/>
      </c>
      <c r="M565" s="10" t="str">
        <v/>
      </c>
      <c r="N565" s="14"/>
      <c r="O565" s="15" t="str" cm="1">
        <f t="array" ref="O565">IFERROR(_xlfn.LET(
_xlpm.clean,TRIM(SUBSTITUTE(SUBSTITUTE(P565,CHAR(160),"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5" s="15"/>
      <c r="R565" t="str">
        <v/>
      </c>
      <c r="S565" t="str">
        <f t="shared" si="9"/>
        <v/>
      </c>
    </row>
    <row r="566" spans="1:19" ht="12.75">
      <c r="A566" s="15" t="str">
        <v/>
      </c>
      <c r="B566" s="15" t="str">
        <v/>
      </c>
      <c r="C566" s="15" t="str" cm="1">
        <f t="array" ref="C566">IFERROR(_xlfn.TEXTJOIN("",TRUE,_xlfn._xlws.FILTER(MID(S566,_xlfn.SEQUENCE(LEN(S566)),1),ISNUMBER(SEARCH(MID(S566,_xlfn.SEQUENCE(LEN(S566)),1),"ABCDEFGHIJKLMNOPQRSTUVWXYZabcdefghijklmnopqrstuvwxyz0123456789,")))),"")</f>
        <v/>
      </c>
      <c r="D566" s="15" t="str">
        <v/>
      </c>
      <c r="E566" s="16" t="str">
        <v/>
      </c>
      <c r="F566" s="15" t="str">
        <v/>
      </c>
      <c r="G566" s="20" t="str" cm="1">
        <f t="array" ref="G566">IF(TRIM(P566)="","",IF(SUM(COUNTIF(P566,{"*NLGD*","*FWG*"}))&gt;0,P566,IF(SUM(COUNTIF(P566,{"*GL*","*DGB*","*DGI*","*GT*","*CS*","*PWU*","*DBI*","*SWU*"}))=0,P566,IF(IFERROR(VALUE(SUBSTITUTE(SUBSTITUTE(O566,"W",""),"""","")),0)&gt;52,P566&amp;"-OVRSIZE-",P566))))</f>
        <v/>
      </c>
      <c r="H566" s="15" t="str">
        <v/>
      </c>
      <c r="I566" s="15" t="str">
        <v/>
      </c>
      <c r="J566" s="15" t="str">
        <v/>
      </c>
      <c r="K566" s="15" t="str">
        <v/>
      </c>
      <c r="L566" s="15" t="str">
        <v/>
      </c>
      <c r="M566" s="10" t="str">
        <v/>
      </c>
      <c r="N566" s="14"/>
      <c r="O566" s="15" t="str" cm="1">
        <f t="array" ref="O566">IFERROR(_xlfn.LET(
_xlpm.clean,TRIM(SUBSTITUTE(SUBSTITUTE(P566,CHAR(160),"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6" s="15"/>
      <c r="R566" t="str">
        <v/>
      </c>
      <c r="S566" t="str">
        <f t="shared" si="9"/>
        <v/>
      </c>
    </row>
    <row r="567" spans="1:19" ht="12.75">
      <c r="A567" s="15" t="str">
        <v/>
      </c>
      <c r="B567" s="15" t="str">
        <v/>
      </c>
      <c r="C567" s="15" t="str" cm="1">
        <f t="array" ref="C567">IFERROR(_xlfn.TEXTJOIN("",TRUE,_xlfn._xlws.FILTER(MID(S567,_xlfn.SEQUENCE(LEN(S567)),1),ISNUMBER(SEARCH(MID(S567,_xlfn.SEQUENCE(LEN(S567)),1),"ABCDEFGHIJKLMNOPQRSTUVWXYZabcdefghijklmnopqrstuvwxyz0123456789,")))),"")</f>
        <v/>
      </c>
      <c r="D567" s="15" t="str">
        <v/>
      </c>
      <c r="E567" s="16" t="str">
        <v/>
      </c>
      <c r="F567" s="15" t="str">
        <v/>
      </c>
      <c r="G567" s="20" t="str" cm="1">
        <f t="array" ref="G567">IF(TRIM(P567)="","",IF(SUM(COUNTIF(P567,{"*NLGD*","*FWG*"}))&gt;0,P567,IF(SUM(COUNTIF(P567,{"*GL*","*DGB*","*DGI*","*GT*","*CS*","*PWU*","*DBI*","*SWU*"}))=0,P567,IF(IFERROR(VALUE(SUBSTITUTE(SUBSTITUTE(O567,"W",""),"""","")),0)&gt;52,P567&amp;"-OVRSIZE-",P567))))</f>
        <v/>
      </c>
      <c r="H567" s="15" t="str">
        <v/>
      </c>
      <c r="I567" s="15" t="str">
        <v/>
      </c>
      <c r="J567" s="15" t="str">
        <v/>
      </c>
      <c r="K567" s="15" t="str">
        <v/>
      </c>
      <c r="L567" s="15" t="str">
        <v/>
      </c>
      <c r="M567" s="10" t="str">
        <v/>
      </c>
      <c r="N567" s="14"/>
      <c r="O567" s="15" t="str" cm="1">
        <f t="array" ref="O567">IFERROR(_xlfn.LET(
_xlpm.clean,TRIM(SUBSTITUTE(SUBSTITUTE(P567,CHAR(160),"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7" s="15"/>
      <c r="R567" t="str">
        <v/>
      </c>
      <c r="S567" t="str">
        <f t="shared" si="9"/>
        <v/>
      </c>
    </row>
    <row r="568" spans="1:19" ht="12.75">
      <c r="A568" s="15" t="str">
        <v/>
      </c>
      <c r="B568" s="15" t="str">
        <v/>
      </c>
      <c r="C568" s="15" t="str" cm="1">
        <f t="array" ref="C568">IFERROR(_xlfn.TEXTJOIN("",TRUE,_xlfn._xlws.FILTER(MID(S568,_xlfn.SEQUENCE(LEN(S568)),1),ISNUMBER(SEARCH(MID(S568,_xlfn.SEQUENCE(LEN(S568)),1),"ABCDEFGHIJKLMNOPQRSTUVWXYZabcdefghijklmnopqrstuvwxyz0123456789,")))),"")</f>
        <v/>
      </c>
      <c r="D568" s="15" t="str">
        <v/>
      </c>
      <c r="E568" s="16" t="str">
        <v/>
      </c>
      <c r="F568" s="15" t="str">
        <v/>
      </c>
      <c r="G568" s="20" t="str" cm="1">
        <f t="array" ref="G568">IF(TRIM(P568)="","",IF(SUM(COUNTIF(P568,{"*NLGD*","*FWG*"}))&gt;0,P568,IF(SUM(COUNTIF(P568,{"*GL*","*DGB*","*DGI*","*GT*","*CS*","*PWU*","*DBI*","*SWU*"}))=0,P568,IF(IFERROR(VALUE(SUBSTITUTE(SUBSTITUTE(O568,"W",""),"""","")),0)&gt;52,P568&amp;"-OVRSIZE-",P568))))</f>
        <v/>
      </c>
      <c r="H568" s="15" t="str">
        <v/>
      </c>
      <c r="I568" s="15" t="str">
        <v/>
      </c>
      <c r="J568" s="15" t="str">
        <v/>
      </c>
      <c r="K568" s="15" t="str">
        <v/>
      </c>
      <c r="L568" s="15" t="str">
        <v/>
      </c>
      <c r="M568" s="10" t="str">
        <v/>
      </c>
      <c r="N568" s="14"/>
      <c r="O568" s="15" t="str" cm="1">
        <f t="array" ref="O568">IFERROR(_xlfn.LET(
_xlpm.clean,TRIM(SUBSTITUTE(SUBSTITUTE(P568,CHAR(160),"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8" s="15"/>
      <c r="R568" t="str">
        <v/>
      </c>
      <c r="S568" t="str">
        <f t="shared" si="9"/>
        <v/>
      </c>
    </row>
    <row r="569" spans="1:19" ht="12.75">
      <c r="A569" s="15" t="str">
        <v/>
      </c>
      <c r="B569" s="15" t="str">
        <v/>
      </c>
      <c r="C569" s="15" t="str" cm="1">
        <f t="array" ref="C569">IFERROR(_xlfn.TEXTJOIN("",TRUE,_xlfn._xlws.FILTER(MID(S569,_xlfn.SEQUENCE(LEN(S569)),1),ISNUMBER(SEARCH(MID(S569,_xlfn.SEQUENCE(LEN(S569)),1),"ABCDEFGHIJKLMNOPQRSTUVWXYZabcdefghijklmnopqrstuvwxyz0123456789,")))),"")</f>
        <v/>
      </c>
      <c r="D569" s="15" t="str">
        <v/>
      </c>
      <c r="E569" s="16" t="str">
        <v/>
      </c>
      <c r="F569" s="15" t="str">
        <v/>
      </c>
      <c r="G569" s="20" t="str" cm="1">
        <f t="array" ref="G569">IF(TRIM(P569)="","",IF(SUM(COUNTIF(P569,{"*NLGD*","*FWG*"}))&gt;0,P569,IF(SUM(COUNTIF(P569,{"*GL*","*DGB*","*DGI*","*GT*","*CS*","*PWU*","*DBI*","*SWU*"}))=0,P569,IF(IFERROR(VALUE(SUBSTITUTE(SUBSTITUTE(O569,"W",""),"""","")),0)&gt;52,P569&amp;"-OVRSIZE-",P569))))</f>
        <v/>
      </c>
      <c r="H569" s="15" t="str">
        <v/>
      </c>
      <c r="I569" s="15" t="str">
        <v/>
      </c>
      <c r="J569" s="15" t="str">
        <v/>
      </c>
      <c r="K569" s="15" t="str">
        <v/>
      </c>
      <c r="L569" s="15" t="str">
        <v/>
      </c>
      <c r="M569" s="10" t="str">
        <v/>
      </c>
      <c r="N569" s="14"/>
      <c r="O569" s="15" t="str" cm="1">
        <f t="array" ref="O569">IFERROR(_xlfn.LET(
_xlpm.clean,TRIM(SUBSTITUTE(SUBSTITUTE(P569,CHAR(160),"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9" s="15"/>
      <c r="R569" t="str">
        <v/>
      </c>
      <c r="S569" t="str">
        <f t="shared" si="9"/>
        <v/>
      </c>
    </row>
    <row r="570" spans="1:19" ht="12.75">
      <c r="A570" s="15" t="str">
        <v/>
      </c>
      <c r="B570" s="15" t="str">
        <v/>
      </c>
      <c r="C570" s="15" t="str" cm="1">
        <f t="array" ref="C570">IFERROR(_xlfn.TEXTJOIN("",TRUE,_xlfn._xlws.FILTER(MID(S570,_xlfn.SEQUENCE(LEN(S570)),1),ISNUMBER(SEARCH(MID(S570,_xlfn.SEQUENCE(LEN(S570)),1),"ABCDEFGHIJKLMNOPQRSTUVWXYZabcdefghijklmnopqrstuvwxyz0123456789,")))),"")</f>
        <v/>
      </c>
      <c r="D570" s="15" t="str">
        <v/>
      </c>
      <c r="E570" s="16" t="str">
        <v/>
      </c>
      <c r="F570" s="15" t="str">
        <v/>
      </c>
      <c r="G570" s="20" t="str" cm="1">
        <f t="array" ref="G570">IF(TRIM(P570)="","",IF(SUM(COUNTIF(P570,{"*NLGD*","*FWG*"}))&gt;0,P570,IF(SUM(COUNTIF(P570,{"*GL*","*DGB*","*DGI*","*GT*","*CS*","*PWU*","*DBI*","*SWU*"}))=0,P570,IF(IFERROR(VALUE(SUBSTITUTE(SUBSTITUTE(O570,"W",""),"""","")),0)&gt;52,P570&amp;"-OVRSIZE-",P570))))</f>
        <v/>
      </c>
      <c r="H570" s="15" t="str">
        <v/>
      </c>
      <c r="I570" s="15" t="str">
        <v/>
      </c>
      <c r="J570" s="15" t="str">
        <v/>
      </c>
      <c r="K570" s="15" t="str">
        <v/>
      </c>
      <c r="L570" s="15" t="str">
        <v/>
      </c>
      <c r="M570" s="10" t="str">
        <v/>
      </c>
      <c r="N570" s="14"/>
      <c r="O570" s="15" t="str" cm="1">
        <f t="array" ref="O570">IFERROR(_xlfn.LET(
_xlpm.clean,TRIM(SUBSTITUTE(SUBSTITUTE(P570,CHAR(160),"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0" s="15"/>
      <c r="R570" t="str">
        <v/>
      </c>
      <c r="S570" t="str">
        <f t="shared" si="9"/>
        <v/>
      </c>
    </row>
    <row r="571" spans="1:19" ht="12.75">
      <c r="A571" s="15" t="str">
        <v/>
      </c>
      <c r="B571" s="15" t="str">
        <v/>
      </c>
      <c r="C571" s="15" t="str" cm="1">
        <f t="array" ref="C571">IFERROR(_xlfn.TEXTJOIN("",TRUE,_xlfn._xlws.FILTER(MID(S571,_xlfn.SEQUENCE(LEN(S571)),1),ISNUMBER(SEARCH(MID(S571,_xlfn.SEQUENCE(LEN(S571)),1),"ABCDEFGHIJKLMNOPQRSTUVWXYZabcdefghijklmnopqrstuvwxyz0123456789,")))),"")</f>
        <v/>
      </c>
      <c r="D571" s="15" t="str">
        <v/>
      </c>
      <c r="E571" s="16" t="str">
        <v/>
      </c>
      <c r="F571" s="15" t="str">
        <v/>
      </c>
      <c r="G571" s="20" t="str" cm="1">
        <f t="array" ref="G571">IF(TRIM(P571)="","",IF(SUM(COUNTIF(P571,{"*NLGD*","*FWG*"}))&gt;0,P571,IF(SUM(COUNTIF(P571,{"*GL*","*DGB*","*DGI*","*GT*","*CS*","*PWU*","*DBI*","*SWU*"}))=0,P571,IF(IFERROR(VALUE(SUBSTITUTE(SUBSTITUTE(O571,"W",""),"""","")),0)&gt;52,P571&amp;"-OVRSIZE-",P571))))</f>
        <v/>
      </c>
      <c r="H571" s="15" t="str">
        <v/>
      </c>
      <c r="I571" s="15" t="str">
        <v/>
      </c>
      <c r="J571" s="15" t="str">
        <v/>
      </c>
      <c r="K571" s="15" t="str">
        <v/>
      </c>
      <c r="L571" s="15" t="str">
        <v/>
      </c>
      <c r="M571" s="10" t="str">
        <v/>
      </c>
      <c r="N571" s="14"/>
      <c r="O571" s="15" t="str" cm="1">
        <f t="array" ref="O571">IFERROR(_xlfn.LET(
_xlpm.clean,TRIM(SUBSTITUTE(SUBSTITUTE(P571,CHAR(160),"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1" s="15"/>
      <c r="R571" t="str">
        <v/>
      </c>
      <c r="S571" t="str">
        <f t="shared" si="9"/>
        <v/>
      </c>
    </row>
    <row r="572" spans="1:19" ht="12.75">
      <c r="A572" s="15" t="str">
        <v/>
      </c>
      <c r="B572" s="15" t="str">
        <v/>
      </c>
      <c r="C572" s="15" t="str" cm="1">
        <f t="array" ref="C572">IFERROR(_xlfn.TEXTJOIN("",TRUE,_xlfn._xlws.FILTER(MID(S572,_xlfn.SEQUENCE(LEN(S572)),1),ISNUMBER(SEARCH(MID(S572,_xlfn.SEQUENCE(LEN(S572)),1),"ABCDEFGHIJKLMNOPQRSTUVWXYZabcdefghijklmnopqrstuvwxyz0123456789,")))),"")</f>
        <v/>
      </c>
      <c r="D572" s="15" t="str">
        <v/>
      </c>
      <c r="E572" s="16" t="str">
        <v/>
      </c>
      <c r="F572" s="15" t="str">
        <v/>
      </c>
      <c r="G572" s="20" t="str" cm="1">
        <f t="array" ref="G572">IF(TRIM(P572)="","",IF(SUM(COUNTIF(P572,{"*NLGD*","*FWG*"}))&gt;0,P572,IF(SUM(COUNTIF(P572,{"*GL*","*DGB*","*DGI*","*GT*","*CS*","*PWU*","*DBI*","*SWU*"}))=0,P572,IF(IFERROR(VALUE(SUBSTITUTE(SUBSTITUTE(O572,"W",""),"""","")),0)&gt;52,P572&amp;"-OVRSIZE-",P572))))</f>
        <v/>
      </c>
      <c r="H572" s="15" t="str">
        <v/>
      </c>
      <c r="I572" s="15" t="str">
        <v/>
      </c>
      <c r="J572" s="15" t="str">
        <v/>
      </c>
      <c r="K572" s="15" t="str">
        <v/>
      </c>
      <c r="L572" s="15" t="str">
        <v/>
      </c>
      <c r="M572" s="10" t="str">
        <v/>
      </c>
      <c r="N572" s="14"/>
      <c r="O572" s="15" t="str" cm="1">
        <f t="array" ref="O572">IFERROR(_xlfn.LET(
_xlpm.clean,TRIM(SUBSTITUTE(SUBSTITUTE(P572,CHAR(160),"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2" s="15"/>
      <c r="R572" t="str">
        <v/>
      </c>
      <c r="S572" t="str">
        <f t="shared" si="9"/>
        <v/>
      </c>
    </row>
    <row r="573" spans="1:19" ht="12.75">
      <c r="A573" s="15" t="str">
        <v/>
      </c>
      <c r="B573" s="15" t="str">
        <v/>
      </c>
      <c r="C573" s="15" t="str" cm="1">
        <f t="array" ref="C573">IFERROR(_xlfn.TEXTJOIN("",TRUE,_xlfn._xlws.FILTER(MID(S573,_xlfn.SEQUENCE(LEN(S573)),1),ISNUMBER(SEARCH(MID(S573,_xlfn.SEQUENCE(LEN(S573)),1),"ABCDEFGHIJKLMNOPQRSTUVWXYZabcdefghijklmnopqrstuvwxyz0123456789,")))),"")</f>
        <v/>
      </c>
      <c r="D573" s="15" t="str">
        <v/>
      </c>
      <c r="E573" s="16" t="str">
        <v/>
      </c>
      <c r="F573" s="15" t="str">
        <v/>
      </c>
      <c r="G573" s="20" t="str" cm="1">
        <f t="array" ref="G573">IF(TRIM(P573)="","",IF(SUM(COUNTIF(P573,{"*NLGD*","*FWG*"}))&gt;0,P573,IF(SUM(COUNTIF(P573,{"*GL*","*DGB*","*DGI*","*GT*","*CS*","*PWU*","*DBI*","*SWU*"}))=0,P573,IF(IFERROR(VALUE(SUBSTITUTE(SUBSTITUTE(O573,"W",""),"""","")),0)&gt;52,P573&amp;"-OVRSIZE-",P573))))</f>
        <v/>
      </c>
      <c r="H573" s="15" t="str">
        <v/>
      </c>
      <c r="I573" s="15" t="str">
        <v/>
      </c>
      <c r="J573" s="15" t="str">
        <v/>
      </c>
      <c r="K573" s="15" t="str">
        <v/>
      </c>
      <c r="L573" s="15" t="str">
        <v/>
      </c>
      <c r="M573" s="10" t="str">
        <v/>
      </c>
      <c r="N573" s="14"/>
      <c r="O573" s="15" t="str" cm="1">
        <f t="array" ref="O573">IFERROR(_xlfn.LET(
_xlpm.clean,TRIM(SUBSTITUTE(SUBSTITUTE(P573,CHAR(160),"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3" s="15"/>
      <c r="R573" t="str">
        <v/>
      </c>
      <c r="S573" t="str">
        <f t="shared" si="9"/>
        <v/>
      </c>
    </row>
    <row r="574" spans="1:19" ht="12.75">
      <c r="A574" s="15" t="str">
        <v/>
      </c>
      <c r="B574" s="15" t="str">
        <v/>
      </c>
      <c r="C574" s="15" t="str" cm="1">
        <f t="array" ref="C574">IFERROR(_xlfn.TEXTJOIN("",TRUE,_xlfn._xlws.FILTER(MID(S574,_xlfn.SEQUENCE(LEN(S574)),1),ISNUMBER(SEARCH(MID(S574,_xlfn.SEQUENCE(LEN(S574)),1),"ABCDEFGHIJKLMNOPQRSTUVWXYZabcdefghijklmnopqrstuvwxyz0123456789,")))),"")</f>
        <v/>
      </c>
      <c r="D574" s="15" t="str">
        <v/>
      </c>
      <c r="E574" s="16" t="str">
        <v/>
      </c>
      <c r="F574" s="15" t="str">
        <v/>
      </c>
      <c r="G574" s="20" t="str" cm="1">
        <f t="array" ref="G574">IF(TRIM(P574)="","",IF(SUM(COUNTIF(P574,{"*NLGD*","*FWG*"}))&gt;0,P574,IF(SUM(COUNTIF(P574,{"*GL*","*DGB*","*DGI*","*GT*","*CS*","*PWU*","*DBI*","*SWU*"}))=0,P574,IF(IFERROR(VALUE(SUBSTITUTE(SUBSTITUTE(O574,"W",""),"""","")),0)&gt;52,P574&amp;"-OVRSIZE-",P574))))</f>
        <v/>
      </c>
      <c r="H574" s="15" t="str">
        <v/>
      </c>
      <c r="I574" s="15" t="str">
        <v/>
      </c>
      <c r="J574" s="15" t="str">
        <v/>
      </c>
      <c r="K574" s="15" t="str">
        <v/>
      </c>
      <c r="L574" s="15" t="str">
        <v/>
      </c>
      <c r="M574" s="10" t="str">
        <v/>
      </c>
      <c r="N574" s="14"/>
      <c r="O574" s="15" t="str" cm="1">
        <f t="array" ref="O574">IFERROR(_xlfn.LET(
_xlpm.clean,TRIM(SUBSTITUTE(SUBSTITUTE(P574,CHAR(160),"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4" s="15"/>
      <c r="R574" t="str">
        <v/>
      </c>
      <c r="S574" t="str">
        <f t="shared" si="9"/>
        <v/>
      </c>
    </row>
    <row r="575" spans="1:19" ht="12.75">
      <c r="A575" s="15" t="str">
        <v/>
      </c>
      <c r="B575" s="15" t="str">
        <v/>
      </c>
      <c r="C575" s="15" t="str" cm="1">
        <f t="array" ref="C575">IFERROR(_xlfn.TEXTJOIN("",TRUE,_xlfn._xlws.FILTER(MID(S575,_xlfn.SEQUENCE(LEN(S575)),1),ISNUMBER(SEARCH(MID(S575,_xlfn.SEQUENCE(LEN(S575)),1),"ABCDEFGHIJKLMNOPQRSTUVWXYZabcdefghijklmnopqrstuvwxyz0123456789,")))),"")</f>
        <v/>
      </c>
      <c r="D575" s="15" t="str">
        <v/>
      </c>
      <c r="E575" s="16" t="str">
        <v/>
      </c>
      <c r="F575" s="15" t="str">
        <v/>
      </c>
      <c r="G575" s="20" t="str" cm="1">
        <f t="array" ref="G575">IF(TRIM(P575)="","",IF(SUM(COUNTIF(P575,{"*NLGD*","*FWG*"}))&gt;0,P575,IF(SUM(COUNTIF(P575,{"*GL*","*DGB*","*DGI*","*GT*","*CS*","*PWU*","*DBI*","*SWU*"}))=0,P575,IF(IFERROR(VALUE(SUBSTITUTE(SUBSTITUTE(O575,"W",""),"""","")),0)&gt;52,P575&amp;"-OVRSIZE-",P575))))</f>
        <v/>
      </c>
      <c r="H575" s="15" t="str">
        <v/>
      </c>
      <c r="I575" s="15" t="str">
        <v/>
      </c>
      <c r="J575" s="15" t="str">
        <v/>
      </c>
      <c r="K575" s="15" t="str">
        <v/>
      </c>
      <c r="L575" s="15" t="str">
        <v/>
      </c>
      <c r="M575" s="10" t="str">
        <v/>
      </c>
      <c r="N575" s="14"/>
      <c r="O575" s="15" t="str" cm="1">
        <f t="array" ref="O575">IFERROR(_xlfn.LET(
_xlpm.clean,TRIM(SUBSTITUTE(SUBSTITUTE(P575,CHAR(160),"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5" s="15"/>
      <c r="R575" t="str">
        <v/>
      </c>
      <c r="S575" t="str">
        <f t="shared" si="9"/>
        <v/>
      </c>
    </row>
    <row r="576" spans="1:19" ht="12.75">
      <c r="A576" s="15" t="str">
        <v/>
      </c>
      <c r="B576" s="15" t="str">
        <v/>
      </c>
      <c r="C576" s="15" t="str" cm="1">
        <f t="array" ref="C576">IFERROR(_xlfn.TEXTJOIN("",TRUE,_xlfn._xlws.FILTER(MID(S576,_xlfn.SEQUENCE(LEN(S576)),1),ISNUMBER(SEARCH(MID(S576,_xlfn.SEQUENCE(LEN(S576)),1),"ABCDEFGHIJKLMNOPQRSTUVWXYZabcdefghijklmnopqrstuvwxyz0123456789,")))),"")</f>
        <v/>
      </c>
      <c r="D576" s="15" t="str">
        <v/>
      </c>
      <c r="E576" s="16" t="str">
        <v/>
      </c>
      <c r="F576" s="15" t="str">
        <v/>
      </c>
      <c r="G576" s="20" t="str" cm="1">
        <f t="array" ref="G576">IF(TRIM(P576)="","",IF(SUM(COUNTIF(P576,{"*NLGD*","*FWG*"}))&gt;0,P576,IF(SUM(COUNTIF(P576,{"*GL*","*DGB*","*DGI*","*GT*","*CS*","*PWU*","*DBI*","*SWU*"}))=0,P576,IF(IFERROR(VALUE(SUBSTITUTE(SUBSTITUTE(O576,"W",""),"""","")),0)&gt;52,P576&amp;"-OVRSIZE-",P576))))</f>
        <v/>
      </c>
      <c r="H576" s="15" t="str">
        <v/>
      </c>
      <c r="I576" s="15" t="str">
        <v/>
      </c>
      <c r="J576" s="15" t="str">
        <v/>
      </c>
      <c r="K576" s="15" t="str">
        <v/>
      </c>
      <c r="L576" s="15" t="str">
        <v/>
      </c>
      <c r="M576" s="10" t="str">
        <v/>
      </c>
      <c r="N576" s="14"/>
      <c r="O576" s="15" t="str" cm="1">
        <f t="array" ref="O576">IFERROR(_xlfn.LET(
_xlpm.clean,TRIM(SUBSTITUTE(SUBSTITUTE(P576,CHAR(160),"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6" s="15"/>
      <c r="R576" t="str">
        <v/>
      </c>
      <c r="S576" t="str">
        <f t="shared" si="9"/>
        <v/>
      </c>
    </row>
    <row r="577" spans="1:19" ht="12.75">
      <c r="A577" s="15" t="str">
        <v/>
      </c>
      <c r="B577" s="15" t="str">
        <v/>
      </c>
      <c r="C577" s="15" t="str" cm="1">
        <f t="array" ref="C577">IFERROR(_xlfn.TEXTJOIN("",TRUE,_xlfn._xlws.FILTER(MID(S577,_xlfn.SEQUENCE(LEN(S577)),1),ISNUMBER(SEARCH(MID(S577,_xlfn.SEQUENCE(LEN(S577)),1),"ABCDEFGHIJKLMNOPQRSTUVWXYZabcdefghijklmnopqrstuvwxyz0123456789,")))),"")</f>
        <v/>
      </c>
      <c r="D577" s="15" t="str">
        <v/>
      </c>
      <c r="E577" s="16" t="str">
        <v/>
      </c>
      <c r="F577" s="15" t="str">
        <v/>
      </c>
      <c r="G577" s="20" t="str" cm="1">
        <f t="array" ref="G577">IF(TRIM(P577)="","",IF(SUM(COUNTIF(P577,{"*NLGD*","*FWG*"}))&gt;0,P577,IF(SUM(COUNTIF(P577,{"*GL*","*DGB*","*DGI*","*GT*","*CS*","*PWU*","*DBI*","*SWU*"}))=0,P577,IF(IFERROR(VALUE(SUBSTITUTE(SUBSTITUTE(O577,"W",""),"""","")),0)&gt;52,P577&amp;"-OVRSIZE-",P577))))</f>
        <v/>
      </c>
      <c r="H577" s="15" t="str">
        <v/>
      </c>
      <c r="I577" s="15" t="str">
        <v/>
      </c>
      <c r="J577" s="15" t="str">
        <v/>
      </c>
      <c r="K577" s="15" t="str">
        <v/>
      </c>
      <c r="L577" s="15" t="str">
        <v/>
      </c>
      <c r="M577" s="10" t="str">
        <v/>
      </c>
      <c r="N577" s="14"/>
      <c r="O577" s="15" t="str" cm="1">
        <f t="array" ref="O577">IFERROR(_xlfn.LET(
_xlpm.clean,TRIM(SUBSTITUTE(SUBSTITUTE(P577,CHAR(160),"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7" s="15"/>
      <c r="R577" t="str">
        <v/>
      </c>
      <c r="S577" t="str">
        <f t="shared" si="9"/>
        <v/>
      </c>
    </row>
    <row r="578" spans="1:19" ht="12.75">
      <c r="A578" s="15" t="str">
        <v/>
      </c>
      <c r="B578" s="15" t="str">
        <v/>
      </c>
      <c r="C578" s="15" t="str" cm="1">
        <f t="array" ref="C578">IFERROR(_xlfn.TEXTJOIN("",TRUE,_xlfn._xlws.FILTER(MID(S578,_xlfn.SEQUENCE(LEN(S578)),1),ISNUMBER(SEARCH(MID(S578,_xlfn.SEQUENCE(LEN(S578)),1),"ABCDEFGHIJKLMNOPQRSTUVWXYZabcdefghijklmnopqrstuvwxyz0123456789,")))),"")</f>
        <v/>
      </c>
      <c r="D578" s="15" t="str">
        <v/>
      </c>
      <c r="E578" s="16" t="str">
        <v/>
      </c>
      <c r="F578" s="15" t="str">
        <v/>
      </c>
      <c r="G578" s="20" t="str" cm="1">
        <f t="array" ref="G578">IF(TRIM(P578)="","",IF(SUM(COUNTIF(P578,{"*NLGD*","*FWG*"}))&gt;0,P578,IF(SUM(COUNTIF(P578,{"*GL*","*DGB*","*DGI*","*GT*","*CS*","*PWU*","*DBI*","*SWU*"}))=0,P578,IF(IFERROR(VALUE(SUBSTITUTE(SUBSTITUTE(O578,"W",""),"""","")),0)&gt;52,P578&amp;"-OVRSIZE-",P578))))</f>
        <v/>
      </c>
      <c r="H578" s="15" t="str">
        <v/>
      </c>
      <c r="I578" s="15" t="str">
        <v/>
      </c>
      <c r="J578" s="15" t="str">
        <v/>
      </c>
      <c r="K578" s="15" t="str">
        <v/>
      </c>
      <c r="L578" s="15" t="str">
        <v/>
      </c>
      <c r="M578" s="10" t="str">
        <v/>
      </c>
      <c r="N578" s="14"/>
      <c r="O578" s="15" t="str" cm="1">
        <f t="array" ref="O578">IFERROR(_xlfn.LET(
_xlpm.clean,TRIM(SUBSTITUTE(SUBSTITUTE(P578,CHAR(160),"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8" s="15"/>
      <c r="R578" t="str">
        <v/>
      </c>
      <c r="S578" t="str">
        <f t="shared" si="9"/>
        <v/>
      </c>
    </row>
    <row r="579" spans="1:19" ht="12.75">
      <c r="A579" s="15" t="str">
        <v/>
      </c>
      <c r="B579" s="15" t="str">
        <v/>
      </c>
      <c r="C579" s="15" t="str" cm="1">
        <f t="array" ref="C579">IFERROR(_xlfn.TEXTJOIN("",TRUE,_xlfn._xlws.FILTER(MID(S579,_xlfn.SEQUENCE(LEN(S579)),1),ISNUMBER(SEARCH(MID(S579,_xlfn.SEQUENCE(LEN(S579)),1),"ABCDEFGHIJKLMNOPQRSTUVWXYZabcdefghijklmnopqrstuvwxyz0123456789,")))),"")</f>
        <v/>
      </c>
      <c r="D579" s="15" t="str">
        <v/>
      </c>
      <c r="E579" s="16" t="str">
        <v/>
      </c>
      <c r="F579" s="15" t="str">
        <v/>
      </c>
      <c r="G579" s="20" t="str" cm="1">
        <f t="array" ref="G579">IF(TRIM(P579)="","",IF(SUM(COUNTIF(P579,{"*NLGD*","*FWG*"}))&gt;0,P579,IF(SUM(COUNTIF(P579,{"*GL*","*DGB*","*DGI*","*GT*","*CS*","*PWU*","*DBI*","*SWU*"}))=0,P579,IF(IFERROR(VALUE(SUBSTITUTE(SUBSTITUTE(O579,"W",""),"""","")),0)&gt;52,P579&amp;"-OVRSIZE-",P579))))</f>
        <v/>
      </c>
      <c r="H579" s="15" t="str">
        <v/>
      </c>
      <c r="I579" s="15" t="str">
        <v/>
      </c>
      <c r="J579" s="15" t="str">
        <v/>
      </c>
      <c r="K579" s="15" t="str">
        <v/>
      </c>
      <c r="L579" s="15" t="str">
        <v/>
      </c>
      <c r="M579" s="10" t="str">
        <v/>
      </c>
      <c r="N579" s="14"/>
      <c r="O579" s="15" t="str" cm="1">
        <f t="array" ref="O579">IFERROR(_xlfn.LET(
_xlpm.clean,TRIM(SUBSTITUTE(SUBSTITUTE(P579,CHAR(160),"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9" s="15"/>
      <c r="R579" t="str">
        <v/>
      </c>
      <c r="S579" t="str">
        <f t="shared" si="9"/>
        <v/>
      </c>
    </row>
    <row r="580" spans="1:19" ht="12.75">
      <c r="A580" s="15" t="str">
        <v/>
      </c>
      <c r="B580" s="15" t="str">
        <v/>
      </c>
      <c r="C580" s="15" t="str" cm="1">
        <f t="array" ref="C580">IFERROR(_xlfn.TEXTJOIN("",TRUE,_xlfn._xlws.FILTER(MID(S580,_xlfn.SEQUENCE(LEN(S580)),1),ISNUMBER(SEARCH(MID(S580,_xlfn.SEQUENCE(LEN(S580)),1),"ABCDEFGHIJKLMNOPQRSTUVWXYZabcdefghijklmnopqrstuvwxyz0123456789,")))),"")</f>
        <v/>
      </c>
      <c r="D580" s="15" t="str">
        <v/>
      </c>
      <c r="E580" s="16" t="str">
        <v/>
      </c>
      <c r="F580" s="15" t="str">
        <v/>
      </c>
      <c r="G580" s="20" t="str" cm="1">
        <f t="array" ref="G580">IF(TRIM(P580)="","",IF(SUM(COUNTIF(P580,{"*NLGD*","*FWG*"}))&gt;0,P580,IF(SUM(COUNTIF(P580,{"*GL*","*DGB*","*DGI*","*GT*","*CS*","*PWU*","*DBI*","*SWU*"}))=0,P580,IF(IFERROR(VALUE(SUBSTITUTE(SUBSTITUTE(O580,"W",""),"""","")),0)&gt;52,P580&amp;"-OVRSIZE-",P580))))</f>
        <v/>
      </c>
      <c r="H580" s="15" t="str">
        <v/>
      </c>
      <c r="I580" s="15" t="str">
        <v/>
      </c>
      <c r="J580" s="15" t="str">
        <v/>
      </c>
      <c r="K580" s="15" t="str">
        <v/>
      </c>
      <c r="L580" s="15" t="str">
        <v/>
      </c>
      <c r="M580" s="10" t="str">
        <v/>
      </c>
      <c r="N580" s="14"/>
      <c r="O580" s="15" t="str" cm="1">
        <f t="array" ref="O580">IFERROR(_xlfn.LET(
_xlpm.clean,TRIM(SUBSTITUTE(SUBSTITUTE(P580,CHAR(160),"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0" s="15"/>
      <c r="R580" t="str">
        <v/>
      </c>
      <c r="S580" t="str">
        <f t="shared" si="9"/>
        <v/>
      </c>
    </row>
    <row r="581" spans="1:19" ht="12.75">
      <c r="A581" s="15" t="str">
        <v/>
      </c>
      <c r="B581" s="15" t="str">
        <v/>
      </c>
      <c r="C581" s="15" t="str" cm="1">
        <f t="array" ref="C581">IFERROR(_xlfn.TEXTJOIN("",TRUE,_xlfn._xlws.FILTER(MID(S581,_xlfn.SEQUENCE(LEN(S581)),1),ISNUMBER(SEARCH(MID(S581,_xlfn.SEQUENCE(LEN(S581)),1),"ABCDEFGHIJKLMNOPQRSTUVWXYZabcdefghijklmnopqrstuvwxyz0123456789,")))),"")</f>
        <v/>
      </c>
      <c r="D581" s="15" t="str">
        <v/>
      </c>
      <c r="E581" s="16" t="str">
        <v/>
      </c>
      <c r="F581" s="15" t="str">
        <v/>
      </c>
      <c r="G581" s="20" t="str" cm="1">
        <f t="array" ref="G581">IF(TRIM(P581)="","",IF(SUM(COUNTIF(P581,{"*NLGD*","*FWG*"}))&gt;0,P581,IF(SUM(COUNTIF(P581,{"*GL*","*DGB*","*DGI*","*GT*","*CS*","*PWU*","*DBI*","*SWU*"}))=0,P581,IF(IFERROR(VALUE(SUBSTITUTE(SUBSTITUTE(O581,"W",""),"""","")),0)&gt;52,P581&amp;"-OVRSIZE-",P581))))</f>
        <v/>
      </c>
      <c r="H581" s="15" t="str">
        <v/>
      </c>
      <c r="I581" s="15" t="str">
        <v/>
      </c>
      <c r="J581" s="15" t="str">
        <v/>
      </c>
      <c r="K581" s="15" t="str">
        <v/>
      </c>
      <c r="L581" s="15" t="str">
        <v/>
      </c>
      <c r="M581" s="10" t="str">
        <v/>
      </c>
      <c r="N581" s="14"/>
      <c r="O581" s="15" t="str" cm="1">
        <f t="array" ref="O581">IFERROR(_xlfn.LET(
_xlpm.clean,TRIM(SUBSTITUTE(SUBSTITUTE(P581,CHAR(160),"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1" s="15"/>
      <c r="R581" t="str">
        <v/>
      </c>
      <c r="S581" t="str">
        <f t="shared" si="9"/>
        <v/>
      </c>
    </row>
    <row r="582" spans="1:19" ht="12.75">
      <c r="A582" s="15" t="str">
        <v/>
      </c>
      <c r="B582" s="15" t="str">
        <v/>
      </c>
      <c r="C582" s="15" t="str" cm="1">
        <f t="array" ref="C582">IFERROR(_xlfn.TEXTJOIN("",TRUE,_xlfn._xlws.FILTER(MID(S582,_xlfn.SEQUENCE(LEN(S582)),1),ISNUMBER(SEARCH(MID(S582,_xlfn.SEQUENCE(LEN(S582)),1),"ABCDEFGHIJKLMNOPQRSTUVWXYZabcdefghijklmnopqrstuvwxyz0123456789,")))),"")</f>
        <v/>
      </c>
      <c r="D582" s="15" t="str">
        <v/>
      </c>
      <c r="E582" s="16" t="str">
        <v/>
      </c>
      <c r="F582" s="15" t="str">
        <v/>
      </c>
      <c r="G582" s="20" t="str" cm="1">
        <f t="array" ref="G582">IF(TRIM(P582)="","",IF(SUM(COUNTIF(P582,{"*NLGD*","*FWG*"}))&gt;0,P582,IF(SUM(COUNTIF(P582,{"*GL*","*DGB*","*DGI*","*GT*","*CS*","*PWU*","*DBI*","*SWU*"}))=0,P582,IF(IFERROR(VALUE(SUBSTITUTE(SUBSTITUTE(O582,"W",""),"""","")),0)&gt;52,P582&amp;"-OVRSIZE-",P582))))</f>
        <v/>
      </c>
      <c r="H582" s="15" t="str">
        <v/>
      </c>
      <c r="I582" s="15" t="str">
        <v/>
      </c>
      <c r="J582" s="15" t="str">
        <v/>
      </c>
      <c r="K582" s="15" t="str">
        <v/>
      </c>
      <c r="L582" s="15" t="str">
        <v/>
      </c>
      <c r="M582" s="10" t="str">
        <v/>
      </c>
      <c r="N582" s="14"/>
      <c r="O582" s="15" t="str" cm="1">
        <f t="array" ref="O582">IFERROR(_xlfn.LET(
_xlpm.clean,TRIM(SUBSTITUTE(SUBSTITUTE(P582,CHAR(160),"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2" s="15"/>
      <c r="R582" t="str">
        <v/>
      </c>
      <c r="S582" t="str">
        <f t="shared" si="9"/>
        <v/>
      </c>
    </row>
    <row r="583" spans="1:19" ht="12.75">
      <c r="A583" s="15" t="str">
        <v/>
      </c>
      <c r="B583" s="15" t="str">
        <v/>
      </c>
      <c r="C583" s="15" t="str" cm="1">
        <f t="array" ref="C583">IFERROR(_xlfn.TEXTJOIN("",TRUE,_xlfn._xlws.FILTER(MID(S583,_xlfn.SEQUENCE(LEN(S583)),1),ISNUMBER(SEARCH(MID(S583,_xlfn.SEQUENCE(LEN(S583)),1),"ABCDEFGHIJKLMNOPQRSTUVWXYZabcdefghijklmnopqrstuvwxyz0123456789,")))),"")</f>
        <v/>
      </c>
      <c r="D583" s="15" t="str">
        <v/>
      </c>
      <c r="E583" s="16" t="str">
        <v/>
      </c>
      <c r="F583" s="15" t="str">
        <v/>
      </c>
      <c r="G583" s="20" t="str" cm="1">
        <f t="array" ref="G583">IF(TRIM(P583)="","",IF(SUM(COUNTIF(P583,{"*NLGD*","*FWG*"}))&gt;0,P583,IF(SUM(COUNTIF(P583,{"*GL*","*DGB*","*DGI*","*GT*","*CS*","*PWU*","*DBI*","*SWU*"}))=0,P583,IF(IFERROR(VALUE(SUBSTITUTE(SUBSTITUTE(O583,"W",""),"""","")),0)&gt;52,P583&amp;"-OVRSIZE-",P583))))</f>
        <v/>
      </c>
      <c r="H583" s="15" t="str">
        <v/>
      </c>
      <c r="I583" s="15" t="str">
        <v/>
      </c>
      <c r="J583" s="15" t="str">
        <v/>
      </c>
      <c r="K583" s="15" t="str">
        <v/>
      </c>
      <c r="L583" s="15" t="str">
        <v/>
      </c>
      <c r="M583" s="10" t="str">
        <v/>
      </c>
      <c r="N583" s="14"/>
      <c r="O583" s="15" t="str" cm="1">
        <f t="array" ref="O583">IFERROR(_xlfn.LET(
_xlpm.clean,TRIM(SUBSTITUTE(SUBSTITUTE(P583,CHAR(160),"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3" s="15"/>
      <c r="R583" t="str">
        <v/>
      </c>
      <c r="S583" t="str">
        <f t="shared" si="9"/>
        <v/>
      </c>
    </row>
    <row r="584" spans="1:19" ht="12.75">
      <c r="A584" s="15" t="str">
        <v/>
      </c>
      <c r="B584" s="15" t="str">
        <v/>
      </c>
      <c r="C584" s="15" t="str" cm="1">
        <f t="array" ref="C584">IFERROR(_xlfn.TEXTJOIN("",TRUE,_xlfn._xlws.FILTER(MID(S584,_xlfn.SEQUENCE(LEN(S584)),1),ISNUMBER(SEARCH(MID(S584,_xlfn.SEQUENCE(LEN(S584)),1),"ABCDEFGHIJKLMNOPQRSTUVWXYZabcdefghijklmnopqrstuvwxyz0123456789,")))),"")</f>
        <v/>
      </c>
      <c r="D584" s="15" t="str">
        <v/>
      </c>
      <c r="E584" s="16" t="str">
        <v/>
      </c>
      <c r="F584" s="15" t="str">
        <v/>
      </c>
      <c r="G584" s="20" t="str" cm="1">
        <f t="array" ref="G584">IF(TRIM(P584)="","",IF(SUM(COUNTIF(P584,{"*NLGD*","*FWG*"}))&gt;0,P584,IF(SUM(COUNTIF(P584,{"*GL*","*DGB*","*DGI*","*GT*","*CS*","*PWU*","*DBI*","*SWU*"}))=0,P584,IF(IFERROR(VALUE(SUBSTITUTE(SUBSTITUTE(O584,"W",""),"""","")),0)&gt;52,P584&amp;"-OVRSIZE-",P584))))</f>
        <v/>
      </c>
      <c r="H584" s="15" t="str">
        <v/>
      </c>
      <c r="I584" s="15" t="str">
        <v/>
      </c>
      <c r="J584" s="15" t="str">
        <v/>
      </c>
      <c r="K584" s="15" t="str">
        <v/>
      </c>
      <c r="L584" s="15" t="str">
        <v/>
      </c>
      <c r="M584" s="10" t="str">
        <v/>
      </c>
      <c r="N584" s="14"/>
      <c r="O584" s="15" t="str" cm="1">
        <f t="array" ref="O584">IFERROR(_xlfn.LET(
_xlpm.clean,TRIM(SUBSTITUTE(SUBSTITUTE(P584,CHAR(160),"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4" s="15"/>
      <c r="R584" t="str">
        <v/>
      </c>
      <c r="S584" t="str">
        <f t="shared" ref="S584:S647" si="10">IF(R584="","",_xlfn.LET(
_xlpm.x,TRIM(SUBSTITUTE(SUBSTITUTE(SUBSTITUTE(SUBSTITUTE(R584,":","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585" spans="1:19" ht="12.75">
      <c r="A585" s="15" t="str">
        <v/>
      </c>
      <c r="B585" s="15" t="str">
        <v/>
      </c>
      <c r="C585" s="15" t="str" cm="1">
        <f t="array" ref="C585">IFERROR(_xlfn.TEXTJOIN("",TRUE,_xlfn._xlws.FILTER(MID(S585,_xlfn.SEQUENCE(LEN(S585)),1),ISNUMBER(SEARCH(MID(S585,_xlfn.SEQUENCE(LEN(S585)),1),"ABCDEFGHIJKLMNOPQRSTUVWXYZabcdefghijklmnopqrstuvwxyz0123456789,")))),"")</f>
        <v/>
      </c>
      <c r="D585" s="15" t="str">
        <v/>
      </c>
      <c r="E585" s="16" t="str">
        <v/>
      </c>
      <c r="F585" s="15" t="str">
        <v/>
      </c>
      <c r="G585" s="20" t="str" cm="1">
        <f t="array" ref="G585">IF(TRIM(P585)="","",IF(SUM(COUNTIF(P585,{"*NLGD*","*FWG*"}))&gt;0,P585,IF(SUM(COUNTIF(P585,{"*GL*","*DGB*","*DGI*","*GT*","*CS*","*PWU*","*DBI*","*SWU*"}))=0,P585,IF(IFERROR(VALUE(SUBSTITUTE(SUBSTITUTE(O585,"W",""),"""","")),0)&gt;52,P585&amp;"-OVRSIZE-",P585))))</f>
        <v/>
      </c>
      <c r="H585" s="15" t="str">
        <v/>
      </c>
      <c r="I585" s="15" t="str">
        <v/>
      </c>
      <c r="J585" s="15" t="str">
        <v/>
      </c>
      <c r="K585" s="15" t="str">
        <v/>
      </c>
      <c r="L585" s="15" t="str">
        <v/>
      </c>
      <c r="M585" s="10" t="str">
        <v/>
      </c>
      <c r="N585" s="14"/>
      <c r="O585" s="15" t="str" cm="1">
        <f t="array" ref="O585">IFERROR(_xlfn.LET(
_xlpm.clean,TRIM(SUBSTITUTE(SUBSTITUTE(P585,CHAR(160),"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5" s="15"/>
      <c r="R585" t="str">
        <v/>
      </c>
      <c r="S585" t="str">
        <f t="shared" si="10"/>
        <v/>
      </c>
    </row>
    <row r="586" spans="1:19" ht="12.75">
      <c r="A586" s="15" t="str">
        <v/>
      </c>
      <c r="B586" s="15" t="str">
        <v/>
      </c>
      <c r="C586" s="15" t="str" cm="1">
        <f t="array" ref="C586">IFERROR(_xlfn.TEXTJOIN("",TRUE,_xlfn._xlws.FILTER(MID(S586,_xlfn.SEQUENCE(LEN(S586)),1),ISNUMBER(SEARCH(MID(S586,_xlfn.SEQUENCE(LEN(S586)),1),"ABCDEFGHIJKLMNOPQRSTUVWXYZabcdefghijklmnopqrstuvwxyz0123456789,")))),"")</f>
        <v/>
      </c>
      <c r="D586" s="15" t="str">
        <v/>
      </c>
      <c r="E586" s="16" t="str">
        <v/>
      </c>
      <c r="F586" s="15" t="str">
        <v/>
      </c>
      <c r="G586" s="20" t="str" cm="1">
        <f t="array" ref="G586">IF(TRIM(P586)="","",IF(SUM(COUNTIF(P586,{"*NLGD*","*FWG*"}))&gt;0,P586,IF(SUM(COUNTIF(P586,{"*GL*","*DGB*","*DGI*","*GT*","*CS*","*PWU*","*DBI*","*SWU*"}))=0,P586,IF(IFERROR(VALUE(SUBSTITUTE(SUBSTITUTE(O586,"W",""),"""","")),0)&gt;52,P586&amp;"-OVRSIZE-",P586))))</f>
        <v/>
      </c>
      <c r="H586" s="15" t="str">
        <v/>
      </c>
      <c r="I586" s="15" t="str">
        <v/>
      </c>
      <c r="J586" s="15" t="str">
        <v/>
      </c>
      <c r="K586" s="15" t="str">
        <v/>
      </c>
      <c r="L586" s="15" t="str">
        <v/>
      </c>
      <c r="M586" s="10" t="str">
        <v/>
      </c>
      <c r="N586" s="14"/>
      <c r="O586" s="15" t="str" cm="1">
        <f t="array" ref="O586">IFERROR(_xlfn.LET(
_xlpm.clean,TRIM(SUBSTITUTE(SUBSTITUTE(P586,CHAR(160),"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6" s="15"/>
      <c r="R586" t="str">
        <v/>
      </c>
      <c r="S586" t="str">
        <f t="shared" si="10"/>
        <v/>
      </c>
    </row>
    <row r="587" spans="1:19" ht="12.75">
      <c r="A587" s="15" t="str">
        <v/>
      </c>
      <c r="B587" s="15" t="str">
        <v/>
      </c>
      <c r="C587" s="15" t="str" cm="1">
        <f t="array" ref="C587">IFERROR(_xlfn.TEXTJOIN("",TRUE,_xlfn._xlws.FILTER(MID(S587,_xlfn.SEQUENCE(LEN(S587)),1),ISNUMBER(SEARCH(MID(S587,_xlfn.SEQUENCE(LEN(S587)),1),"ABCDEFGHIJKLMNOPQRSTUVWXYZabcdefghijklmnopqrstuvwxyz0123456789,")))),"")</f>
        <v/>
      </c>
      <c r="D587" s="15" t="str">
        <v/>
      </c>
      <c r="E587" s="16" t="str">
        <v/>
      </c>
      <c r="F587" s="15" t="str">
        <v/>
      </c>
      <c r="G587" s="20" t="str" cm="1">
        <f t="array" ref="G587">IF(TRIM(P587)="","",IF(SUM(COUNTIF(P587,{"*NLGD*","*FWG*"}))&gt;0,P587,IF(SUM(COUNTIF(P587,{"*GL*","*DGB*","*DGI*","*GT*","*CS*","*PWU*","*DBI*","*SWU*"}))=0,P587,IF(IFERROR(VALUE(SUBSTITUTE(SUBSTITUTE(O587,"W",""),"""","")),0)&gt;52,P587&amp;"-OVRSIZE-",P587))))</f>
        <v/>
      </c>
      <c r="H587" s="15" t="str">
        <v/>
      </c>
      <c r="I587" s="15" t="str">
        <v/>
      </c>
      <c r="J587" s="15" t="str">
        <v/>
      </c>
      <c r="K587" s="15" t="str">
        <v/>
      </c>
      <c r="L587" s="15" t="str">
        <v/>
      </c>
      <c r="M587" s="10" t="str">
        <v/>
      </c>
      <c r="N587" s="14"/>
      <c r="O587" s="15" t="str" cm="1">
        <f t="array" ref="O587">IFERROR(_xlfn.LET(
_xlpm.clean,TRIM(SUBSTITUTE(SUBSTITUTE(P587,CHAR(160),"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7" s="15"/>
      <c r="R587" t="str">
        <v/>
      </c>
      <c r="S587" t="str">
        <f t="shared" si="10"/>
        <v/>
      </c>
    </row>
    <row r="588" spans="1:19" ht="12.75">
      <c r="A588" s="15" t="str">
        <v/>
      </c>
      <c r="B588" s="15" t="str">
        <v/>
      </c>
      <c r="C588" s="15" t="str" cm="1">
        <f t="array" ref="C588">IFERROR(_xlfn.TEXTJOIN("",TRUE,_xlfn._xlws.FILTER(MID(S588,_xlfn.SEQUENCE(LEN(S588)),1),ISNUMBER(SEARCH(MID(S588,_xlfn.SEQUENCE(LEN(S588)),1),"ABCDEFGHIJKLMNOPQRSTUVWXYZabcdefghijklmnopqrstuvwxyz0123456789,")))),"")</f>
        <v/>
      </c>
      <c r="D588" s="15" t="str">
        <v/>
      </c>
      <c r="E588" s="16" t="str">
        <v/>
      </c>
      <c r="F588" s="15" t="str">
        <v/>
      </c>
      <c r="G588" s="20" t="str" cm="1">
        <f t="array" ref="G588">IF(TRIM(P588)="","",IF(SUM(COUNTIF(P588,{"*NLGD*","*FWG*"}))&gt;0,P588,IF(SUM(COUNTIF(P588,{"*GL*","*DGB*","*DGI*","*GT*","*CS*","*PWU*","*DBI*","*SWU*"}))=0,P588,IF(IFERROR(VALUE(SUBSTITUTE(SUBSTITUTE(O588,"W",""),"""","")),0)&gt;52,P588&amp;"-OVRSIZE-",P588))))</f>
        <v/>
      </c>
      <c r="H588" s="15" t="str">
        <v/>
      </c>
      <c r="I588" s="15" t="str">
        <v/>
      </c>
      <c r="J588" s="15" t="str">
        <v/>
      </c>
      <c r="K588" s="15" t="str">
        <v/>
      </c>
      <c r="L588" s="15" t="str">
        <v/>
      </c>
      <c r="M588" s="10" t="str">
        <v/>
      </c>
      <c r="N588" s="14"/>
      <c r="O588" s="15" t="str" cm="1">
        <f t="array" ref="O588">IFERROR(_xlfn.LET(
_xlpm.clean,TRIM(SUBSTITUTE(SUBSTITUTE(P588,CHAR(160),"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8" s="15"/>
      <c r="R588" t="str">
        <v/>
      </c>
      <c r="S588" t="str">
        <f t="shared" si="10"/>
        <v/>
      </c>
    </row>
    <row r="589" spans="1:19" ht="12.75">
      <c r="A589" s="15" t="str">
        <v/>
      </c>
      <c r="B589" s="15" t="str">
        <v/>
      </c>
      <c r="C589" s="15" t="str" cm="1">
        <f t="array" ref="C589">IFERROR(_xlfn.TEXTJOIN("",TRUE,_xlfn._xlws.FILTER(MID(S589,_xlfn.SEQUENCE(LEN(S589)),1),ISNUMBER(SEARCH(MID(S589,_xlfn.SEQUENCE(LEN(S589)),1),"ABCDEFGHIJKLMNOPQRSTUVWXYZabcdefghijklmnopqrstuvwxyz0123456789,")))),"")</f>
        <v/>
      </c>
      <c r="D589" s="15" t="str">
        <v/>
      </c>
      <c r="E589" s="16" t="str">
        <v/>
      </c>
      <c r="F589" s="15" t="str">
        <v/>
      </c>
      <c r="G589" s="20" t="str" cm="1">
        <f t="array" ref="G589">IF(TRIM(P589)="","",IF(SUM(COUNTIF(P589,{"*NLGD*","*FWG*"}))&gt;0,P589,IF(SUM(COUNTIF(P589,{"*GL*","*DGB*","*DGI*","*GT*","*CS*","*PWU*","*DBI*","*SWU*"}))=0,P589,IF(IFERROR(VALUE(SUBSTITUTE(SUBSTITUTE(O589,"W",""),"""","")),0)&gt;52,P589&amp;"-OVRSIZE-",P589))))</f>
        <v/>
      </c>
      <c r="H589" s="15" t="str">
        <v/>
      </c>
      <c r="I589" s="15" t="str">
        <v/>
      </c>
      <c r="J589" s="15" t="str">
        <v/>
      </c>
      <c r="K589" s="15" t="str">
        <v/>
      </c>
      <c r="L589" s="15" t="str">
        <v/>
      </c>
      <c r="M589" s="10" t="str">
        <v/>
      </c>
      <c r="N589" s="14"/>
      <c r="O589" s="15" t="str" cm="1">
        <f t="array" ref="O589">IFERROR(_xlfn.LET(
_xlpm.clean,TRIM(SUBSTITUTE(SUBSTITUTE(P589,CHAR(160),"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9" s="15"/>
      <c r="R589" t="str">
        <v/>
      </c>
      <c r="S589" t="str">
        <f t="shared" si="10"/>
        <v/>
      </c>
    </row>
    <row r="590" spans="1:19" ht="12.75">
      <c r="A590" s="15" t="str">
        <v/>
      </c>
      <c r="B590" s="15" t="str">
        <v/>
      </c>
      <c r="C590" s="15" t="str" cm="1">
        <f t="array" ref="C590">IFERROR(_xlfn.TEXTJOIN("",TRUE,_xlfn._xlws.FILTER(MID(S590,_xlfn.SEQUENCE(LEN(S590)),1),ISNUMBER(SEARCH(MID(S590,_xlfn.SEQUENCE(LEN(S590)),1),"ABCDEFGHIJKLMNOPQRSTUVWXYZabcdefghijklmnopqrstuvwxyz0123456789,")))),"")</f>
        <v/>
      </c>
      <c r="D590" s="15" t="str">
        <v/>
      </c>
      <c r="E590" s="16" t="str">
        <v/>
      </c>
      <c r="F590" s="15" t="str">
        <v/>
      </c>
      <c r="G590" s="20" t="str" cm="1">
        <f t="array" ref="G590">IF(TRIM(P590)="","",IF(SUM(COUNTIF(P590,{"*NLGD*","*FWG*"}))&gt;0,P590,IF(SUM(COUNTIF(P590,{"*GL*","*DGB*","*DGI*","*GT*","*CS*","*PWU*","*DBI*","*SWU*"}))=0,P590,IF(IFERROR(VALUE(SUBSTITUTE(SUBSTITUTE(O590,"W",""),"""","")),0)&gt;52,P590&amp;"-OVRSIZE-",P590))))</f>
        <v/>
      </c>
      <c r="H590" s="15" t="str">
        <v/>
      </c>
      <c r="I590" s="15" t="str">
        <v/>
      </c>
      <c r="J590" s="15" t="str">
        <v/>
      </c>
      <c r="K590" s="15" t="str">
        <v/>
      </c>
      <c r="L590" s="15" t="str">
        <v/>
      </c>
      <c r="M590" s="10" t="str">
        <v/>
      </c>
      <c r="N590" s="14"/>
      <c r="O590" s="15" t="str" cm="1">
        <f t="array" ref="O590">IFERROR(_xlfn.LET(
_xlpm.clean,TRIM(SUBSTITUTE(SUBSTITUTE(P590,CHAR(160),"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0" s="15"/>
      <c r="R590" t="str">
        <v/>
      </c>
      <c r="S590" t="str">
        <f t="shared" si="10"/>
        <v/>
      </c>
    </row>
    <row r="591" spans="1:19" ht="12.75">
      <c r="A591" s="15" t="str">
        <v/>
      </c>
      <c r="B591" s="15" t="str">
        <v/>
      </c>
      <c r="C591" s="15" t="str" cm="1">
        <f t="array" ref="C591">IFERROR(_xlfn.TEXTJOIN("",TRUE,_xlfn._xlws.FILTER(MID(S591,_xlfn.SEQUENCE(LEN(S591)),1),ISNUMBER(SEARCH(MID(S591,_xlfn.SEQUENCE(LEN(S591)),1),"ABCDEFGHIJKLMNOPQRSTUVWXYZabcdefghijklmnopqrstuvwxyz0123456789,")))),"")</f>
        <v/>
      </c>
      <c r="D591" s="15" t="str">
        <v/>
      </c>
      <c r="E591" s="16" t="str">
        <v/>
      </c>
      <c r="F591" s="15" t="str">
        <v/>
      </c>
      <c r="G591" s="20" t="str" cm="1">
        <f t="array" ref="G591">IF(TRIM(P591)="","",IF(SUM(COUNTIF(P591,{"*NLGD*","*FWG*"}))&gt;0,P591,IF(SUM(COUNTIF(P591,{"*GL*","*DGB*","*DGI*","*GT*","*CS*","*PWU*","*DBI*","*SWU*"}))=0,P591,IF(IFERROR(VALUE(SUBSTITUTE(SUBSTITUTE(O591,"W",""),"""","")),0)&gt;52,P591&amp;"-OVRSIZE-",P591))))</f>
        <v/>
      </c>
      <c r="H591" s="15" t="str">
        <v/>
      </c>
      <c r="I591" s="15" t="str">
        <v/>
      </c>
      <c r="J591" s="15" t="str">
        <v/>
      </c>
      <c r="K591" s="15" t="str">
        <v/>
      </c>
      <c r="L591" s="15" t="str">
        <v/>
      </c>
      <c r="M591" s="10" t="str">
        <v/>
      </c>
      <c r="N591" s="14"/>
      <c r="O591" s="15" t="str" cm="1">
        <f t="array" ref="O591">IFERROR(_xlfn.LET(
_xlpm.clean,TRIM(SUBSTITUTE(SUBSTITUTE(P591,CHAR(160),"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1" s="15"/>
      <c r="R591" t="str">
        <v/>
      </c>
      <c r="S591" t="str">
        <f t="shared" si="10"/>
        <v/>
      </c>
    </row>
    <row r="592" spans="1:19" ht="12.75">
      <c r="A592" s="15" t="str">
        <v/>
      </c>
      <c r="B592" s="15" t="str">
        <v/>
      </c>
      <c r="C592" s="15" t="str" cm="1">
        <f t="array" ref="C592">IFERROR(_xlfn.TEXTJOIN("",TRUE,_xlfn._xlws.FILTER(MID(S592,_xlfn.SEQUENCE(LEN(S592)),1),ISNUMBER(SEARCH(MID(S592,_xlfn.SEQUENCE(LEN(S592)),1),"ABCDEFGHIJKLMNOPQRSTUVWXYZabcdefghijklmnopqrstuvwxyz0123456789,")))),"")</f>
        <v/>
      </c>
      <c r="D592" s="15" t="str">
        <v/>
      </c>
      <c r="E592" s="16" t="str">
        <v/>
      </c>
      <c r="F592" s="15" t="str">
        <v/>
      </c>
      <c r="G592" s="20" t="str" cm="1">
        <f t="array" ref="G592">IF(TRIM(P592)="","",IF(SUM(COUNTIF(P592,{"*NLGD*","*FWG*"}))&gt;0,P592,IF(SUM(COUNTIF(P592,{"*GL*","*DGB*","*DGI*","*GT*","*CS*","*PWU*","*DBI*","*SWU*"}))=0,P592,IF(IFERROR(VALUE(SUBSTITUTE(SUBSTITUTE(O592,"W",""),"""","")),0)&gt;52,P592&amp;"-OVRSIZE-",P592))))</f>
        <v/>
      </c>
      <c r="H592" s="15" t="str">
        <v/>
      </c>
      <c r="I592" s="15" t="str">
        <v/>
      </c>
      <c r="J592" s="15" t="str">
        <v/>
      </c>
      <c r="K592" s="15" t="str">
        <v/>
      </c>
      <c r="L592" s="15" t="str">
        <v/>
      </c>
      <c r="M592" s="10" t="str">
        <v/>
      </c>
      <c r="N592" s="14"/>
      <c r="O592" s="15" t="str" cm="1">
        <f t="array" ref="O592">IFERROR(_xlfn.LET(
_xlpm.clean,TRIM(SUBSTITUTE(SUBSTITUTE(P592,CHAR(160),"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2" s="15"/>
      <c r="R592" t="str">
        <v/>
      </c>
      <c r="S592" t="str">
        <f t="shared" si="10"/>
        <v/>
      </c>
    </row>
    <row r="593" spans="1:19" ht="12.75">
      <c r="A593" s="15" t="str">
        <v/>
      </c>
      <c r="B593" s="15" t="str">
        <v/>
      </c>
      <c r="C593" s="15" t="str" cm="1">
        <f t="array" ref="C593">IFERROR(_xlfn.TEXTJOIN("",TRUE,_xlfn._xlws.FILTER(MID(S593,_xlfn.SEQUENCE(LEN(S593)),1),ISNUMBER(SEARCH(MID(S593,_xlfn.SEQUENCE(LEN(S593)),1),"ABCDEFGHIJKLMNOPQRSTUVWXYZabcdefghijklmnopqrstuvwxyz0123456789,")))),"")</f>
        <v/>
      </c>
      <c r="D593" s="15" t="str">
        <v/>
      </c>
      <c r="E593" s="16" t="str">
        <v/>
      </c>
      <c r="F593" s="15" t="str">
        <v/>
      </c>
      <c r="G593" s="20" t="str" cm="1">
        <f t="array" ref="G593">IF(TRIM(P593)="","",IF(SUM(COUNTIF(P593,{"*NLGD*","*FWG*"}))&gt;0,P593,IF(SUM(COUNTIF(P593,{"*GL*","*DGB*","*DGI*","*GT*","*CS*","*PWU*","*DBI*","*SWU*"}))=0,P593,IF(IFERROR(VALUE(SUBSTITUTE(SUBSTITUTE(O593,"W",""),"""","")),0)&gt;52,P593&amp;"-OVRSIZE-",P593))))</f>
        <v/>
      </c>
      <c r="H593" s="15" t="str">
        <v/>
      </c>
      <c r="I593" s="15" t="str">
        <v/>
      </c>
      <c r="J593" s="15" t="str">
        <v/>
      </c>
      <c r="K593" s="15" t="str">
        <v/>
      </c>
      <c r="L593" s="15" t="str">
        <v/>
      </c>
      <c r="M593" s="10" t="str">
        <v/>
      </c>
      <c r="N593" s="14"/>
      <c r="O593" s="15" t="str" cm="1">
        <f t="array" ref="O593">IFERROR(_xlfn.LET(
_xlpm.clean,TRIM(SUBSTITUTE(SUBSTITUTE(P593,CHAR(160),"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3" s="15"/>
      <c r="R593" t="str">
        <v/>
      </c>
      <c r="S593" t="str">
        <f t="shared" si="10"/>
        <v/>
      </c>
    </row>
    <row r="594" spans="1:19" ht="12.75">
      <c r="A594" s="15" t="str">
        <v/>
      </c>
      <c r="B594" s="15" t="str">
        <v/>
      </c>
      <c r="C594" s="15" t="str" cm="1">
        <f t="array" ref="C594">IFERROR(_xlfn.TEXTJOIN("",TRUE,_xlfn._xlws.FILTER(MID(S594,_xlfn.SEQUENCE(LEN(S594)),1),ISNUMBER(SEARCH(MID(S594,_xlfn.SEQUENCE(LEN(S594)),1),"ABCDEFGHIJKLMNOPQRSTUVWXYZabcdefghijklmnopqrstuvwxyz0123456789,")))),"")</f>
        <v/>
      </c>
      <c r="D594" s="15" t="str">
        <v/>
      </c>
      <c r="E594" s="16" t="str">
        <v/>
      </c>
      <c r="F594" s="15" t="str">
        <v/>
      </c>
      <c r="G594" s="20" t="str" cm="1">
        <f t="array" ref="G594">IF(TRIM(P594)="","",IF(SUM(COUNTIF(P594,{"*NLGD*","*FWG*"}))&gt;0,P594,IF(SUM(COUNTIF(P594,{"*GL*","*DGB*","*DGI*","*GT*","*CS*","*PWU*","*DBI*","*SWU*"}))=0,P594,IF(IFERROR(VALUE(SUBSTITUTE(SUBSTITUTE(O594,"W",""),"""","")),0)&gt;52,P594&amp;"-OVRSIZE-",P594))))</f>
        <v/>
      </c>
      <c r="H594" s="15" t="str">
        <v/>
      </c>
      <c r="I594" s="15" t="str">
        <v/>
      </c>
      <c r="J594" s="15" t="str">
        <v/>
      </c>
      <c r="K594" s="15" t="str">
        <v/>
      </c>
      <c r="L594" s="15" t="str">
        <v/>
      </c>
      <c r="M594" s="10" t="str">
        <v/>
      </c>
      <c r="N594" s="14"/>
      <c r="O594" s="15" t="str" cm="1">
        <f t="array" ref="O594">IFERROR(_xlfn.LET(
_xlpm.clean,TRIM(SUBSTITUTE(SUBSTITUTE(P594,CHAR(160),"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4" s="15"/>
      <c r="R594" t="str">
        <v/>
      </c>
      <c r="S594" t="str">
        <f t="shared" si="10"/>
        <v/>
      </c>
    </row>
    <row r="595" spans="1:19" ht="12.75">
      <c r="A595" s="15" t="str">
        <v/>
      </c>
      <c r="B595" s="15" t="str">
        <v/>
      </c>
      <c r="C595" s="15" t="str" cm="1">
        <f t="array" ref="C595">IFERROR(_xlfn.TEXTJOIN("",TRUE,_xlfn._xlws.FILTER(MID(S595,_xlfn.SEQUENCE(LEN(S595)),1),ISNUMBER(SEARCH(MID(S595,_xlfn.SEQUENCE(LEN(S595)),1),"ABCDEFGHIJKLMNOPQRSTUVWXYZabcdefghijklmnopqrstuvwxyz0123456789,")))),"")</f>
        <v/>
      </c>
      <c r="D595" s="15" t="str">
        <v/>
      </c>
      <c r="E595" s="16" t="str">
        <v/>
      </c>
      <c r="F595" s="15" t="str">
        <v/>
      </c>
      <c r="G595" s="20" t="str" cm="1">
        <f t="array" ref="G595">IF(TRIM(P595)="","",IF(SUM(COUNTIF(P595,{"*NLGD*","*FWG*"}))&gt;0,P595,IF(SUM(COUNTIF(P595,{"*GL*","*DGB*","*DGI*","*GT*","*CS*","*PWU*","*DBI*","*SWU*"}))=0,P595,IF(IFERROR(VALUE(SUBSTITUTE(SUBSTITUTE(O595,"W",""),"""","")),0)&gt;52,P595&amp;"-OVRSIZE-",P595))))</f>
        <v/>
      </c>
      <c r="H595" s="15" t="str">
        <v/>
      </c>
      <c r="I595" s="15" t="str">
        <v/>
      </c>
      <c r="J595" s="15" t="str">
        <v/>
      </c>
      <c r="K595" s="15" t="str">
        <v/>
      </c>
      <c r="L595" s="15" t="str">
        <v/>
      </c>
      <c r="M595" s="10" t="str">
        <v/>
      </c>
      <c r="N595" s="14"/>
      <c r="O595" s="15" t="str" cm="1">
        <f t="array" ref="O595">IFERROR(_xlfn.LET(
_xlpm.clean,TRIM(SUBSTITUTE(SUBSTITUTE(P595,CHAR(160),"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5" s="15"/>
      <c r="R595" t="str">
        <v/>
      </c>
      <c r="S595" t="str">
        <f t="shared" si="10"/>
        <v/>
      </c>
    </row>
    <row r="596" spans="1:19" ht="12.75">
      <c r="A596" s="15" t="str">
        <v/>
      </c>
      <c r="B596" s="15" t="str">
        <v/>
      </c>
      <c r="C596" s="15" t="str" cm="1">
        <f t="array" ref="C596">IFERROR(_xlfn.TEXTJOIN("",TRUE,_xlfn._xlws.FILTER(MID(S596,_xlfn.SEQUENCE(LEN(S596)),1),ISNUMBER(SEARCH(MID(S596,_xlfn.SEQUENCE(LEN(S596)),1),"ABCDEFGHIJKLMNOPQRSTUVWXYZabcdefghijklmnopqrstuvwxyz0123456789,")))),"")</f>
        <v/>
      </c>
      <c r="D596" s="15" t="str">
        <v/>
      </c>
      <c r="E596" s="16" t="str">
        <v/>
      </c>
      <c r="F596" s="15" t="str">
        <v/>
      </c>
      <c r="G596" s="20" t="str" cm="1">
        <f t="array" ref="G596">IF(TRIM(P596)="","",IF(SUM(COUNTIF(P596,{"*NLGD*","*FWG*"}))&gt;0,P596,IF(SUM(COUNTIF(P596,{"*GL*","*DGB*","*DGI*","*GT*","*CS*","*PWU*","*DBI*","*SWU*"}))=0,P596,IF(IFERROR(VALUE(SUBSTITUTE(SUBSTITUTE(O596,"W",""),"""","")),0)&gt;52,P596&amp;"-OVRSIZE-",P596))))</f>
        <v/>
      </c>
      <c r="H596" s="15" t="str">
        <v/>
      </c>
      <c r="I596" s="15" t="str">
        <v/>
      </c>
      <c r="J596" s="15" t="str">
        <v/>
      </c>
      <c r="K596" s="15" t="str">
        <v/>
      </c>
      <c r="L596" s="15" t="str">
        <v/>
      </c>
      <c r="M596" s="10" t="str">
        <v/>
      </c>
      <c r="N596" s="14"/>
      <c r="O596" s="15" t="str" cm="1">
        <f t="array" ref="O596">IFERROR(_xlfn.LET(
_xlpm.clean,TRIM(SUBSTITUTE(SUBSTITUTE(P596,CHAR(160),"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6" s="15"/>
      <c r="R596" t="str">
        <v/>
      </c>
      <c r="S596" t="str">
        <f t="shared" si="10"/>
        <v/>
      </c>
    </row>
    <row r="597" spans="1:19" ht="12.75">
      <c r="A597" s="15" t="str">
        <v/>
      </c>
      <c r="B597" s="15" t="str">
        <v/>
      </c>
      <c r="C597" s="15" t="str" cm="1">
        <f t="array" ref="C597">IFERROR(_xlfn.TEXTJOIN("",TRUE,_xlfn._xlws.FILTER(MID(S597,_xlfn.SEQUENCE(LEN(S597)),1),ISNUMBER(SEARCH(MID(S597,_xlfn.SEQUENCE(LEN(S597)),1),"ABCDEFGHIJKLMNOPQRSTUVWXYZabcdefghijklmnopqrstuvwxyz0123456789,")))),"")</f>
        <v/>
      </c>
      <c r="D597" s="15" t="str">
        <v/>
      </c>
      <c r="E597" s="16" t="str">
        <v/>
      </c>
      <c r="F597" s="15" t="str">
        <v/>
      </c>
      <c r="G597" s="20" t="str" cm="1">
        <f t="array" ref="G597">IF(TRIM(P597)="","",IF(SUM(COUNTIF(P597,{"*NLGD*","*FWG*"}))&gt;0,P597,IF(SUM(COUNTIF(P597,{"*GL*","*DGB*","*DGI*","*GT*","*CS*","*PWU*","*DBI*","*SWU*"}))=0,P597,IF(IFERROR(VALUE(SUBSTITUTE(SUBSTITUTE(O597,"W",""),"""","")),0)&gt;52,P597&amp;"-OVRSIZE-",P597))))</f>
        <v/>
      </c>
      <c r="H597" s="15" t="str">
        <v/>
      </c>
      <c r="I597" s="15" t="str">
        <v/>
      </c>
      <c r="J597" s="15" t="str">
        <v/>
      </c>
      <c r="K597" s="15" t="str">
        <v/>
      </c>
      <c r="L597" s="15" t="str">
        <v/>
      </c>
      <c r="M597" s="10" t="str">
        <v/>
      </c>
      <c r="N597" s="14"/>
      <c r="O597" s="15" t="str" cm="1">
        <f t="array" ref="O597">IFERROR(_xlfn.LET(
_xlpm.clean,TRIM(SUBSTITUTE(SUBSTITUTE(P597,CHAR(160),"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7" s="15"/>
      <c r="R597" t="str">
        <v/>
      </c>
      <c r="S597" t="str">
        <f t="shared" si="10"/>
        <v/>
      </c>
    </row>
    <row r="598" spans="1:19" ht="12.75">
      <c r="A598" s="15" t="str">
        <v/>
      </c>
      <c r="B598" s="15" t="str">
        <v/>
      </c>
      <c r="C598" s="15" t="str" cm="1">
        <f t="array" ref="C598">IFERROR(_xlfn.TEXTJOIN("",TRUE,_xlfn._xlws.FILTER(MID(S598,_xlfn.SEQUENCE(LEN(S598)),1),ISNUMBER(SEARCH(MID(S598,_xlfn.SEQUENCE(LEN(S598)),1),"ABCDEFGHIJKLMNOPQRSTUVWXYZabcdefghijklmnopqrstuvwxyz0123456789,")))),"")</f>
        <v/>
      </c>
      <c r="D598" s="15" t="str">
        <v/>
      </c>
      <c r="E598" s="16" t="str">
        <v/>
      </c>
      <c r="F598" s="15" t="str">
        <v/>
      </c>
      <c r="G598" s="20" t="str" cm="1">
        <f t="array" ref="G598">IF(TRIM(P598)="","",IF(SUM(COUNTIF(P598,{"*NLGD*","*FWG*"}))&gt;0,P598,IF(SUM(COUNTIF(P598,{"*GL*","*DGB*","*DGI*","*GT*","*CS*","*PWU*","*DBI*","*SWU*"}))=0,P598,IF(IFERROR(VALUE(SUBSTITUTE(SUBSTITUTE(O598,"W",""),"""","")),0)&gt;52,P598&amp;"-OVRSIZE-",P598))))</f>
        <v/>
      </c>
      <c r="H598" s="15" t="str">
        <v/>
      </c>
      <c r="I598" s="15" t="str">
        <v/>
      </c>
      <c r="J598" s="15" t="str">
        <v/>
      </c>
      <c r="K598" s="15" t="str">
        <v/>
      </c>
      <c r="L598" s="15" t="str">
        <v/>
      </c>
      <c r="M598" s="10" t="str">
        <v/>
      </c>
      <c r="N598" s="14"/>
      <c r="O598" s="15" t="str" cm="1">
        <f t="array" ref="O598">IFERROR(_xlfn.LET(
_xlpm.clean,TRIM(SUBSTITUTE(SUBSTITUTE(P598,CHAR(160),"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8" s="15"/>
      <c r="R598" t="str">
        <v/>
      </c>
      <c r="S598" t="str">
        <f t="shared" si="10"/>
        <v/>
      </c>
    </row>
    <row r="599" spans="1:19" ht="12.75">
      <c r="A599" s="15" t="str">
        <v/>
      </c>
      <c r="B599" s="15" t="str">
        <v/>
      </c>
      <c r="C599" s="15" t="str" cm="1">
        <f t="array" ref="C599">IFERROR(_xlfn.TEXTJOIN("",TRUE,_xlfn._xlws.FILTER(MID(S599,_xlfn.SEQUENCE(LEN(S599)),1),ISNUMBER(SEARCH(MID(S599,_xlfn.SEQUENCE(LEN(S599)),1),"ABCDEFGHIJKLMNOPQRSTUVWXYZabcdefghijklmnopqrstuvwxyz0123456789,")))),"")</f>
        <v/>
      </c>
      <c r="D599" s="15" t="str">
        <v/>
      </c>
      <c r="E599" s="16" t="str">
        <v/>
      </c>
      <c r="F599" s="15" t="str">
        <v/>
      </c>
      <c r="G599" s="20" t="str" cm="1">
        <f t="array" ref="G599">IF(TRIM(P599)="","",IF(SUM(COUNTIF(P599,{"*NLGD*","*FWG*"}))&gt;0,P599,IF(SUM(COUNTIF(P599,{"*GL*","*DGB*","*DGI*","*GT*","*CS*","*PWU*","*DBI*","*SWU*"}))=0,P599,IF(IFERROR(VALUE(SUBSTITUTE(SUBSTITUTE(O599,"W",""),"""","")),0)&gt;52,P599&amp;"-OVRSIZE-",P599))))</f>
        <v/>
      </c>
      <c r="H599" s="15" t="str">
        <v/>
      </c>
      <c r="I599" s="15" t="str">
        <v/>
      </c>
      <c r="J599" s="15" t="str">
        <v/>
      </c>
      <c r="K599" s="15" t="str">
        <v/>
      </c>
      <c r="L599" s="15" t="str">
        <v/>
      </c>
      <c r="M599" s="10" t="str">
        <v/>
      </c>
      <c r="N599" s="14"/>
      <c r="O599" s="15" t="str" cm="1">
        <f t="array" ref="O599">IFERROR(_xlfn.LET(
_xlpm.clean,TRIM(SUBSTITUTE(SUBSTITUTE(P599,CHAR(160),"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9" s="15"/>
      <c r="R599" t="str">
        <v/>
      </c>
      <c r="S599" t="str">
        <f t="shared" si="10"/>
        <v/>
      </c>
    </row>
    <row r="600" spans="1:19" ht="12.75">
      <c r="A600" s="15" t="str">
        <v/>
      </c>
      <c r="B600" s="15" t="str">
        <v/>
      </c>
      <c r="C600" s="15" t="str" cm="1">
        <f t="array" ref="C600">IFERROR(_xlfn.TEXTJOIN("",TRUE,_xlfn._xlws.FILTER(MID(S600,_xlfn.SEQUENCE(LEN(S600)),1),ISNUMBER(SEARCH(MID(S600,_xlfn.SEQUENCE(LEN(S600)),1),"ABCDEFGHIJKLMNOPQRSTUVWXYZabcdefghijklmnopqrstuvwxyz0123456789,")))),"")</f>
        <v/>
      </c>
      <c r="D600" s="15" t="str">
        <v/>
      </c>
      <c r="E600" s="16" t="str">
        <v/>
      </c>
      <c r="F600" s="15" t="str">
        <v/>
      </c>
      <c r="G600" s="20" t="str" cm="1">
        <f t="array" ref="G600">IF(TRIM(P600)="","",IF(SUM(COUNTIF(P600,{"*NLGD*","*FWG*"}))&gt;0,P600,IF(SUM(COUNTIF(P600,{"*GL*","*DGB*","*DGI*","*GT*","*CS*","*PWU*","*DBI*","*SWU*"}))=0,P600,IF(IFERROR(VALUE(SUBSTITUTE(SUBSTITUTE(O600,"W",""),"""","")),0)&gt;52,P600&amp;"-OVRSIZE-",P600))))</f>
        <v/>
      </c>
      <c r="H600" s="15" t="str">
        <v/>
      </c>
      <c r="I600" s="15" t="str">
        <v/>
      </c>
      <c r="J600" s="15" t="str">
        <v/>
      </c>
      <c r="K600" s="15" t="str">
        <v/>
      </c>
      <c r="L600" s="15" t="str">
        <v/>
      </c>
      <c r="M600" s="10" t="str">
        <v/>
      </c>
      <c r="N600" s="14"/>
      <c r="O600" s="15" t="str" cm="1">
        <f t="array" ref="O600">IFERROR(_xlfn.LET(
_xlpm.clean,TRIM(SUBSTITUTE(SUBSTITUTE(P600,CHAR(160),"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0" s="15"/>
      <c r="R600" t="str">
        <v/>
      </c>
      <c r="S600" t="str">
        <f t="shared" si="10"/>
        <v/>
      </c>
    </row>
    <row r="601" spans="1:19" ht="12.75">
      <c r="A601" s="15" t="str">
        <v/>
      </c>
      <c r="B601" s="15" t="str">
        <v/>
      </c>
      <c r="C601" s="15" t="str" cm="1">
        <f t="array" ref="C601">IFERROR(_xlfn.TEXTJOIN("",TRUE,_xlfn._xlws.FILTER(MID(S601,_xlfn.SEQUENCE(LEN(S601)),1),ISNUMBER(SEARCH(MID(S601,_xlfn.SEQUENCE(LEN(S601)),1),"ABCDEFGHIJKLMNOPQRSTUVWXYZabcdefghijklmnopqrstuvwxyz0123456789,")))),"")</f>
        <v/>
      </c>
      <c r="D601" s="15" t="str">
        <v/>
      </c>
      <c r="E601" s="16" t="str">
        <v/>
      </c>
      <c r="F601" s="15" t="str">
        <v/>
      </c>
      <c r="G601" s="20" t="str" cm="1">
        <f t="array" ref="G601">IF(TRIM(P601)="","",IF(SUM(COUNTIF(P601,{"*NLGD*","*FWG*"}))&gt;0,P601,IF(SUM(COUNTIF(P601,{"*GL*","*DGB*","*DGI*","*GT*","*CS*","*PWU*","*DBI*","*SWU*"}))=0,P601,IF(IFERROR(VALUE(SUBSTITUTE(SUBSTITUTE(O601,"W",""),"""","")),0)&gt;52,P601&amp;"-OVRSIZE-",P601))))</f>
        <v/>
      </c>
      <c r="H601" s="15" t="str">
        <v/>
      </c>
      <c r="I601" s="15" t="str">
        <v/>
      </c>
      <c r="J601" s="15" t="str">
        <v/>
      </c>
      <c r="K601" s="15" t="str">
        <v/>
      </c>
      <c r="L601" s="15" t="str">
        <v/>
      </c>
      <c r="M601" s="10" t="str">
        <v/>
      </c>
      <c r="N601" s="14"/>
      <c r="O601" s="15" t="str" cm="1">
        <f t="array" ref="O601">IFERROR(_xlfn.LET(
_xlpm.clean,TRIM(SUBSTITUTE(SUBSTITUTE(P601,CHAR(160),"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1" s="15"/>
      <c r="R601" t="str">
        <v/>
      </c>
      <c r="S601" t="str">
        <f t="shared" si="10"/>
        <v/>
      </c>
    </row>
    <row r="602" spans="1:19" ht="12.75">
      <c r="A602" s="15" t="str">
        <v/>
      </c>
      <c r="B602" s="15" t="str">
        <v/>
      </c>
      <c r="C602" s="15" t="str" cm="1">
        <f t="array" ref="C602">IFERROR(_xlfn.TEXTJOIN("",TRUE,_xlfn._xlws.FILTER(MID(S602,_xlfn.SEQUENCE(LEN(S602)),1),ISNUMBER(SEARCH(MID(S602,_xlfn.SEQUENCE(LEN(S602)),1),"ABCDEFGHIJKLMNOPQRSTUVWXYZabcdefghijklmnopqrstuvwxyz0123456789,")))),"")</f>
        <v/>
      </c>
      <c r="D602" s="15" t="str">
        <v/>
      </c>
      <c r="E602" s="16" t="str">
        <v/>
      </c>
      <c r="F602" s="15" t="str">
        <v/>
      </c>
      <c r="G602" s="20" t="str" cm="1">
        <f t="array" ref="G602">IF(TRIM(P602)="","",IF(SUM(COUNTIF(P602,{"*NLGD*","*FWG*"}))&gt;0,P602,IF(SUM(COUNTIF(P602,{"*GL*","*DGB*","*DGI*","*GT*","*CS*","*PWU*","*DBI*","*SWU*"}))=0,P602,IF(IFERROR(VALUE(SUBSTITUTE(SUBSTITUTE(O602,"W",""),"""","")),0)&gt;52,P602&amp;"-OVRSIZE-",P602))))</f>
        <v/>
      </c>
      <c r="H602" s="15" t="str">
        <v/>
      </c>
      <c r="I602" s="15" t="str">
        <v/>
      </c>
      <c r="J602" s="15" t="str">
        <v/>
      </c>
      <c r="K602" s="15" t="str">
        <v/>
      </c>
      <c r="L602" s="15" t="str">
        <v/>
      </c>
      <c r="M602" s="10" t="str">
        <v/>
      </c>
      <c r="N602" s="14"/>
      <c r="O602" s="15" t="str" cm="1">
        <f t="array" ref="O602">IFERROR(_xlfn.LET(
_xlpm.clean,TRIM(SUBSTITUTE(SUBSTITUTE(P602,CHAR(160),"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2" s="15"/>
      <c r="R602" t="str">
        <v/>
      </c>
      <c r="S602" t="str">
        <f t="shared" si="10"/>
        <v/>
      </c>
    </row>
    <row r="603" spans="1:19" ht="12.75">
      <c r="A603" s="15" t="str">
        <v/>
      </c>
      <c r="B603" s="15" t="str">
        <v/>
      </c>
      <c r="C603" s="15" t="str" cm="1">
        <f t="array" ref="C603">IFERROR(_xlfn.TEXTJOIN("",TRUE,_xlfn._xlws.FILTER(MID(S603,_xlfn.SEQUENCE(LEN(S603)),1),ISNUMBER(SEARCH(MID(S603,_xlfn.SEQUENCE(LEN(S603)),1),"ABCDEFGHIJKLMNOPQRSTUVWXYZabcdefghijklmnopqrstuvwxyz0123456789,")))),"")</f>
        <v/>
      </c>
      <c r="D603" s="15" t="str">
        <v/>
      </c>
      <c r="E603" s="16" t="str">
        <v/>
      </c>
      <c r="F603" s="15" t="str">
        <v/>
      </c>
      <c r="G603" s="20" t="str" cm="1">
        <f t="array" ref="G603">IF(TRIM(P603)="","",IF(SUM(COUNTIF(P603,{"*NLGD*","*FWG*"}))&gt;0,P603,IF(SUM(COUNTIF(P603,{"*GL*","*DGB*","*DGI*","*GT*","*CS*","*PWU*","*DBI*","*SWU*"}))=0,P603,IF(IFERROR(VALUE(SUBSTITUTE(SUBSTITUTE(O603,"W",""),"""","")),0)&gt;52,P603&amp;"-OVRSIZE-",P603))))</f>
        <v/>
      </c>
      <c r="H603" s="15" t="str">
        <v/>
      </c>
      <c r="I603" s="15" t="str">
        <v/>
      </c>
      <c r="J603" s="15" t="str">
        <v/>
      </c>
      <c r="K603" s="15" t="str">
        <v/>
      </c>
      <c r="L603" s="15" t="str">
        <v/>
      </c>
      <c r="M603" s="10" t="str">
        <v/>
      </c>
      <c r="N603" s="14"/>
      <c r="O603" s="15" t="str" cm="1">
        <f t="array" ref="O603">IFERROR(_xlfn.LET(
_xlpm.clean,TRIM(SUBSTITUTE(SUBSTITUTE(P603,CHAR(160),"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3" s="15"/>
      <c r="R603" t="str">
        <v/>
      </c>
      <c r="S603" t="str">
        <f t="shared" si="10"/>
        <v/>
      </c>
    </row>
    <row r="604" spans="1:19" ht="12.75">
      <c r="A604" s="15" t="str">
        <v/>
      </c>
      <c r="B604" s="15" t="str">
        <v/>
      </c>
      <c r="C604" s="15" t="str" cm="1">
        <f t="array" ref="C604">IFERROR(_xlfn.TEXTJOIN("",TRUE,_xlfn._xlws.FILTER(MID(S604,_xlfn.SEQUENCE(LEN(S604)),1),ISNUMBER(SEARCH(MID(S604,_xlfn.SEQUENCE(LEN(S604)),1),"ABCDEFGHIJKLMNOPQRSTUVWXYZabcdefghijklmnopqrstuvwxyz0123456789,")))),"")</f>
        <v/>
      </c>
      <c r="D604" s="15" t="str">
        <v/>
      </c>
      <c r="E604" s="16" t="str">
        <v/>
      </c>
      <c r="F604" s="15" t="str">
        <v/>
      </c>
      <c r="G604" s="20" t="str" cm="1">
        <f t="array" ref="G604">IF(TRIM(P604)="","",IF(SUM(COUNTIF(P604,{"*NLGD*","*FWG*"}))&gt;0,P604,IF(SUM(COUNTIF(P604,{"*GL*","*DGB*","*DGI*","*GT*","*CS*","*PWU*","*DBI*","*SWU*"}))=0,P604,IF(IFERROR(VALUE(SUBSTITUTE(SUBSTITUTE(O604,"W",""),"""","")),0)&gt;52,P604&amp;"-OVRSIZE-",P604))))</f>
        <v/>
      </c>
      <c r="H604" s="15" t="str">
        <v/>
      </c>
      <c r="I604" s="15" t="str">
        <v/>
      </c>
      <c r="J604" s="15" t="str">
        <v/>
      </c>
      <c r="K604" s="15" t="str">
        <v/>
      </c>
      <c r="L604" s="15" t="str">
        <v/>
      </c>
      <c r="M604" s="10" t="str">
        <v/>
      </c>
      <c r="N604" s="14"/>
      <c r="O604" s="15" t="str" cm="1">
        <f t="array" ref="O604">IFERROR(_xlfn.LET(
_xlpm.clean,TRIM(SUBSTITUTE(SUBSTITUTE(P604,CHAR(160),"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4" s="15"/>
      <c r="R604" t="str">
        <v/>
      </c>
      <c r="S604" t="str">
        <f t="shared" si="10"/>
        <v/>
      </c>
    </row>
    <row r="605" spans="1:19" ht="12.75">
      <c r="A605" s="15" t="str">
        <v/>
      </c>
      <c r="B605" s="15" t="str">
        <v/>
      </c>
      <c r="C605" s="15" t="str" cm="1">
        <f t="array" ref="C605">IFERROR(_xlfn.TEXTJOIN("",TRUE,_xlfn._xlws.FILTER(MID(S605,_xlfn.SEQUENCE(LEN(S605)),1),ISNUMBER(SEARCH(MID(S605,_xlfn.SEQUENCE(LEN(S605)),1),"ABCDEFGHIJKLMNOPQRSTUVWXYZabcdefghijklmnopqrstuvwxyz0123456789,")))),"")</f>
        <v/>
      </c>
      <c r="D605" s="15" t="str">
        <v/>
      </c>
      <c r="E605" s="16" t="str">
        <v/>
      </c>
      <c r="F605" s="15" t="str">
        <v/>
      </c>
      <c r="G605" s="20" t="str" cm="1">
        <f t="array" ref="G605">IF(TRIM(P605)="","",IF(SUM(COUNTIF(P605,{"*NLGD*","*FWG*"}))&gt;0,P605,IF(SUM(COUNTIF(P605,{"*GL*","*DGB*","*DGI*","*GT*","*CS*","*PWU*","*DBI*","*SWU*"}))=0,P605,IF(IFERROR(VALUE(SUBSTITUTE(SUBSTITUTE(O605,"W",""),"""","")),0)&gt;52,P605&amp;"-OVRSIZE-",P605))))</f>
        <v/>
      </c>
      <c r="H605" s="15" t="str">
        <v/>
      </c>
      <c r="I605" s="15" t="str">
        <v/>
      </c>
      <c r="J605" s="15" t="str">
        <v/>
      </c>
      <c r="K605" s="15" t="str">
        <v/>
      </c>
      <c r="L605" s="15" t="str">
        <v/>
      </c>
      <c r="M605" s="10" t="str">
        <v/>
      </c>
      <c r="N605" s="14"/>
      <c r="O605" s="15" t="str" cm="1">
        <f t="array" ref="O605">IFERROR(_xlfn.LET(
_xlpm.clean,TRIM(SUBSTITUTE(SUBSTITUTE(P605,CHAR(160),"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5" s="15"/>
      <c r="R605" t="str">
        <v/>
      </c>
      <c r="S605" t="str">
        <f t="shared" si="10"/>
        <v/>
      </c>
    </row>
    <row r="606" spans="1:19" ht="12.75">
      <c r="A606" s="15" t="str">
        <v/>
      </c>
      <c r="B606" s="15" t="str">
        <v/>
      </c>
      <c r="C606" s="15" t="str" cm="1">
        <f t="array" ref="C606">IFERROR(_xlfn.TEXTJOIN("",TRUE,_xlfn._xlws.FILTER(MID(S606,_xlfn.SEQUENCE(LEN(S606)),1),ISNUMBER(SEARCH(MID(S606,_xlfn.SEQUENCE(LEN(S606)),1),"ABCDEFGHIJKLMNOPQRSTUVWXYZabcdefghijklmnopqrstuvwxyz0123456789,")))),"")</f>
        <v/>
      </c>
      <c r="D606" s="15" t="str">
        <v/>
      </c>
      <c r="E606" s="16" t="str">
        <v/>
      </c>
      <c r="F606" s="15" t="str">
        <v/>
      </c>
      <c r="G606" s="20" t="str" cm="1">
        <f t="array" ref="G606">IF(TRIM(P606)="","",IF(SUM(COUNTIF(P606,{"*NLGD*","*FWG*"}))&gt;0,P606,IF(SUM(COUNTIF(P606,{"*GL*","*DGB*","*DGI*","*GT*","*CS*","*PWU*","*DBI*","*SWU*"}))=0,P606,IF(IFERROR(VALUE(SUBSTITUTE(SUBSTITUTE(O606,"W",""),"""","")),0)&gt;52,P606&amp;"-OVRSIZE-",P606))))</f>
        <v/>
      </c>
      <c r="H606" s="15" t="str">
        <v/>
      </c>
      <c r="I606" s="15" t="str">
        <v/>
      </c>
      <c r="J606" s="15" t="str">
        <v/>
      </c>
      <c r="K606" s="15" t="str">
        <v/>
      </c>
      <c r="L606" s="15" t="str">
        <v/>
      </c>
      <c r="M606" s="10" t="str">
        <v/>
      </c>
      <c r="N606" s="14"/>
      <c r="O606" s="15" t="str" cm="1">
        <f t="array" ref="O606">IFERROR(_xlfn.LET(
_xlpm.clean,TRIM(SUBSTITUTE(SUBSTITUTE(P606,CHAR(160),"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6" s="15"/>
      <c r="R606" t="str">
        <v/>
      </c>
      <c r="S606" t="str">
        <f t="shared" si="10"/>
        <v/>
      </c>
    </row>
    <row r="607" spans="1:19" ht="12.75">
      <c r="A607" s="15" t="str">
        <v/>
      </c>
      <c r="B607" s="15" t="str">
        <v/>
      </c>
      <c r="C607" s="15" t="str" cm="1">
        <f t="array" ref="C607">IFERROR(_xlfn.TEXTJOIN("",TRUE,_xlfn._xlws.FILTER(MID(S607,_xlfn.SEQUENCE(LEN(S607)),1),ISNUMBER(SEARCH(MID(S607,_xlfn.SEQUENCE(LEN(S607)),1),"ABCDEFGHIJKLMNOPQRSTUVWXYZabcdefghijklmnopqrstuvwxyz0123456789,")))),"")</f>
        <v/>
      </c>
      <c r="D607" s="15" t="str">
        <v/>
      </c>
      <c r="E607" s="16" t="str">
        <v/>
      </c>
      <c r="F607" s="15" t="str">
        <v/>
      </c>
      <c r="G607" s="20" t="str" cm="1">
        <f t="array" ref="G607">IF(TRIM(P607)="","",IF(SUM(COUNTIF(P607,{"*NLGD*","*FWG*"}))&gt;0,P607,IF(SUM(COUNTIF(P607,{"*GL*","*DGB*","*DGI*","*GT*","*CS*","*PWU*","*DBI*","*SWU*"}))=0,P607,IF(IFERROR(VALUE(SUBSTITUTE(SUBSTITUTE(O607,"W",""),"""","")),0)&gt;52,P607&amp;"-OVRSIZE-",P607))))</f>
        <v/>
      </c>
      <c r="H607" s="15" t="str">
        <v/>
      </c>
      <c r="I607" s="15" t="str">
        <v/>
      </c>
      <c r="J607" s="15" t="str">
        <v/>
      </c>
      <c r="K607" s="15" t="str">
        <v/>
      </c>
      <c r="L607" s="15" t="str">
        <v/>
      </c>
      <c r="M607" s="10" t="str">
        <v/>
      </c>
      <c r="N607" s="14"/>
      <c r="O607" s="15" t="str" cm="1">
        <f t="array" ref="O607">IFERROR(_xlfn.LET(
_xlpm.clean,TRIM(SUBSTITUTE(SUBSTITUTE(P607,CHAR(160),"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7" s="15"/>
      <c r="R607" t="str">
        <v/>
      </c>
      <c r="S607" t="str">
        <f t="shared" si="10"/>
        <v/>
      </c>
    </row>
    <row r="608" spans="1:19" ht="12.75">
      <c r="A608" s="15" t="str">
        <v/>
      </c>
      <c r="B608" s="15" t="str">
        <v/>
      </c>
      <c r="C608" s="15" t="str" cm="1">
        <f t="array" ref="C608">IFERROR(_xlfn.TEXTJOIN("",TRUE,_xlfn._xlws.FILTER(MID(S608,_xlfn.SEQUENCE(LEN(S608)),1),ISNUMBER(SEARCH(MID(S608,_xlfn.SEQUENCE(LEN(S608)),1),"ABCDEFGHIJKLMNOPQRSTUVWXYZabcdefghijklmnopqrstuvwxyz0123456789,")))),"")</f>
        <v/>
      </c>
      <c r="D608" s="15" t="str">
        <v/>
      </c>
      <c r="E608" s="16" t="str">
        <v/>
      </c>
      <c r="F608" s="15" t="str">
        <v/>
      </c>
      <c r="G608" s="20" t="str" cm="1">
        <f t="array" ref="G608">IF(TRIM(P608)="","",IF(SUM(COUNTIF(P608,{"*NLGD*","*FWG*"}))&gt;0,P608,IF(SUM(COUNTIF(P608,{"*GL*","*DGB*","*DGI*","*GT*","*CS*","*PWU*","*DBI*","*SWU*"}))=0,P608,IF(IFERROR(VALUE(SUBSTITUTE(SUBSTITUTE(O608,"W",""),"""","")),0)&gt;52,P608&amp;"-OVRSIZE-",P608))))</f>
        <v/>
      </c>
      <c r="H608" s="15" t="str">
        <v/>
      </c>
      <c r="I608" s="15" t="str">
        <v/>
      </c>
      <c r="J608" s="15" t="str">
        <v/>
      </c>
      <c r="K608" s="15" t="str">
        <v/>
      </c>
      <c r="L608" s="15" t="str">
        <v/>
      </c>
      <c r="M608" s="10" t="str">
        <v/>
      </c>
      <c r="N608" s="14"/>
      <c r="O608" s="15" t="str" cm="1">
        <f t="array" ref="O608">IFERROR(_xlfn.LET(
_xlpm.clean,TRIM(SUBSTITUTE(SUBSTITUTE(P608,CHAR(160),"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8" s="15"/>
      <c r="R608" t="str">
        <v/>
      </c>
      <c r="S608" t="str">
        <f t="shared" si="10"/>
        <v/>
      </c>
    </row>
    <row r="609" spans="1:19" ht="12.75">
      <c r="A609" s="15" t="str">
        <v/>
      </c>
      <c r="B609" s="15" t="str">
        <v/>
      </c>
      <c r="C609" s="15" t="str" cm="1">
        <f t="array" ref="C609">IFERROR(_xlfn.TEXTJOIN("",TRUE,_xlfn._xlws.FILTER(MID(S609,_xlfn.SEQUENCE(LEN(S609)),1),ISNUMBER(SEARCH(MID(S609,_xlfn.SEQUENCE(LEN(S609)),1),"ABCDEFGHIJKLMNOPQRSTUVWXYZabcdefghijklmnopqrstuvwxyz0123456789,")))),"")</f>
        <v/>
      </c>
      <c r="D609" s="15" t="str">
        <v/>
      </c>
      <c r="E609" s="16" t="str">
        <v/>
      </c>
      <c r="F609" s="15" t="str">
        <v/>
      </c>
      <c r="G609" s="20" t="str" cm="1">
        <f t="array" ref="G609">IF(TRIM(P609)="","",IF(SUM(COUNTIF(P609,{"*NLGD*","*FWG*"}))&gt;0,P609,IF(SUM(COUNTIF(P609,{"*GL*","*DGB*","*DGI*","*GT*","*CS*","*PWU*","*DBI*","*SWU*"}))=0,P609,IF(IFERROR(VALUE(SUBSTITUTE(SUBSTITUTE(O609,"W",""),"""","")),0)&gt;52,P609&amp;"-OVRSIZE-",P609))))</f>
        <v/>
      </c>
      <c r="H609" s="15" t="str">
        <v/>
      </c>
      <c r="I609" s="15" t="str">
        <v/>
      </c>
      <c r="J609" s="15" t="str">
        <v/>
      </c>
      <c r="K609" s="15" t="str">
        <v/>
      </c>
      <c r="L609" s="15" t="str">
        <v/>
      </c>
      <c r="M609" s="10" t="str">
        <v/>
      </c>
      <c r="N609" s="14"/>
      <c r="O609" s="15" t="str" cm="1">
        <f t="array" ref="O609">IFERROR(_xlfn.LET(
_xlpm.clean,TRIM(SUBSTITUTE(SUBSTITUTE(P609,CHAR(160),"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9" s="15"/>
      <c r="R609" t="str">
        <v/>
      </c>
      <c r="S609" t="str">
        <f t="shared" si="10"/>
        <v/>
      </c>
    </row>
    <row r="610" spans="1:19" ht="12.75">
      <c r="A610" s="15" t="str">
        <v/>
      </c>
      <c r="B610" s="15" t="str">
        <v/>
      </c>
      <c r="C610" s="15" t="str" cm="1">
        <f t="array" ref="C610">IFERROR(_xlfn.TEXTJOIN("",TRUE,_xlfn._xlws.FILTER(MID(S610,_xlfn.SEQUENCE(LEN(S610)),1),ISNUMBER(SEARCH(MID(S610,_xlfn.SEQUENCE(LEN(S610)),1),"ABCDEFGHIJKLMNOPQRSTUVWXYZabcdefghijklmnopqrstuvwxyz0123456789,")))),"")</f>
        <v/>
      </c>
      <c r="D610" s="15" t="str">
        <v/>
      </c>
      <c r="E610" s="16" t="str">
        <v/>
      </c>
      <c r="F610" s="15" t="str">
        <v/>
      </c>
      <c r="G610" s="20" t="str" cm="1">
        <f t="array" ref="G610">IF(TRIM(P610)="","",IF(SUM(COUNTIF(P610,{"*NLGD*","*FWG*"}))&gt;0,P610,IF(SUM(COUNTIF(P610,{"*GL*","*DGB*","*DGI*","*GT*","*CS*","*PWU*","*DBI*","*SWU*"}))=0,P610,IF(IFERROR(VALUE(SUBSTITUTE(SUBSTITUTE(O610,"W",""),"""","")),0)&gt;52,P610&amp;"-OVRSIZE-",P610))))</f>
        <v/>
      </c>
      <c r="H610" s="15" t="str">
        <v/>
      </c>
      <c r="I610" s="15" t="str">
        <v/>
      </c>
      <c r="J610" s="15" t="str">
        <v/>
      </c>
      <c r="K610" s="15" t="str">
        <v/>
      </c>
      <c r="L610" s="15" t="str">
        <v/>
      </c>
      <c r="M610" s="10" t="str">
        <v/>
      </c>
      <c r="N610" s="14"/>
      <c r="O610" s="15" t="str" cm="1">
        <f t="array" ref="O610">IFERROR(_xlfn.LET(
_xlpm.clean,TRIM(SUBSTITUTE(SUBSTITUTE(P610,CHAR(160),"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0" s="15"/>
      <c r="R610" t="str">
        <v/>
      </c>
      <c r="S610" t="str">
        <f t="shared" si="10"/>
        <v/>
      </c>
    </row>
    <row r="611" spans="1:19" ht="12.75">
      <c r="A611" s="15" t="str">
        <v/>
      </c>
      <c r="B611" s="15" t="str">
        <v/>
      </c>
      <c r="C611" s="15" t="str" cm="1">
        <f t="array" ref="C611">IFERROR(_xlfn.TEXTJOIN("",TRUE,_xlfn._xlws.FILTER(MID(S611,_xlfn.SEQUENCE(LEN(S611)),1),ISNUMBER(SEARCH(MID(S611,_xlfn.SEQUENCE(LEN(S611)),1),"ABCDEFGHIJKLMNOPQRSTUVWXYZabcdefghijklmnopqrstuvwxyz0123456789,")))),"")</f>
        <v/>
      </c>
      <c r="D611" s="15" t="str">
        <v/>
      </c>
      <c r="E611" s="16" t="str">
        <v/>
      </c>
      <c r="F611" s="15" t="str">
        <v/>
      </c>
      <c r="G611" s="20" t="str" cm="1">
        <f t="array" ref="G611">IF(TRIM(P611)="","",IF(SUM(COUNTIF(P611,{"*NLGD*","*FWG*"}))&gt;0,P611,IF(SUM(COUNTIF(P611,{"*GL*","*DGB*","*DGI*","*GT*","*CS*","*PWU*","*DBI*","*SWU*"}))=0,P611,IF(IFERROR(VALUE(SUBSTITUTE(SUBSTITUTE(O611,"W",""),"""","")),0)&gt;52,P611&amp;"-OVRSIZE-",P611))))</f>
        <v/>
      </c>
      <c r="H611" s="15" t="str">
        <v/>
      </c>
      <c r="I611" s="15" t="str">
        <v/>
      </c>
      <c r="J611" s="15" t="str">
        <v/>
      </c>
      <c r="K611" s="15" t="str">
        <v/>
      </c>
      <c r="L611" s="15" t="str">
        <v/>
      </c>
      <c r="M611" s="10" t="str">
        <v/>
      </c>
      <c r="N611" s="14"/>
      <c r="O611" s="15" t="str" cm="1">
        <f t="array" ref="O611">IFERROR(_xlfn.LET(
_xlpm.clean,TRIM(SUBSTITUTE(SUBSTITUTE(P611,CHAR(160),"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1" s="15"/>
      <c r="R611" t="str">
        <v/>
      </c>
      <c r="S611" t="str">
        <f t="shared" si="10"/>
        <v/>
      </c>
    </row>
    <row r="612" spans="1:19" ht="12.75">
      <c r="A612" s="15" t="str">
        <v/>
      </c>
      <c r="B612" s="15" t="str">
        <v/>
      </c>
      <c r="C612" s="15" t="str" cm="1">
        <f t="array" ref="C612">IFERROR(_xlfn.TEXTJOIN("",TRUE,_xlfn._xlws.FILTER(MID(S612,_xlfn.SEQUENCE(LEN(S612)),1),ISNUMBER(SEARCH(MID(S612,_xlfn.SEQUENCE(LEN(S612)),1),"ABCDEFGHIJKLMNOPQRSTUVWXYZabcdefghijklmnopqrstuvwxyz0123456789,")))),"")</f>
        <v/>
      </c>
      <c r="D612" s="15" t="str">
        <v/>
      </c>
      <c r="E612" s="16" t="str">
        <v/>
      </c>
      <c r="F612" s="15" t="str">
        <v/>
      </c>
      <c r="G612" s="20" t="str" cm="1">
        <f t="array" ref="G612">IF(TRIM(P612)="","",IF(SUM(COUNTIF(P612,{"*NLGD*","*FWG*"}))&gt;0,P612,IF(SUM(COUNTIF(P612,{"*GL*","*DGB*","*DGI*","*GT*","*CS*","*PWU*","*DBI*","*SWU*"}))=0,P612,IF(IFERROR(VALUE(SUBSTITUTE(SUBSTITUTE(O612,"W",""),"""","")),0)&gt;52,P612&amp;"-OVRSIZE-",P612))))</f>
        <v/>
      </c>
      <c r="H612" s="15" t="str">
        <v/>
      </c>
      <c r="I612" s="15" t="str">
        <v/>
      </c>
      <c r="J612" s="15" t="str">
        <v/>
      </c>
      <c r="K612" s="15" t="str">
        <v/>
      </c>
      <c r="L612" s="15" t="str">
        <v/>
      </c>
      <c r="M612" s="10" t="str">
        <v/>
      </c>
      <c r="N612" s="14"/>
      <c r="O612" s="15" t="str" cm="1">
        <f t="array" ref="O612">IFERROR(_xlfn.LET(
_xlpm.clean,TRIM(SUBSTITUTE(SUBSTITUTE(P612,CHAR(160),"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2" s="15"/>
      <c r="R612" t="str">
        <v/>
      </c>
      <c r="S612" t="str">
        <f t="shared" si="10"/>
        <v/>
      </c>
    </row>
    <row r="613" spans="1:19" ht="12.75">
      <c r="A613" s="15" t="str">
        <v/>
      </c>
      <c r="B613" s="15" t="str">
        <v/>
      </c>
      <c r="C613" s="15" t="str" cm="1">
        <f t="array" ref="C613">IFERROR(_xlfn.TEXTJOIN("",TRUE,_xlfn._xlws.FILTER(MID(S613,_xlfn.SEQUENCE(LEN(S613)),1),ISNUMBER(SEARCH(MID(S613,_xlfn.SEQUENCE(LEN(S613)),1),"ABCDEFGHIJKLMNOPQRSTUVWXYZabcdefghijklmnopqrstuvwxyz0123456789,")))),"")</f>
        <v/>
      </c>
      <c r="D613" s="15" t="str">
        <v/>
      </c>
      <c r="E613" s="16" t="str">
        <v/>
      </c>
      <c r="F613" s="15" t="str">
        <v/>
      </c>
      <c r="G613" s="20" t="str" cm="1">
        <f t="array" ref="G613">IF(TRIM(P613)="","",IF(SUM(COUNTIF(P613,{"*NLGD*","*FWG*"}))&gt;0,P613,IF(SUM(COUNTIF(P613,{"*GL*","*DGB*","*DGI*","*GT*","*CS*","*PWU*","*DBI*","*SWU*"}))=0,P613,IF(IFERROR(VALUE(SUBSTITUTE(SUBSTITUTE(O613,"W",""),"""","")),0)&gt;52,P613&amp;"-OVRSIZE-",P613))))</f>
        <v/>
      </c>
      <c r="H613" s="15" t="str">
        <v/>
      </c>
      <c r="I613" s="15" t="str">
        <v/>
      </c>
      <c r="J613" s="15" t="str">
        <v/>
      </c>
      <c r="K613" s="15" t="str">
        <v/>
      </c>
      <c r="L613" s="15" t="str">
        <v/>
      </c>
      <c r="M613" s="10" t="str">
        <v/>
      </c>
      <c r="N613" s="14"/>
      <c r="O613" s="15" t="str" cm="1">
        <f t="array" ref="O613">IFERROR(_xlfn.LET(
_xlpm.clean,TRIM(SUBSTITUTE(SUBSTITUTE(P613,CHAR(160),"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3" s="15"/>
      <c r="R613" t="str">
        <v/>
      </c>
      <c r="S613" t="str">
        <f t="shared" si="10"/>
        <v/>
      </c>
    </row>
    <row r="614" spans="1:19" ht="12.75">
      <c r="A614" s="15" t="str">
        <v/>
      </c>
      <c r="B614" s="15" t="str">
        <v/>
      </c>
      <c r="C614" s="15" t="str" cm="1">
        <f t="array" ref="C614">IFERROR(_xlfn.TEXTJOIN("",TRUE,_xlfn._xlws.FILTER(MID(S614,_xlfn.SEQUENCE(LEN(S614)),1),ISNUMBER(SEARCH(MID(S614,_xlfn.SEQUENCE(LEN(S614)),1),"ABCDEFGHIJKLMNOPQRSTUVWXYZabcdefghijklmnopqrstuvwxyz0123456789,")))),"")</f>
        <v/>
      </c>
      <c r="D614" s="15" t="str">
        <v/>
      </c>
      <c r="E614" s="16" t="str">
        <v/>
      </c>
      <c r="F614" s="15" t="str">
        <v/>
      </c>
      <c r="G614" s="20" t="str" cm="1">
        <f t="array" ref="G614">IF(TRIM(P614)="","",IF(SUM(COUNTIF(P614,{"*NLGD*","*FWG*"}))&gt;0,P614,IF(SUM(COUNTIF(P614,{"*GL*","*DGB*","*DGI*","*GT*","*CS*","*PWU*","*DBI*","*SWU*"}))=0,P614,IF(IFERROR(VALUE(SUBSTITUTE(SUBSTITUTE(O614,"W",""),"""","")),0)&gt;52,P614&amp;"-OVRSIZE-",P614))))</f>
        <v/>
      </c>
      <c r="H614" s="15" t="str">
        <v/>
      </c>
      <c r="I614" s="15" t="str">
        <v/>
      </c>
      <c r="J614" s="15" t="str">
        <v/>
      </c>
      <c r="K614" s="15" t="str">
        <v/>
      </c>
      <c r="L614" s="15" t="str">
        <v/>
      </c>
      <c r="M614" s="10" t="str">
        <v/>
      </c>
      <c r="N614" s="14"/>
      <c r="O614" s="15" t="str" cm="1">
        <f t="array" ref="O614">IFERROR(_xlfn.LET(
_xlpm.clean,TRIM(SUBSTITUTE(SUBSTITUTE(P614,CHAR(160),"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4" s="15"/>
      <c r="R614" t="str">
        <v/>
      </c>
      <c r="S614" t="str">
        <f t="shared" si="10"/>
        <v/>
      </c>
    </row>
    <row r="615" spans="1:19" ht="12.75">
      <c r="A615" s="15" t="str">
        <v/>
      </c>
      <c r="B615" s="15" t="str">
        <v/>
      </c>
      <c r="C615" s="15" t="str" cm="1">
        <f t="array" ref="C615">IFERROR(_xlfn.TEXTJOIN("",TRUE,_xlfn._xlws.FILTER(MID(S615,_xlfn.SEQUENCE(LEN(S615)),1),ISNUMBER(SEARCH(MID(S615,_xlfn.SEQUENCE(LEN(S615)),1),"ABCDEFGHIJKLMNOPQRSTUVWXYZabcdefghijklmnopqrstuvwxyz0123456789,")))),"")</f>
        <v/>
      </c>
      <c r="D615" s="15" t="str">
        <v/>
      </c>
      <c r="E615" s="16" t="str">
        <v/>
      </c>
      <c r="F615" s="15" t="str">
        <v/>
      </c>
      <c r="G615" s="20" t="str" cm="1">
        <f t="array" ref="G615">IF(TRIM(P615)="","",IF(SUM(COUNTIF(P615,{"*NLGD*","*FWG*"}))&gt;0,P615,IF(SUM(COUNTIF(P615,{"*GL*","*DGB*","*DGI*","*GT*","*CS*","*PWU*","*DBI*","*SWU*"}))=0,P615,IF(IFERROR(VALUE(SUBSTITUTE(SUBSTITUTE(O615,"W",""),"""","")),0)&gt;52,P615&amp;"-OVRSIZE-",P615))))</f>
        <v/>
      </c>
      <c r="H615" s="15" t="str">
        <v/>
      </c>
      <c r="I615" s="15" t="str">
        <v/>
      </c>
      <c r="J615" s="15" t="str">
        <v/>
      </c>
      <c r="K615" s="15" t="str">
        <v/>
      </c>
      <c r="L615" s="15" t="str">
        <v/>
      </c>
      <c r="M615" s="10" t="str">
        <v/>
      </c>
      <c r="N615" s="14"/>
      <c r="O615" s="15" t="str" cm="1">
        <f t="array" ref="O615">IFERROR(_xlfn.LET(
_xlpm.clean,TRIM(SUBSTITUTE(SUBSTITUTE(P615,CHAR(160),"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5" s="15"/>
      <c r="R615" t="str">
        <v/>
      </c>
      <c r="S615" t="str">
        <f t="shared" si="10"/>
        <v/>
      </c>
    </row>
    <row r="616" spans="1:19" ht="12.75">
      <c r="A616" s="15" t="str">
        <v/>
      </c>
      <c r="B616" s="15" t="str">
        <v/>
      </c>
      <c r="C616" s="15" t="str" cm="1">
        <f t="array" ref="C616">IFERROR(_xlfn.TEXTJOIN("",TRUE,_xlfn._xlws.FILTER(MID(S616,_xlfn.SEQUENCE(LEN(S616)),1),ISNUMBER(SEARCH(MID(S616,_xlfn.SEQUENCE(LEN(S616)),1),"ABCDEFGHIJKLMNOPQRSTUVWXYZabcdefghijklmnopqrstuvwxyz0123456789,")))),"")</f>
        <v/>
      </c>
      <c r="D616" s="15" t="str">
        <v/>
      </c>
      <c r="E616" s="16" t="str">
        <v/>
      </c>
      <c r="F616" s="15" t="str">
        <v/>
      </c>
      <c r="G616" s="20" t="str" cm="1">
        <f t="array" ref="G616">IF(TRIM(P616)="","",IF(SUM(COUNTIF(P616,{"*NLGD*","*FWG*"}))&gt;0,P616,IF(SUM(COUNTIF(P616,{"*GL*","*DGB*","*DGI*","*GT*","*CS*","*PWU*","*DBI*","*SWU*"}))=0,P616,IF(IFERROR(VALUE(SUBSTITUTE(SUBSTITUTE(O616,"W",""),"""","")),0)&gt;52,P616&amp;"-OVRSIZE-",P616))))</f>
        <v/>
      </c>
      <c r="H616" s="15" t="str">
        <v/>
      </c>
      <c r="I616" s="15" t="str">
        <v/>
      </c>
      <c r="J616" s="15" t="str">
        <v/>
      </c>
      <c r="K616" s="15" t="str">
        <v/>
      </c>
      <c r="L616" s="15" t="str">
        <v/>
      </c>
      <c r="M616" s="10" t="str">
        <v/>
      </c>
      <c r="N616" s="14"/>
      <c r="O616" s="15" t="str" cm="1">
        <f t="array" ref="O616">IFERROR(_xlfn.LET(
_xlpm.clean,TRIM(SUBSTITUTE(SUBSTITUTE(P616,CHAR(160),"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6" s="15"/>
      <c r="R616" t="str">
        <v/>
      </c>
      <c r="S616" t="str">
        <f t="shared" si="10"/>
        <v/>
      </c>
    </row>
    <row r="617" spans="1:19" ht="12.75">
      <c r="A617" s="15" t="str">
        <v/>
      </c>
      <c r="B617" s="15" t="str">
        <v/>
      </c>
      <c r="C617" s="15" t="str" cm="1">
        <f t="array" ref="C617">IFERROR(_xlfn.TEXTJOIN("",TRUE,_xlfn._xlws.FILTER(MID(S617,_xlfn.SEQUENCE(LEN(S617)),1),ISNUMBER(SEARCH(MID(S617,_xlfn.SEQUENCE(LEN(S617)),1),"ABCDEFGHIJKLMNOPQRSTUVWXYZabcdefghijklmnopqrstuvwxyz0123456789,")))),"")</f>
        <v/>
      </c>
      <c r="D617" s="15" t="str">
        <v/>
      </c>
      <c r="E617" s="16" t="str">
        <v/>
      </c>
      <c r="F617" s="15" t="str">
        <v/>
      </c>
      <c r="G617" s="20" t="str" cm="1">
        <f t="array" ref="G617">IF(TRIM(P617)="","",IF(SUM(COUNTIF(P617,{"*NLGD*","*FWG*"}))&gt;0,P617,IF(SUM(COUNTIF(P617,{"*GL*","*DGB*","*DGI*","*GT*","*CS*","*PWU*","*DBI*","*SWU*"}))=0,P617,IF(IFERROR(VALUE(SUBSTITUTE(SUBSTITUTE(O617,"W",""),"""","")),0)&gt;52,P617&amp;"-OVRSIZE-",P617))))</f>
        <v/>
      </c>
      <c r="H617" s="15" t="str">
        <v/>
      </c>
      <c r="I617" s="15" t="str">
        <v/>
      </c>
      <c r="J617" s="15" t="str">
        <v/>
      </c>
      <c r="K617" s="15" t="str">
        <v/>
      </c>
      <c r="L617" s="15" t="str">
        <v/>
      </c>
      <c r="M617" s="10" t="str">
        <v/>
      </c>
      <c r="N617" s="14"/>
      <c r="O617" s="15" t="str" cm="1">
        <f t="array" ref="O617">IFERROR(_xlfn.LET(
_xlpm.clean,TRIM(SUBSTITUTE(SUBSTITUTE(P617,CHAR(160),"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7" s="15"/>
      <c r="R617" t="str">
        <v/>
      </c>
      <c r="S617" t="str">
        <f t="shared" si="10"/>
        <v/>
      </c>
    </row>
    <row r="618" spans="1:19" ht="12.75">
      <c r="A618" s="15" t="str">
        <v/>
      </c>
      <c r="B618" s="15" t="str">
        <v/>
      </c>
      <c r="C618" s="15" t="str" cm="1">
        <f t="array" ref="C618">IFERROR(_xlfn.TEXTJOIN("",TRUE,_xlfn._xlws.FILTER(MID(S618,_xlfn.SEQUENCE(LEN(S618)),1),ISNUMBER(SEARCH(MID(S618,_xlfn.SEQUENCE(LEN(S618)),1),"ABCDEFGHIJKLMNOPQRSTUVWXYZabcdefghijklmnopqrstuvwxyz0123456789,")))),"")</f>
        <v/>
      </c>
      <c r="D618" s="15" t="str">
        <v/>
      </c>
      <c r="E618" s="16" t="str">
        <v/>
      </c>
      <c r="F618" s="15" t="str">
        <v/>
      </c>
      <c r="G618" s="20" t="str" cm="1">
        <f t="array" ref="G618">IF(TRIM(P618)="","",IF(SUM(COUNTIF(P618,{"*NLGD*","*FWG*"}))&gt;0,P618,IF(SUM(COUNTIF(P618,{"*GL*","*DGB*","*DGI*","*GT*","*CS*","*PWU*","*DBI*","*SWU*"}))=0,P618,IF(IFERROR(VALUE(SUBSTITUTE(SUBSTITUTE(O618,"W",""),"""","")),0)&gt;52,P618&amp;"-OVRSIZE-",P618))))</f>
        <v/>
      </c>
      <c r="H618" s="15" t="str">
        <v/>
      </c>
      <c r="I618" s="15" t="str">
        <v/>
      </c>
      <c r="J618" s="15" t="str">
        <v/>
      </c>
      <c r="K618" s="15" t="str">
        <v/>
      </c>
      <c r="L618" s="15" t="str">
        <v/>
      </c>
      <c r="M618" s="10" t="str">
        <v/>
      </c>
      <c r="N618" s="14"/>
      <c r="O618" s="15" t="str" cm="1">
        <f t="array" ref="O618">IFERROR(_xlfn.LET(
_xlpm.clean,TRIM(SUBSTITUTE(SUBSTITUTE(P618,CHAR(160),"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8" s="15"/>
      <c r="R618" t="str">
        <v/>
      </c>
      <c r="S618" t="str">
        <f t="shared" si="10"/>
        <v/>
      </c>
    </row>
    <row r="619" spans="1:19" ht="12.75">
      <c r="A619" s="15" t="str">
        <v/>
      </c>
      <c r="B619" s="15" t="str">
        <v/>
      </c>
      <c r="C619" s="15" t="str" cm="1">
        <f t="array" ref="C619">IFERROR(_xlfn.TEXTJOIN("",TRUE,_xlfn._xlws.FILTER(MID(S619,_xlfn.SEQUENCE(LEN(S619)),1),ISNUMBER(SEARCH(MID(S619,_xlfn.SEQUENCE(LEN(S619)),1),"ABCDEFGHIJKLMNOPQRSTUVWXYZabcdefghijklmnopqrstuvwxyz0123456789,")))),"")</f>
        <v/>
      </c>
      <c r="D619" s="15" t="str">
        <v/>
      </c>
      <c r="E619" s="16" t="str">
        <v/>
      </c>
      <c r="F619" s="15" t="str">
        <v/>
      </c>
      <c r="G619" s="20" t="str" cm="1">
        <f t="array" ref="G619">IF(TRIM(P619)="","",IF(SUM(COUNTIF(P619,{"*NLGD*","*FWG*"}))&gt;0,P619,IF(SUM(COUNTIF(P619,{"*GL*","*DGB*","*DGI*","*GT*","*CS*","*PWU*","*DBI*","*SWU*"}))=0,P619,IF(IFERROR(VALUE(SUBSTITUTE(SUBSTITUTE(O619,"W",""),"""","")),0)&gt;52,P619&amp;"-OVRSIZE-",P619))))</f>
        <v/>
      </c>
      <c r="H619" s="15" t="str">
        <v/>
      </c>
      <c r="I619" s="15" t="str">
        <v/>
      </c>
      <c r="J619" s="15" t="str">
        <v/>
      </c>
      <c r="K619" s="15" t="str">
        <v/>
      </c>
      <c r="L619" s="15" t="str">
        <v/>
      </c>
      <c r="M619" s="10" t="str">
        <v/>
      </c>
      <c r="N619" s="14"/>
      <c r="O619" s="15" t="str" cm="1">
        <f t="array" ref="O619">IFERROR(_xlfn.LET(
_xlpm.clean,TRIM(SUBSTITUTE(SUBSTITUTE(P619,CHAR(160),"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9" s="15"/>
      <c r="R619" t="str">
        <v/>
      </c>
      <c r="S619" t="str">
        <f t="shared" si="10"/>
        <v/>
      </c>
    </row>
    <row r="620" spans="1:19" ht="12.75">
      <c r="A620" s="15" t="str">
        <v/>
      </c>
      <c r="B620" s="15" t="str">
        <v/>
      </c>
      <c r="C620" s="15" t="str" cm="1">
        <f t="array" ref="C620">IFERROR(_xlfn.TEXTJOIN("",TRUE,_xlfn._xlws.FILTER(MID(S620,_xlfn.SEQUENCE(LEN(S620)),1),ISNUMBER(SEARCH(MID(S620,_xlfn.SEQUENCE(LEN(S620)),1),"ABCDEFGHIJKLMNOPQRSTUVWXYZabcdefghijklmnopqrstuvwxyz0123456789,")))),"")</f>
        <v/>
      </c>
      <c r="D620" s="15" t="str">
        <v/>
      </c>
      <c r="E620" s="16" t="str">
        <v/>
      </c>
      <c r="F620" s="15" t="str">
        <v/>
      </c>
      <c r="G620" s="20" t="str" cm="1">
        <f t="array" ref="G620">IF(TRIM(P620)="","",IF(SUM(COUNTIF(P620,{"*NLGD*","*FWG*"}))&gt;0,P620,IF(SUM(COUNTIF(P620,{"*GL*","*DGB*","*DGI*","*GT*","*CS*","*PWU*","*DBI*","*SWU*"}))=0,P620,IF(IFERROR(VALUE(SUBSTITUTE(SUBSTITUTE(O620,"W",""),"""","")),0)&gt;52,P620&amp;"-OVRSIZE-",P620))))</f>
        <v/>
      </c>
      <c r="H620" s="15" t="str">
        <v/>
      </c>
      <c r="I620" s="15" t="str">
        <v/>
      </c>
      <c r="J620" s="15" t="str">
        <v/>
      </c>
      <c r="K620" s="15" t="str">
        <v/>
      </c>
      <c r="L620" s="15" t="str">
        <v/>
      </c>
      <c r="M620" s="10" t="str">
        <v/>
      </c>
      <c r="N620" s="14"/>
      <c r="O620" s="15" t="str" cm="1">
        <f t="array" ref="O620">IFERROR(_xlfn.LET(
_xlpm.clean,TRIM(SUBSTITUTE(SUBSTITUTE(P620,CHAR(160),"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0" s="15"/>
      <c r="R620" t="str">
        <v/>
      </c>
      <c r="S620" t="str">
        <f t="shared" si="10"/>
        <v/>
      </c>
    </row>
    <row r="621" spans="1:19" ht="12.75">
      <c r="A621" s="15" t="str">
        <v/>
      </c>
      <c r="B621" s="15" t="str">
        <v/>
      </c>
      <c r="C621" s="15" t="str" cm="1">
        <f t="array" ref="C621">IFERROR(_xlfn.TEXTJOIN("",TRUE,_xlfn._xlws.FILTER(MID(S621,_xlfn.SEQUENCE(LEN(S621)),1),ISNUMBER(SEARCH(MID(S621,_xlfn.SEQUENCE(LEN(S621)),1),"ABCDEFGHIJKLMNOPQRSTUVWXYZabcdefghijklmnopqrstuvwxyz0123456789,")))),"")</f>
        <v/>
      </c>
      <c r="D621" s="15" t="str">
        <v/>
      </c>
      <c r="E621" s="16" t="str">
        <v/>
      </c>
      <c r="F621" s="15" t="str">
        <v/>
      </c>
      <c r="G621" s="20" t="str" cm="1">
        <f t="array" ref="G621">IF(TRIM(P621)="","",IF(SUM(COUNTIF(P621,{"*NLGD*","*FWG*"}))&gt;0,P621,IF(SUM(COUNTIF(P621,{"*GL*","*DGB*","*DGI*","*GT*","*CS*","*PWU*","*DBI*","*SWU*"}))=0,P621,IF(IFERROR(VALUE(SUBSTITUTE(SUBSTITUTE(O621,"W",""),"""","")),0)&gt;52,P621&amp;"-OVRSIZE-",P621))))</f>
        <v/>
      </c>
      <c r="H621" s="15" t="str">
        <v/>
      </c>
      <c r="I621" s="15" t="str">
        <v/>
      </c>
      <c r="J621" s="15" t="str">
        <v/>
      </c>
      <c r="K621" s="15" t="str">
        <v/>
      </c>
      <c r="L621" s="15" t="str">
        <v/>
      </c>
      <c r="M621" s="10" t="str">
        <v/>
      </c>
      <c r="N621" s="14"/>
      <c r="O621" s="15" t="str" cm="1">
        <f t="array" ref="O621">IFERROR(_xlfn.LET(
_xlpm.clean,TRIM(SUBSTITUTE(SUBSTITUTE(P621,CHAR(160),"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1" s="15"/>
      <c r="R621" t="str">
        <v/>
      </c>
      <c r="S621" t="str">
        <f t="shared" si="10"/>
        <v/>
      </c>
    </row>
    <row r="622" spans="1:19" ht="12.75">
      <c r="A622" s="15" t="str">
        <v/>
      </c>
      <c r="B622" s="15" t="str">
        <v/>
      </c>
      <c r="C622" s="15" t="str" cm="1">
        <f t="array" ref="C622">IFERROR(_xlfn.TEXTJOIN("",TRUE,_xlfn._xlws.FILTER(MID(S622,_xlfn.SEQUENCE(LEN(S622)),1),ISNUMBER(SEARCH(MID(S622,_xlfn.SEQUENCE(LEN(S622)),1),"ABCDEFGHIJKLMNOPQRSTUVWXYZabcdefghijklmnopqrstuvwxyz0123456789,")))),"")</f>
        <v/>
      </c>
      <c r="D622" s="15" t="str">
        <v/>
      </c>
      <c r="E622" s="16" t="str">
        <v/>
      </c>
      <c r="F622" s="15" t="str">
        <v/>
      </c>
      <c r="G622" s="20" t="str" cm="1">
        <f t="array" ref="G622">IF(TRIM(P622)="","",IF(SUM(COUNTIF(P622,{"*NLGD*","*FWG*"}))&gt;0,P622,IF(SUM(COUNTIF(P622,{"*GL*","*DGB*","*DGI*","*GT*","*CS*","*PWU*","*DBI*","*SWU*"}))=0,P622,IF(IFERROR(VALUE(SUBSTITUTE(SUBSTITUTE(O622,"W",""),"""","")),0)&gt;52,P622&amp;"-OVRSIZE-",P622))))</f>
        <v/>
      </c>
      <c r="H622" s="15" t="str">
        <v/>
      </c>
      <c r="I622" s="15" t="str">
        <v/>
      </c>
      <c r="J622" s="15" t="str">
        <v/>
      </c>
      <c r="K622" s="15" t="str">
        <v/>
      </c>
      <c r="L622" s="15" t="str">
        <v/>
      </c>
      <c r="M622" s="10" t="str">
        <v/>
      </c>
      <c r="N622" s="14"/>
      <c r="O622" s="15" t="str" cm="1">
        <f t="array" ref="O622">IFERROR(_xlfn.LET(
_xlpm.clean,TRIM(SUBSTITUTE(SUBSTITUTE(P622,CHAR(160),"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2" s="15"/>
      <c r="R622" t="str">
        <v/>
      </c>
      <c r="S622" t="str">
        <f t="shared" si="10"/>
        <v/>
      </c>
    </row>
    <row r="623" spans="1:19" ht="12.75">
      <c r="A623" s="15" t="str">
        <v/>
      </c>
      <c r="B623" s="15" t="str">
        <v/>
      </c>
      <c r="C623" s="15" t="str" cm="1">
        <f t="array" ref="C623">IFERROR(_xlfn.TEXTJOIN("",TRUE,_xlfn._xlws.FILTER(MID(S623,_xlfn.SEQUENCE(LEN(S623)),1),ISNUMBER(SEARCH(MID(S623,_xlfn.SEQUENCE(LEN(S623)),1),"ABCDEFGHIJKLMNOPQRSTUVWXYZabcdefghijklmnopqrstuvwxyz0123456789,")))),"")</f>
        <v/>
      </c>
      <c r="D623" s="15" t="str">
        <v/>
      </c>
      <c r="E623" s="16" t="str">
        <v/>
      </c>
      <c r="F623" s="15" t="str">
        <v/>
      </c>
      <c r="G623" s="20" t="str" cm="1">
        <f t="array" ref="G623">IF(TRIM(P623)="","",IF(SUM(COUNTIF(P623,{"*NLGD*","*FWG*"}))&gt;0,P623,IF(SUM(COUNTIF(P623,{"*GL*","*DGB*","*DGI*","*GT*","*CS*","*PWU*","*DBI*","*SWU*"}))=0,P623,IF(IFERROR(VALUE(SUBSTITUTE(SUBSTITUTE(O623,"W",""),"""","")),0)&gt;52,P623&amp;"-OVRSIZE-",P623))))</f>
        <v/>
      </c>
      <c r="H623" s="15" t="str">
        <v/>
      </c>
      <c r="I623" s="15" t="str">
        <v/>
      </c>
      <c r="J623" s="15" t="str">
        <v/>
      </c>
      <c r="K623" s="15" t="str">
        <v/>
      </c>
      <c r="L623" s="15" t="str">
        <v/>
      </c>
      <c r="M623" s="10" t="str">
        <v/>
      </c>
      <c r="N623" s="14"/>
      <c r="O623" s="15" t="str" cm="1">
        <f t="array" ref="O623">IFERROR(_xlfn.LET(
_xlpm.clean,TRIM(SUBSTITUTE(SUBSTITUTE(P623,CHAR(160),"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3" s="15"/>
      <c r="R623" t="str">
        <v/>
      </c>
      <c r="S623" t="str">
        <f t="shared" si="10"/>
        <v/>
      </c>
    </row>
    <row r="624" spans="1:19" ht="12.75">
      <c r="A624" s="15" t="str">
        <v/>
      </c>
      <c r="B624" s="15" t="str">
        <v/>
      </c>
      <c r="C624" s="15" t="str" cm="1">
        <f t="array" ref="C624">IFERROR(_xlfn.TEXTJOIN("",TRUE,_xlfn._xlws.FILTER(MID(S624,_xlfn.SEQUENCE(LEN(S624)),1),ISNUMBER(SEARCH(MID(S624,_xlfn.SEQUENCE(LEN(S624)),1),"ABCDEFGHIJKLMNOPQRSTUVWXYZabcdefghijklmnopqrstuvwxyz0123456789,")))),"")</f>
        <v/>
      </c>
      <c r="D624" s="15" t="str">
        <v/>
      </c>
      <c r="E624" s="16" t="str">
        <v/>
      </c>
      <c r="F624" s="15" t="str">
        <v/>
      </c>
      <c r="G624" s="20" t="str" cm="1">
        <f t="array" ref="G624">IF(TRIM(P624)="","",IF(SUM(COUNTIF(P624,{"*NLGD*","*FWG*"}))&gt;0,P624,IF(SUM(COUNTIF(P624,{"*GL*","*DGB*","*DGI*","*GT*","*CS*","*PWU*","*DBI*","*SWU*"}))=0,P624,IF(IFERROR(VALUE(SUBSTITUTE(SUBSTITUTE(O624,"W",""),"""","")),0)&gt;52,P624&amp;"-OVRSIZE-",P624))))</f>
        <v/>
      </c>
      <c r="H624" s="15" t="str">
        <v/>
      </c>
      <c r="I624" s="15" t="str">
        <v/>
      </c>
      <c r="J624" s="15" t="str">
        <v/>
      </c>
      <c r="K624" s="15" t="str">
        <v/>
      </c>
      <c r="L624" s="15" t="str">
        <v/>
      </c>
      <c r="M624" s="10" t="str">
        <v/>
      </c>
      <c r="N624" s="14"/>
      <c r="O624" s="15" t="str" cm="1">
        <f t="array" ref="O624">IFERROR(_xlfn.LET(
_xlpm.clean,TRIM(SUBSTITUTE(SUBSTITUTE(P624,CHAR(160),"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4" s="15"/>
      <c r="R624" t="str">
        <v/>
      </c>
      <c r="S624" t="str">
        <f t="shared" si="10"/>
        <v/>
      </c>
    </row>
    <row r="625" spans="1:19" ht="12.75">
      <c r="A625" s="15" t="str">
        <v/>
      </c>
      <c r="B625" s="15" t="str">
        <v/>
      </c>
      <c r="C625" s="15" t="str" cm="1">
        <f t="array" ref="C625">IFERROR(_xlfn.TEXTJOIN("",TRUE,_xlfn._xlws.FILTER(MID(S625,_xlfn.SEQUENCE(LEN(S625)),1),ISNUMBER(SEARCH(MID(S625,_xlfn.SEQUENCE(LEN(S625)),1),"ABCDEFGHIJKLMNOPQRSTUVWXYZabcdefghijklmnopqrstuvwxyz0123456789,")))),"")</f>
        <v/>
      </c>
      <c r="D625" s="15" t="str">
        <v/>
      </c>
      <c r="E625" s="16" t="str">
        <v/>
      </c>
      <c r="F625" s="15" t="str">
        <v/>
      </c>
      <c r="G625" s="20" t="str" cm="1">
        <f t="array" ref="G625">IF(TRIM(P625)="","",IF(SUM(COUNTIF(P625,{"*NLGD*","*FWG*"}))&gt;0,P625,IF(SUM(COUNTIF(P625,{"*GL*","*DGB*","*DGI*","*GT*","*CS*","*PWU*","*DBI*","*SWU*"}))=0,P625,IF(IFERROR(VALUE(SUBSTITUTE(SUBSTITUTE(O625,"W",""),"""","")),0)&gt;52,P625&amp;"-OVRSIZE-",P625))))</f>
        <v/>
      </c>
      <c r="H625" s="15" t="str">
        <v/>
      </c>
      <c r="I625" s="15" t="str">
        <v/>
      </c>
      <c r="J625" s="15" t="str">
        <v/>
      </c>
      <c r="K625" s="15" t="str">
        <v/>
      </c>
      <c r="L625" s="15" t="str">
        <v/>
      </c>
      <c r="M625" s="10" t="str">
        <v/>
      </c>
      <c r="N625" s="14"/>
      <c r="O625" s="15" t="str" cm="1">
        <f t="array" ref="O625">IFERROR(_xlfn.LET(
_xlpm.clean,TRIM(SUBSTITUTE(SUBSTITUTE(P625,CHAR(160),"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5" s="15"/>
      <c r="R625" t="str">
        <v/>
      </c>
      <c r="S625" t="str">
        <f t="shared" si="10"/>
        <v/>
      </c>
    </row>
    <row r="626" spans="1:19" ht="12.75">
      <c r="A626" s="15" t="str">
        <v/>
      </c>
      <c r="B626" s="15" t="str">
        <v/>
      </c>
      <c r="C626" s="15" t="str" cm="1">
        <f t="array" ref="C626">IFERROR(_xlfn.TEXTJOIN("",TRUE,_xlfn._xlws.FILTER(MID(S626,_xlfn.SEQUENCE(LEN(S626)),1),ISNUMBER(SEARCH(MID(S626,_xlfn.SEQUENCE(LEN(S626)),1),"ABCDEFGHIJKLMNOPQRSTUVWXYZabcdefghijklmnopqrstuvwxyz0123456789,")))),"")</f>
        <v/>
      </c>
      <c r="D626" s="15" t="str">
        <v/>
      </c>
      <c r="E626" s="16" t="str">
        <v/>
      </c>
      <c r="F626" s="15" t="str">
        <v/>
      </c>
      <c r="G626" s="20" t="str" cm="1">
        <f t="array" ref="G626">IF(TRIM(P626)="","",IF(SUM(COUNTIF(P626,{"*NLGD*","*FWG*"}))&gt;0,P626,IF(SUM(COUNTIF(P626,{"*GL*","*DGB*","*DGI*","*GT*","*CS*","*PWU*","*DBI*","*SWU*"}))=0,P626,IF(IFERROR(VALUE(SUBSTITUTE(SUBSTITUTE(O626,"W",""),"""","")),0)&gt;52,P626&amp;"-OVRSIZE-",P626))))</f>
        <v/>
      </c>
      <c r="H626" s="15" t="str">
        <v/>
      </c>
      <c r="I626" s="15" t="str">
        <v/>
      </c>
      <c r="J626" s="15" t="str">
        <v/>
      </c>
      <c r="K626" s="15" t="str">
        <v/>
      </c>
      <c r="L626" s="15" t="str">
        <v/>
      </c>
      <c r="M626" s="10" t="str">
        <v/>
      </c>
      <c r="N626" s="14"/>
      <c r="O626" s="15" t="str" cm="1">
        <f t="array" ref="O626">IFERROR(_xlfn.LET(
_xlpm.clean,TRIM(SUBSTITUTE(SUBSTITUTE(P626,CHAR(160),"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6" s="15"/>
      <c r="R626" t="str">
        <v/>
      </c>
      <c r="S626" t="str">
        <f t="shared" si="10"/>
        <v/>
      </c>
    </row>
    <row r="627" spans="1:19" ht="12.75">
      <c r="A627" s="15" t="str">
        <v/>
      </c>
      <c r="B627" s="15" t="str">
        <v/>
      </c>
      <c r="C627" s="15" t="str" cm="1">
        <f t="array" ref="C627">IFERROR(_xlfn.TEXTJOIN("",TRUE,_xlfn._xlws.FILTER(MID(S627,_xlfn.SEQUENCE(LEN(S627)),1),ISNUMBER(SEARCH(MID(S627,_xlfn.SEQUENCE(LEN(S627)),1),"ABCDEFGHIJKLMNOPQRSTUVWXYZabcdefghijklmnopqrstuvwxyz0123456789,")))),"")</f>
        <v/>
      </c>
      <c r="D627" s="15" t="str">
        <v/>
      </c>
      <c r="E627" s="16" t="str">
        <v/>
      </c>
      <c r="F627" s="15" t="str">
        <v/>
      </c>
      <c r="G627" s="20" t="str" cm="1">
        <f t="array" ref="G627">IF(TRIM(P627)="","",IF(SUM(COUNTIF(P627,{"*NLGD*","*FWG*"}))&gt;0,P627,IF(SUM(COUNTIF(P627,{"*GL*","*DGB*","*DGI*","*GT*","*CS*","*PWU*","*DBI*","*SWU*"}))=0,P627,IF(IFERROR(VALUE(SUBSTITUTE(SUBSTITUTE(O627,"W",""),"""","")),0)&gt;52,P627&amp;"-OVRSIZE-",P627))))</f>
        <v/>
      </c>
      <c r="H627" s="15" t="str">
        <v/>
      </c>
      <c r="I627" s="15" t="str">
        <v/>
      </c>
      <c r="J627" s="15" t="str">
        <v/>
      </c>
      <c r="K627" s="15" t="str">
        <v/>
      </c>
      <c r="L627" s="15" t="str">
        <v/>
      </c>
      <c r="M627" s="10" t="str">
        <v/>
      </c>
      <c r="N627" s="14"/>
      <c r="O627" s="15" t="str" cm="1">
        <f t="array" ref="O627">IFERROR(_xlfn.LET(
_xlpm.clean,TRIM(SUBSTITUTE(SUBSTITUTE(P627,CHAR(160),"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7" s="15"/>
      <c r="R627" t="str">
        <v/>
      </c>
      <c r="S627" t="str">
        <f t="shared" si="10"/>
        <v/>
      </c>
    </row>
    <row r="628" spans="1:19" ht="12.75">
      <c r="A628" s="15" t="str">
        <v/>
      </c>
      <c r="B628" s="15" t="str">
        <v/>
      </c>
      <c r="C628" s="15" t="str" cm="1">
        <f t="array" ref="C628">IFERROR(_xlfn.TEXTJOIN("",TRUE,_xlfn._xlws.FILTER(MID(S628,_xlfn.SEQUENCE(LEN(S628)),1),ISNUMBER(SEARCH(MID(S628,_xlfn.SEQUENCE(LEN(S628)),1),"ABCDEFGHIJKLMNOPQRSTUVWXYZabcdefghijklmnopqrstuvwxyz0123456789,")))),"")</f>
        <v/>
      </c>
      <c r="D628" s="15" t="str">
        <v/>
      </c>
      <c r="E628" s="16" t="str">
        <v/>
      </c>
      <c r="F628" s="15" t="str">
        <v/>
      </c>
      <c r="G628" s="20" t="str" cm="1">
        <f t="array" ref="G628">IF(TRIM(P628)="","",IF(SUM(COUNTIF(P628,{"*NLGD*","*FWG*"}))&gt;0,P628,IF(SUM(COUNTIF(P628,{"*GL*","*DGB*","*DGI*","*GT*","*CS*","*PWU*","*DBI*","*SWU*"}))=0,P628,IF(IFERROR(VALUE(SUBSTITUTE(SUBSTITUTE(O628,"W",""),"""","")),0)&gt;52,P628&amp;"-OVRSIZE-",P628))))</f>
        <v/>
      </c>
      <c r="H628" s="15" t="str">
        <v/>
      </c>
      <c r="I628" s="15" t="str">
        <v/>
      </c>
      <c r="J628" s="15" t="str">
        <v/>
      </c>
      <c r="K628" s="15" t="str">
        <v/>
      </c>
      <c r="L628" s="15" t="str">
        <v/>
      </c>
      <c r="M628" s="10" t="str">
        <v/>
      </c>
      <c r="N628" s="14"/>
      <c r="O628" s="15" t="str" cm="1">
        <f t="array" ref="O628">IFERROR(_xlfn.LET(
_xlpm.clean,TRIM(SUBSTITUTE(SUBSTITUTE(P628,CHAR(160),"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8" s="15"/>
      <c r="R628" t="str">
        <v/>
      </c>
      <c r="S628" t="str">
        <f t="shared" si="10"/>
        <v/>
      </c>
    </row>
    <row r="629" spans="1:19" ht="12.75">
      <c r="A629" s="15" t="str">
        <v/>
      </c>
      <c r="B629" s="15" t="str">
        <v/>
      </c>
      <c r="C629" s="15" t="str" cm="1">
        <f t="array" ref="C629">IFERROR(_xlfn.TEXTJOIN("",TRUE,_xlfn._xlws.FILTER(MID(S629,_xlfn.SEQUENCE(LEN(S629)),1),ISNUMBER(SEARCH(MID(S629,_xlfn.SEQUENCE(LEN(S629)),1),"ABCDEFGHIJKLMNOPQRSTUVWXYZabcdefghijklmnopqrstuvwxyz0123456789,")))),"")</f>
        <v/>
      </c>
      <c r="D629" s="15" t="str">
        <v/>
      </c>
      <c r="E629" s="16" t="str">
        <v/>
      </c>
      <c r="F629" s="15" t="str">
        <v/>
      </c>
      <c r="G629" s="20" t="str" cm="1">
        <f t="array" ref="G629">IF(TRIM(P629)="","",IF(SUM(COUNTIF(P629,{"*NLGD*","*FWG*"}))&gt;0,P629,IF(SUM(COUNTIF(P629,{"*GL*","*DGB*","*DGI*","*GT*","*CS*","*PWU*","*DBI*","*SWU*"}))=0,P629,IF(IFERROR(VALUE(SUBSTITUTE(SUBSTITUTE(O629,"W",""),"""","")),0)&gt;52,P629&amp;"-OVRSIZE-",P629))))</f>
        <v/>
      </c>
      <c r="H629" s="15" t="str">
        <v/>
      </c>
      <c r="I629" s="15" t="str">
        <v/>
      </c>
      <c r="J629" s="15" t="str">
        <v/>
      </c>
      <c r="K629" s="15" t="str">
        <v/>
      </c>
      <c r="L629" s="15" t="str">
        <v/>
      </c>
      <c r="M629" s="10" t="str">
        <v/>
      </c>
      <c r="N629" s="14"/>
      <c r="O629" s="15" t="str" cm="1">
        <f t="array" ref="O629">IFERROR(_xlfn.LET(
_xlpm.clean,TRIM(SUBSTITUTE(SUBSTITUTE(P629,CHAR(160),"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9" s="15"/>
      <c r="R629" t="str">
        <v/>
      </c>
      <c r="S629" t="str">
        <f t="shared" si="10"/>
        <v/>
      </c>
    </row>
    <row r="630" spans="1:19" ht="12.75">
      <c r="A630" s="15" t="str">
        <v/>
      </c>
      <c r="B630" s="15" t="str">
        <v/>
      </c>
      <c r="C630" s="15" t="str" cm="1">
        <f t="array" ref="C630">IFERROR(_xlfn.TEXTJOIN("",TRUE,_xlfn._xlws.FILTER(MID(S630,_xlfn.SEQUENCE(LEN(S630)),1),ISNUMBER(SEARCH(MID(S630,_xlfn.SEQUENCE(LEN(S630)),1),"ABCDEFGHIJKLMNOPQRSTUVWXYZabcdefghijklmnopqrstuvwxyz0123456789,")))),"")</f>
        <v/>
      </c>
      <c r="D630" s="15" t="str">
        <v/>
      </c>
      <c r="E630" s="16" t="str">
        <v/>
      </c>
      <c r="F630" s="15" t="str">
        <v/>
      </c>
      <c r="G630" s="20" t="str" cm="1">
        <f t="array" ref="G630">IF(TRIM(P630)="","",IF(SUM(COUNTIF(P630,{"*NLGD*","*FWG*"}))&gt;0,P630,IF(SUM(COUNTIF(P630,{"*GL*","*DGB*","*DGI*","*GT*","*CS*","*PWU*","*DBI*","*SWU*"}))=0,P630,IF(IFERROR(VALUE(SUBSTITUTE(SUBSTITUTE(O630,"W",""),"""","")),0)&gt;52,P630&amp;"-OVRSIZE-",P630))))</f>
        <v/>
      </c>
      <c r="H630" s="15" t="str">
        <v/>
      </c>
      <c r="I630" s="15" t="str">
        <v/>
      </c>
      <c r="J630" s="15" t="str">
        <v/>
      </c>
      <c r="K630" s="15" t="str">
        <v/>
      </c>
      <c r="L630" s="15" t="str">
        <v/>
      </c>
      <c r="M630" s="10" t="str">
        <v/>
      </c>
      <c r="N630" s="14"/>
      <c r="O630" s="15" t="str" cm="1">
        <f t="array" ref="O630">IFERROR(_xlfn.LET(
_xlpm.clean,TRIM(SUBSTITUTE(SUBSTITUTE(P630,CHAR(160),"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0" s="15"/>
      <c r="R630" t="str">
        <v/>
      </c>
      <c r="S630" t="str">
        <f t="shared" si="10"/>
        <v/>
      </c>
    </row>
    <row r="631" spans="1:19" ht="12.75">
      <c r="A631" s="15" t="str">
        <v/>
      </c>
      <c r="B631" s="15" t="str">
        <v/>
      </c>
      <c r="C631" s="15" t="str" cm="1">
        <f t="array" ref="C631">IFERROR(_xlfn.TEXTJOIN("",TRUE,_xlfn._xlws.FILTER(MID(S631,_xlfn.SEQUENCE(LEN(S631)),1),ISNUMBER(SEARCH(MID(S631,_xlfn.SEQUENCE(LEN(S631)),1),"ABCDEFGHIJKLMNOPQRSTUVWXYZabcdefghijklmnopqrstuvwxyz0123456789,")))),"")</f>
        <v/>
      </c>
      <c r="D631" s="15" t="str">
        <v/>
      </c>
      <c r="E631" s="16" t="str">
        <v/>
      </c>
      <c r="F631" s="15" t="str">
        <v/>
      </c>
      <c r="G631" s="20" t="str" cm="1">
        <f t="array" ref="G631">IF(TRIM(P631)="","",IF(SUM(COUNTIF(P631,{"*NLGD*","*FWG*"}))&gt;0,P631,IF(SUM(COUNTIF(P631,{"*GL*","*DGB*","*DGI*","*GT*","*CS*","*PWU*","*DBI*","*SWU*"}))=0,P631,IF(IFERROR(VALUE(SUBSTITUTE(SUBSTITUTE(O631,"W",""),"""","")),0)&gt;52,P631&amp;"-OVRSIZE-",P631))))</f>
        <v/>
      </c>
      <c r="H631" s="15" t="str">
        <v/>
      </c>
      <c r="I631" s="15" t="str">
        <v/>
      </c>
      <c r="J631" s="15" t="str">
        <v/>
      </c>
      <c r="K631" s="15" t="str">
        <v/>
      </c>
      <c r="L631" s="15" t="str">
        <v/>
      </c>
      <c r="M631" s="10" t="str">
        <v/>
      </c>
      <c r="N631" s="14"/>
      <c r="O631" s="15" t="str" cm="1">
        <f t="array" ref="O631">IFERROR(_xlfn.LET(
_xlpm.clean,TRIM(SUBSTITUTE(SUBSTITUTE(P631,CHAR(160),"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1" s="15"/>
      <c r="R631" t="str">
        <v/>
      </c>
      <c r="S631" t="str">
        <f t="shared" si="10"/>
        <v/>
      </c>
    </row>
    <row r="632" spans="1:19" ht="12.75">
      <c r="A632" s="15" t="str">
        <v/>
      </c>
      <c r="B632" s="15" t="str">
        <v/>
      </c>
      <c r="C632" s="15" t="str" cm="1">
        <f t="array" ref="C632">IFERROR(_xlfn.TEXTJOIN("",TRUE,_xlfn._xlws.FILTER(MID(S632,_xlfn.SEQUENCE(LEN(S632)),1),ISNUMBER(SEARCH(MID(S632,_xlfn.SEQUENCE(LEN(S632)),1),"ABCDEFGHIJKLMNOPQRSTUVWXYZabcdefghijklmnopqrstuvwxyz0123456789,")))),"")</f>
        <v/>
      </c>
      <c r="D632" s="15" t="str">
        <v/>
      </c>
      <c r="E632" s="16" t="str">
        <v/>
      </c>
      <c r="F632" s="15" t="str">
        <v/>
      </c>
      <c r="G632" s="20" t="str" cm="1">
        <f t="array" ref="G632">IF(TRIM(P632)="","",IF(SUM(COUNTIF(P632,{"*NLGD*","*FWG*"}))&gt;0,P632,IF(SUM(COUNTIF(P632,{"*GL*","*DGB*","*DGI*","*GT*","*CS*","*PWU*","*DBI*","*SWU*"}))=0,P632,IF(IFERROR(VALUE(SUBSTITUTE(SUBSTITUTE(O632,"W",""),"""","")),0)&gt;52,P632&amp;"-OVRSIZE-",P632))))</f>
        <v/>
      </c>
      <c r="H632" s="15" t="str">
        <v/>
      </c>
      <c r="I632" s="15" t="str">
        <v/>
      </c>
      <c r="J632" s="15" t="str">
        <v/>
      </c>
      <c r="K632" s="15" t="str">
        <v/>
      </c>
      <c r="L632" s="15" t="str">
        <v/>
      </c>
      <c r="M632" s="10" t="str">
        <v/>
      </c>
      <c r="N632" s="14"/>
      <c r="O632" s="15" t="str" cm="1">
        <f t="array" ref="O632">IFERROR(_xlfn.LET(
_xlpm.clean,TRIM(SUBSTITUTE(SUBSTITUTE(P632,CHAR(160),"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2" s="15"/>
      <c r="R632" t="str">
        <v/>
      </c>
      <c r="S632" t="str">
        <f t="shared" si="10"/>
        <v/>
      </c>
    </row>
    <row r="633" spans="1:19" ht="12.75">
      <c r="A633" s="15" t="str">
        <v/>
      </c>
      <c r="B633" s="15" t="str">
        <v/>
      </c>
      <c r="C633" s="15" t="str" cm="1">
        <f t="array" ref="C633">IFERROR(_xlfn.TEXTJOIN("",TRUE,_xlfn._xlws.FILTER(MID(S633,_xlfn.SEQUENCE(LEN(S633)),1),ISNUMBER(SEARCH(MID(S633,_xlfn.SEQUENCE(LEN(S633)),1),"ABCDEFGHIJKLMNOPQRSTUVWXYZabcdefghijklmnopqrstuvwxyz0123456789,")))),"")</f>
        <v/>
      </c>
      <c r="D633" s="15" t="str">
        <v/>
      </c>
      <c r="E633" s="16" t="str">
        <v/>
      </c>
      <c r="F633" s="15" t="str">
        <v/>
      </c>
      <c r="G633" s="20" t="str" cm="1">
        <f t="array" ref="G633">IF(TRIM(P633)="","",IF(SUM(COUNTIF(P633,{"*NLGD*","*FWG*"}))&gt;0,P633,IF(SUM(COUNTIF(P633,{"*GL*","*DGB*","*DGI*","*GT*","*CS*","*PWU*","*DBI*","*SWU*"}))=0,P633,IF(IFERROR(VALUE(SUBSTITUTE(SUBSTITUTE(O633,"W",""),"""","")),0)&gt;52,P633&amp;"-OVRSIZE-",P633))))</f>
        <v/>
      </c>
      <c r="H633" s="15" t="str">
        <v/>
      </c>
      <c r="I633" s="15" t="str">
        <v/>
      </c>
      <c r="J633" s="15" t="str">
        <v/>
      </c>
      <c r="K633" s="15" t="str">
        <v/>
      </c>
      <c r="L633" s="15" t="str">
        <v/>
      </c>
      <c r="M633" s="10" t="str">
        <v/>
      </c>
      <c r="N633" s="14"/>
      <c r="O633" s="15" t="str" cm="1">
        <f t="array" ref="O633">IFERROR(_xlfn.LET(
_xlpm.clean,TRIM(SUBSTITUTE(SUBSTITUTE(P633,CHAR(160),"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3" s="15"/>
      <c r="R633" t="str">
        <v/>
      </c>
      <c r="S633" t="str">
        <f t="shared" si="10"/>
        <v/>
      </c>
    </row>
    <row r="634" spans="1:19" ht="12.75">
      <c r="A634" s="15" t="str">
        <v/>
      </c>
      <c r="B634" s="15" t="str">
        <v/>
      </c>
      <c r="C634" s="15" t="str" cm="1">
        <f t="array" ref="C634">IFERROR(_xlfn.TEXTJOIN("",TRUE,_xlfn._xlws.FILTER(MID(S634,_xlfn.SEQUENCE(LEN(S634)),1),ISNUMBER(SEARCH(MID(S634,_xlfn.SEQUENCE(LEN(S634)),1),"ABCDEFGHIJKLMNOPQRSTUVWXYZabcdefghijklmnopqrstuvwxyz0123456789,")))),"")</f>
        <v/>
      </c>
      <c r="D634" s="15" t="str">
        <v/>
      </c>
      <c r="E634" s="16" t="str">
        <v/>
      </c>
      <c r="F634" s="15" t="str">
        <v/>
      </c>
      <c r="G634" s="20" t="str" cm="1">
        <f t="array" ref="G634">IF(TRIM(P634)="","",IF(SUM(COUNTIF(P634,{"*NLGD*","*FWG*"}))&gt;0,P634,IF(SUM(COUNTIF(P634,{"*GL*","*DGB*","*DGI*","*GT*","*CS*","*PWU*","*DBI*","*SWU*"}))=0,P634,IF(IFERROR(VALUE(SUBSTITUTE(SUBSTITUTE(O634,"W",""),"""","")),0)&gt;52,P634&amp;"-OVRSIZE-",P634))))</f>
        <v/>
      </c>
      <c r="H634" s="15" t="str">
        <v/>
      </c>
      <c r="I634" s="15" t="str">
        <v/>
      </c>
      <c r="J634" s="15" t="str">
        <v/>
      </c>
      <c r="K634" s="15" t="str">
        <v/>
      </c>
      <c r="L634" s="15" t="str">
        <v/>
      </c>
      <c r="M634" s="10" t="str">
        <v/>
      </c>
      <c r="N634" s="14"/>
      <c r="O634" s="15" t="str" cm="1">
        <f t="array" ref="O634">IFERROR(_xlfn.LET(
_xlpm.clean,TRIM(SUBSTITUTE(SUBSTITUTE(P634,CHAR(160),"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4" s="15"/>
      <c r="R634" t="str">
        <v/>
      </c>
      <c r="S634" t="str">
        <f t="shared" si="10"/>
        <v/>
      </c>
    </row>
    <row r="635" spans="1:19" ht="12.75">
      <c r="A635" s="15" t="str">
        <v/>
      </c>
      <c r="B635" s="15" t="str">
        <v/>
      </c>
      <c r="C635" s="15" t="str" cm="1">
        <f t="array" ref="C635">IFERROR(_xlfn.TEXTJOIN("",TRUE,_xlfn._xlws.FILTER(MID(S635,_xlfn.SEQUENCE(LEN(S635)),1),ISNUMBER(SEARCH(MID(S635,_xlfn.SEQUENCE(LEN(S635)),1),"ABCDEFGHIJKLMNOPQRSTUVWXYZabcdefghijklmnopqrstuvwxyz0123456789,")))),"")</f>
        <v/>
      </c>
      <c r="D635" s="15" t="str">
        <v/>
      </c>
      <c r="E635" s="16" t="str">
        <v/>
      </c>
      <c r="F635" s="15" t="str">
        <v/>
      </c>
      <c r="G635" s="20" t="str" cm="1">
        <f t="array" ref="G635">IF(TRIM(P635)="","",IF(SUM(COUNTIF(P635,{"*NLGD*","*FWG*"}))&gt;0,P635,IF(SUM(COUNTIF(P635,{"*GL*","*DGB*","*DGI*","*GT*","*CS*","*PWU*","*DBI*","*SWU*"}))=0,P635,IF(IFERROR(VALUE(SUBSTITUTE(SUBSTITUTE(O635,"W",""),"""","")),0)&gt;52,P635&amp;"-OVRSIZE-",P635))))</f>
        <v/>
      </c>
      <c r="H635" s="15" t="str">
        <v/>
      </c>
      <c r="I635" s="15" t="str">
        <v/>
      </c>
      <c r="J635" s="15" t="str">
        <v/>
      </c>
      <c r="K635" s="15" t="str">
        <v/>
      </c>
      <c r="L635" s="15" t="str">
        <v/>
      </c>
      <c r="M635" s="10" t="str">
        <v/>
      </c>
      <c r="N635" s="14"/>
      <c r="O635" s="15" t="str" cm="1">
        <f t="array" ref="O635">IFERROR(_xlfn.LET(
_xlpm.clean,TRIM(SUBSTITUTE(SUBSTITUTE(P635,CHAR(160),"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5" s="15"/>
      <c r="R635" t="str">
        <v/>
      </c>
      <c r="S635" t="str">
        <f t="shared" si="10"/>
        <v/>
      </c>
    </row>
    <row r="636" spans="1:19" ht="12.75">
      <c r="A636" s="15" t="str">
        <v/>
      </c>
      <c r="B636" s="15" t="str">
        <v/>
      </c>
      <c r="C636" s="15" t="str" cm="1">
        <f t="array" ref="C636">IFERROR(_xlfn.TEXTJOIN("",TRUE,_xlfn._xlws.FILTER(MID(S636,_xlfn.SEQUENCE(LEN(S636)),1),ISNUMBER(SEARCH(MID(S636,_xlfn.SEQUENCE(LEN(S636)),1),"ABCDEFGHIJKLMNOPQRSTUVWXYZabcdefghijklmnopqrstuvwxyz0123456789,")))),"")</f>
        <v/>
      </c>
      <c r="D636" s="15" t="str">
        <v/>
      </c>
      <c r="E636" s="16" t="str">
        <v/>
      </c>
      <c r="F636" s="15" t="str">
        <v/>
      </c>
      <c r="G636" s="20" t="str" cm="1">
        <f t="array" ref="G636">IF(TRIM(P636)="","",IF(SUM(COUNTIF(P636,{"*NLGD*","*FWG*"}))&gt;0,P636,IF(SUM(COUNTIF(P636,{"*GL*","*DGB*","*DGI*","*GT*","*CS*","*PWU*","*DBI*","*SWU*"}))=0,P636,IF(IFERROR(VALUE(SUBSTITUTE(SUBSTITUTE(O636,"W",""),"""","")),0)&gt;52,P636&amp;"-OVRSIZE-",P636))))</f>
        <v/>
      </c>
      <c r="H636" s="15" t="str">
        <v/>
      </c>
      <c r="I636" s="15" t="str">
        <v/>
      </c>
      <c r="J636" s="15" t="str">
        <v/>
      </c>
      <c r="K636" s="15" t="str">
        <v/>
      </c>
      <c r="L636" s="15" t="str">
        <v/>
      </c>
      <c r="M636" s="10" t="str">
        <v/>
      </c>
      <c r="N636" s="14"/>
      <c r="O636" s="15" t="str" cm="1">
        <f t="array" ref="O636">IFERROR(_xlfn.LET(
_xlpm.clean,TRIM(SUBSTITUTE(SUBSTITUTE(P636,CHAR(160),"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6" s="15"/>
      <c r="R636" t="str">
        <v/>
      </c>
      <c r="S636" t="str">
        <f t="shared" si="10"/>
        <v/>
      </c>
    </row>
    <row r="637" spans="1:19" ht="12.75">
      <c r="A637" s="15" t="str">
        <v/>
      </c>
      <c r="B637" s="15" t="str">
        <v/>
      </c>
      <c r="C637" s="15" t="str" cm="1">
        <f t="array" ref="C637">IFERROR(_xlfn.TEXTJOIN("",TRUE,_xlfn._xlws.FILTER(MID(S637,_xlfn.SEQUENCE(LEN(S637)),1),ISNUMBER(SEARCH(MID(S637,_xlfn.SEQUENCE(LEN(S637)),1),"ABCDEFGHIJKLMNOPQRSTUVWXYZabcdefghijklmnopqrstuvwxyz0123456789,")))),"")</f>
        <v/>
      </c>
      <c r="D637" s="15" t="str">
        <v/>
      </c>
      <c r="E637" s="16" t="str">
        <v/>
      </c>
      <c r="F637" s="15" t="str">
        <v/>
      </c>
      <c r="G637" s="20" t="str" cm="1">
        <f t="array" ref="G637">IF(TRIM(P637)="","",IF(SUM(COUNTIF(P637,{"*NLGD*","*FWG*"}))&gt;0,P637,IF(SUM(COUNTIF(P637,{"*GL*","*DGB*","*DGI*","*GT*","*CS*","*PWU*","*DBI*","*SWU*"}))=0,P637,IF(IFERROR(VALUE(SUBSTITUTE(SUBSTITUTE(O637,"W",""),"""","")),0)&gt;52,P637&amp;"-OVRSIZE-",P637))))</f>
        <v/>
      </c>
      <c r="H637" s="15" t="str">
        <v/>
      </c>
      <c r="I637" s="15" t="str">
        <v/>
      </c>
      <c r="J637" s="15" t="str">
        <v/>
      </c>
      <c r="K637" s="15" t="str">
        <v/>
      </c>
      <c r="L637" s="15" t="str">
        <v/>
      </c>
      <c r="M637" s="10" t="str">
        <v/>
      </c>
      <c r="N637" s="14"/>
      <c r="O637" s="15" t="str" cm="1">
        <f t="array" ref="O637">IFERROR(_xlfn.LET(
_xlpm.clean,TRIM(SUBSTITUTE(SUBSTITUTE(P637,CHAR(160),"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7" s="15"/>
      <c r="R637" t="str">
        <v/>
      </c>
      <c r="S637" t="str">
        <f t="shared" si="10"/>
        <v/>
      </c>
    </row>
    <row r="638" spans="1:19" ht="12.75">
      <c r="A638" s="15" t="str">
        <v/>
      </c>
      <c r="B638" s="15" t="str">
        <v/>
      </c>
      <c r="C638" s="15" t="str" cm="1">
        <f t="array" ref="C638">IFERROR(_xlfn.TEXTJOIN("",TRUE,_xlfn._xlws.FILTER(MID(S638,_xlfn.SEQUENCE(LEN(S638)),1),ISNUMBER(SEARCH(MID(S638,_xlfn.SEQUENCE(LEN(S638)),1),"ABCDEFGHIJKLMNOPQRSTUVWXYZabcdefghijklmnopqrstuvwxyz0123456789,")))),"")</f>
        <v/>
      </c>
      <c r="D638" s="15" t="str">
        <v/>
      </c>
      <c r="E638" s="16" t="str">
        <v/>
      </c>
      <c r="F638" s="15" t="str">
        <v/>
      </c>
      <c r="G638" s="20" t="str" cm="1">
        <f t="array" ref="G638">IF(TRIM(P638)="","",IF(SUM(COUNTIF(P638,{"*NLGD*","*FWG*"}))&gt;0,P638,IF(SUM(COUNTIF(P638,{"*GL*","*DGB*","*DGI*","*GT*","*CS*","*PWU*","*DBI*","*SWU*"}))=0,P638,IF(IFERROR(VALUE(SUBSTITUTE(SUBSTITUTE(O638,"W",""),"""","")),0)&gt;52,P638&amp;"-OVRSIZE-",P638))))</f>
        <v/>
      </c>
      <c r="H638" s="15" t="str">
        <v/>
      </c>
      <c r="I638" s="15" t="str">
        <v/>
      </c>
      <c r="J638" s="15" t="str">
        <v/>
      </c>
      <c r="K638" s="15" t="str">
        <v/>
      </c>
      <c r="L638" s="15" t="str">
        <v/>
      </c>
      <c r="M638" s="10" t="str">
        <v/>
      </c>
      <c r="N638" s="14"/>
      <c r="O638" s="15" t="str" cm="1">
        <f t="array" ref="O638">IFERROR(_xlfn.LET(
_xlpm.clean,TRIM(SUBSTITUTE(SUBSTITUTE(P638,CHAR(160),"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8" s="15"/>
      <c r="R638" t="str">
        <v/>
      </c>
      <c r="S638" t="str">
        <f t="shared" si="10"/>
        <v/>
      </c>
    </row>
    <row r="639" spans="1:19" ht="12.75">
      <c r="A639" s="15" t="str">
        <v/>
      </c>
      <c r="B639" s="15" t="str">
        <v/>
      </c>
      <c r="C639" s="15" t="str" cm="1">
        <f t="array" ref="C639">IFERROR(_xlfn.TEXTJOIN("",TRUE,_xlfn._xlws.FILTER(MID(S639,_xlfn.SEQUENCE(LEN(S639)),1),ISNUMBER(SEARCH(MID(S639,_xlfn.SEQUENCE(LEN(S639)),1),"ABCDEFGHIJKLMNOPQRSTUVWXYZabcdefghijklmnopqrstuvwxyz0123456789,")))),"")</f>
        <v/>
      </c>
      <c r="D639" s="15" t="str">
        <v/>
      </c>
      <c r="E639" s="16" t="str">
        <v/>
      </c>
      <c r="F639" s="15" t="str">
        <v/>
      </c>
      <c r="G639" s="20" t="str" cm="1">
        <f t="array" ref="G639">IF(TRIM(P639)="","",IF(SUM(COUNTIF(P639,{"*NLGD*","*FWG*"}))&gt;0,P639,IF(SUM(COUNTIF(P639,{"*GL*","*DGB*","*DGI*","*GT*","*CS*","*PWU*","*DBI*","*SWU*"}))=0,P639,IF(IFERROR(VALUE(SUBSTITUTE(SUBSTITUTE(O639,"W",""),"""","")),0)&gt;52,P639&amp;"-OVRSIZE-",P639))))</f>
        <v/>
      </c>
      <c r="H639" s="15" t="str">
        <v/>
      </c>
      <c r="I639" s="15" t="str">
        <v/>
      </c>
      <c r="J639" s="15" t="str">
        <v/>
      </c>
      <c r="K639" s="15" t="str">
        <v/>
      </c>
      <c r="L639" s="15" t="str">
        <v/>
      </c>
      <c r="M639" s="10" t="str">
        <v/>
      </c>
      <c r="N639" s="14"/>
      <c r="O639" s="15" t="str" cm="1">
        <f t="array" ref="O639">IFERROR(_xlfn.LET(
_xlpm.clean,TRIM(SUBSTITUTE(SUBSTITUTE(P639,CHAR(160),"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9" s="15"/>
      <c r="R639" t="str">
        <v/>
      </c>
      <c r="S639" t="str">
        <f t="shared" si="10"/>
        <v/>
      </c>
    </row>
    <row r="640" spans="1:19" ht="12.75">
      <c r="A640" s="15" t="str">
        <v/>
      </c>
      <c r="B640" s="15" t="str">
        <v/>
      </c>
      <c r="C640" s="15" t="str" cm="1">
        <f t="array" ref="C640">IFERROR(_xlfn.TEXTJOIN("",TRUE,_xlfn._xlws.FILTER(MID(S640,_xlfn.SEQUENCE(LEN(S640)),1),ISNUMBER(SEARCH(MID(S640,_xlfn.SEQUENCE(LEN(S640)),1),"ABCDEFGHIJKLMNOPQRSTUVWXYZabcdefghijklmnopqrstuvwxyz0123456789,")))),"")</f>
        <v/>
      </c>
      <c r="D640" s="15" t="str">
        <v/>
      </c>
      <c r="E640" s="16" t="str">
        <v/>
      </c>
      <c r="F640" s="15" t="str">
        <v/>
      </c>
      <c r="G640" s="20" t="str" cm="1">
        <f t="array" ref="G640">IF(TRIM(P640)="","",IF(SUM(COUNTIF(P640,{"*NLGD*","*FWG*"}))&gt;0,P640,IF(SUM(COUNTIF(P640,{"*GL*","*DGB*","*DGI*","*GT*","*CS*","*PWU*","*DBI*","*SWU*"}))=0,P640,IF(IFERROR(VALUE(SUBSTITUTE(SUBSTITUTE(O640,"W",""),"""","")),0)&gt;52,P640&amp;"-OVRSIZE-",P640))))</f>
        <v/>
      </c>
      <c r="H640" s="15" t="str">
        <v/>
      </c>
      <c r="I640" s="15" t="str">
        <v/>
      </c>
      <c r="J640" s="15" t="str">
        <v/>
      </c>
      <c r="K640" s="15" t="str">
        <v/>
      </c>
      <c r="L640" s="15" t="str">
        <v/>
      </c>
      <c r="M640" s="10" t="str">
        <v/>
      </c>
      <c r="N640" s="14"/>
      <c r="O640" s="15" t="str" cm="1">
        <f t="array" ref="O640">IFERROR(_xlfn.LET(
_xlpm.clean,TRIM(SUBSTITUTE(SUBSTITUTE(P640,CHAR(160),"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0" s="15"/>
      <c r="R640" t="str">
        <v/>
      </c>
      <c r="S640" t="str">
        <f t="shared" si="10"/>
        <v/>
      </c>
    </row>
    <row r="641" spans="1:19" ht="12.75">
      <c r="A641" s="15" t="str">
        <v/>
      </c>
      <c r="B641" s="15" t="str">
        <v/>
      </c>
      <c r="C641" s="15" t="str" cm="1">
        <f t="array" ref="C641">IFERROR(_xlfn.TEXTJOIN("",TRUE,_xlfn._xlws.FILTER(MID(S641,_xlfn.SEQUENCE(LEN(S641)),1),ISNUMBER(SEARCH(MID(S641,_xlfn.SEQUENCE(LEN(S641)),1),"ABCDEFGHIJKLMNOPQRSTUVWXYZabcdefghijklmnopqrstuvwxyz0123456789,")))),"")</f>
        <v/>
      </c>
      <c r="D641" s="15" t="str">
        <v/>
      </c>
      <c r="E641" s="16" t="str">
        <v/>
      </c>
      <c r="F641" s="15" t="str">
        <v/>
      </c>
      <c r="G641" s="20" t="str" cm="1">
        <f t="array" ref="G641">IF(TRIM(P641)="","",IF(SUM(COUNTIF(P641,{"*NLGD*","*FWG*"}))&gt;0,P641,IF(SUM(COUNTIF(P641,{"*GL*","*DGB*","*DGI*","*GT*","*CS*","*PWU*","*DBI*","*SWU*"}))=0,P641,IF(IFERROR(VALUE(SUBSTITUTE(SUBSTITUTE(O641,"W",""),"""","")),0)&gt;52,P641&amp;"-OVRSIZE-",P641))))</f>
        <v/>
      </c>
      <c r="H641" s="15" t="str">
        <v/>
      </c>
      <c r="I641" s="15" t="str">
        <v/>
      </c>
      <c r="J641" s="15" t="str">
        <v/>
      </c>
      <c r="K641" s="15" t="str">
        <v/>
      </c>
      <c r="L641" s="15" t="str">
        <v/>
      </c>
      <c r="M641" s="10" t="str">
        <v/>
      </c>
      <c r="N641" s="14"/>
      <c r="O641" s="15" t="str" cm="1">
        <f t="array" ref="O641">IFERROR(_xlfn.LET(
_xlpm.clean,TRIM(SUBSTITUTE(SUBSTITUTE(P641,CHAR(160),"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1" s="15"/>
      <c r="R641" t="str">
        <v/>
      </c>
      <c r="S641" t="str">
        <f t="shared" si="10"/>
        <v/>
      </c>
    </row>
    <row r="642" spans="1:19" ht="12.75">
      <c r="A642" s="15" t="str">
        <v/>
      </c>
      <c r="B642" s="15" t="str">
        <v/>
      </c>
      <c r="C642" s="15" t="str" cm="1">
        <f t="array" ref="C642">IFERROR(_xlfn.TEXTJOIN("",TRUE,_xlfn._xlws.FILTER(MID(S642,_xlfn.SEQUENCE(LEN(S642)),1),ISNUMBER(SEARCH(MID(S642,_xlfn.SEQUENCE(LEN(S642)),1),"ABCDEFGHIJKLMNOPQRSTUVWXYZabcdefghijklmnopqrstuvwxyz0123456789,")))),"")</f>
        <v/>
      </c>
      <c r="D642" s="15" t="str">
        <v/>
      </c>
      <c r="E642" s="16" t="str">
        <v/>
      </c>
      <c r="F642" s="15" t="str">
        <v/>
      </c>
      <c r="G642" s="20" t="str" cm="1">
        <f t="array" ref="G642">IF(TRIM(P642)="","",IF(SUM(COUNTIF(P642,{"*NLGD*","*FWG*"}))&gt;0,P642,IF(SUM(COUNTIF(P642,{"*GL*","*DGB*","*DGI*","*GT*","*CS*","*PWU*","*DBI*","*SWU*"}))=0,P642,IF(IFERROR(VALUE(SUBSTITUTE(SUBSTITUTE(O642,"W",""),"""","")),0)&gt;52,P642&amp;"-OVRSIZE-",P642))))</f>
        <v/>
      </c>
      <c r="H642" s="15" t="str">
        <v/>
      </c>
      <c r="I642" s="15" t="str">
        <v/>
      </c>
      <c r="J642" s="15" t="str">
        <v/>
      </c>
      <c r="K642" s="15" t="str">
        <v/>
      </c>
      <c r="L642" s="15" t="str">
        <v/>
      </c>
      <c r="M642" s="10" t="str">
        <v/>
      </c>
      <c r="N642" s="14"/>
      <c r="O642" s="15" t="str" cm="1">
        <f t="array" ref="O642">IFERROR(_xlfn.LET(
_xlpm.clean,TRIM(SUBSTITUTE(SUBSTITUTE(P642,CHAR(160),"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2" s="15"/>
      <c r="R642" t="str">
        <v/>
      </c>
      <c r="S642" t="str">
        <f t="shared" si="10"/>
        <v/>
      </c>
    </row>
    <row r="643" spans="1:19" ht="12.75">
      <c r="A643" s="15" t="str">
        <v/>
      </c>
      <c r="B643" s="15" t="str">
        <v/>
      </c>
      <c r="C643" s="15" t="str" cm="1">
        <f t="array" ref="C643">IFERROR(_xlfn.TEXTJOIN("",TRUE,_xlfn._xlws.FILTER(MID(S643,_xlfn.SEQUENCE(LEN(S643)),1),ISNUMBER(SEARCH(MID(S643,_xlfn.SEQUENCE(LEN(S643)),1),"ABCDEFGHIJKLMNOPQRSTUVWXYZabcdefghijklmnopqrstuvwxyz0123456789,")))),"")</f>
        <v/>
      </c>
      <c r="D643" s="15" t="str">
        <v/>
      </c>
      <c r="E643" s="16" t="str">
        <v/>
      </c>
      <c r="F643" s="15" t="str">
        <v/>
      </c>
      <c r="G643" s="20" t="str" cm="1">
        <f t="array" ref="G643">IF(TRIM(P643)="","",IF(SUM(COUNTIF(P643,{"*NLGD*","*FWG*"}))&gt;0,P643,IF(SUM(COUNTIF(P643,{"*GL*","*DGB*","*DGI*","*GT*","*CS*","*PWU*","*DBI*","*SWU*"}))=0,P643,IF(IFERROR(VALUE(SUBSTITUTE(SUBSTITUTE(O643,"W",""),"""","")),0)&gt;52,P643&amp;"-OVRSIZE-",P643))))</f>
        <v/>
      </c>
      <c r="H643" s="15" t="str">
        <v/>
      </c>
      <c r="I643" s="15" t="str">
        <v/>
      </c>
      <c r="J643" s="15" t="str">
        <v/>
      </c>
      <c r="K643" s="15" t="str">
        <v/>
      </c>
      <c r="L643" s="15" t="str">
        <v/>
      </c>
      <c r="M643" s="10" t="str">
        <v/>
      </c>
      <c r="N643" s="14"/>
      <c r="O643" s="15" t="str" cm="1">
        <f t="array" ref="O643">IFERROR(_xlfn.LET(
_xlpm.clean,TRIM(SUBSTITUTE(SUBSTITUTE(P643,CHAR(160),"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3" s="15"/>
      <c r="R643" t="str">
        <v/>
      </c>
      <c r="S643" t="str">
        <f t="shared" si="10"/>
        <v/>
      </c>
    </row>
    <row r="644" spans="1:19" ht="12.75">
      <c r="A644" s="15" t="str">
        <v/>
      </c>
      <c r="B644" s="15" t="str">
        <v/>
      </c>
      <c r="C644" s="15" t="str" cm="1">
        <f t="array" ref="C644">IFERROR(_xlfn.TEXTJOIN("",TRUE,_xlfn._xlws.FILTER(MID(S644,_xlfn.SEQUENCE(LEN(S644)),1),ISNUMBER(SEARCH(MID(S644,_xlfn.SEQUENCE(LEN(S644)),1),"ABCDEFGHIJKLMNOPQRSTUVWXYZabcdefghijklmnopqrstuvwxyz0123456789,")))),"")</f>
        <v/>
      </c>
      <c r="D644" s="15" t="str">
        <v/>
      </c>
      <c r="E644" s="16" t="str">
        <v/>
      </c>
      <c r="F644" s="15" t="str">
        <v/>
      </c>
      <c r="G644" s="20" t="str" cm="1">
        <f t="array" ref="G644">IF(TRIM(P644)="","",IF(SUM(COUNTIF(P644,{"*NLGD*","*FWG*"}))&gt;0,P644,IF(SUM(COUNTIF(P644,{"*GL*","*DGB*","*DGI*","*GT*","*CS*","*PWU*","*DBI*","*SWU*"}))=0,P644,IF(IFERROR(VALUE(SUBSTITUTE(SUBSTITUTE(O644,"W",""),"""","")),0)&gt;52,P644&amp;"-OVRSIZE-",P644))))</f>
        <v/>
      </c>
      <c r="H644" s="15" t="str">
        <v/>
      </c>
      <c r="I644" s="15" t="str">
        <v/>
      </c>
      <c r="J644" s="15" t="str">
        <v/>
      </c>
      <c r="K644" s="15" t="str">
        <v/>
      </c>
      <c r="L644" s="15" t="str">
        <v/>
      </c>
      <c r="M644" s="10" t="str">
        <v/>
      </c>
      <c r="N644" s="14"/>
      <c r="O644" s="15" t="str" cm="1">
        <f t="array" ref="O644">IFERROR(_xlfn.LET(
_xlpm.clean,TRIM(SUBSTITUTE(SUBSTITUTE(P644,CHAR(160),"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4" s="15"/>
      <c r="R644" t="str">
        <v/>
      </c>
      <c r="S644" t="str">
        <f t="shared" si="10"/>
        <v/>
      </c>
    </row>
    <row r="645" spans="1:19" ht="12.75">
      <c r="A645" s="15" t="str">
        <v/>
      </c>
      <c r="B645" s="15" t="str">
        <v/>
      </c>
      <c r="C645" s="15" t="str" cm="1">
        <f t="array" ref="C645">IFERROR(_xlfn.TEXTJOIN("",TRUE,_xlfn._xlws.FILTER(MID(S645,_xlfn.SEQUENCE(LEN(S645)),1),ISNUMBER(SEARCH(MID(S645,_xlfn.SEQUENCE(LEN(S645)),1),"ABCDEFGHIJKLMNOPQRSTUVWXYZabcdefghijklmnopqrstuvwxyz0123456789,")))),"")</f>
        <v/>
      </c>
      <c r="D645" s="15" t="str">
        <v/>
      </c>
      <c r="E645" s="16" t="str">
        <v/>
      </c>
      <c r="F645" s="15" t="str">
        <v/>
      </c>
      <c r="G645" s="20" t="str" cm="1">
        <f t="array" ref="G645">IF(TRIM(P645)="","",IF(SUM(COUNTIF(P645,{"*NLGD*","*FWG*"}))&gt;0,P645,IF(SUM(COUNTIF(P645,{"*GL*","*DGB*","*DGI*","*GT*","*CS*","*PWU*","*DBI*","*SWU*"}))=0,P645,IF(IFERROR(VALUE(SUBSTITUTE(SUBSTITUTE(O645,"W",""),"""","")),0)&gt;52,P645&amp;"-OVRSIZE-",P645))))</f>
        <v/>
      </c>
      <c r="H645" s="15" t="str">
        <v/>
      </c>
      <c r="I645" s="15" t="str">
        <v/>
      </c>
      <c r="J645" s="15" t="str">
        <v/>
      </c>
      <c r="K645" s="15" t="str">
        <v/>
      </c>
      <c r="L645" s="15" t="str">
        <v/>
      </c>
      <c r="M645" s="10" t="str">
        <v/>
      </c>
      <c r="N645" s="14"/>
      <c r="O645" s="15" t="str" cm="1">
        <f t="array" ref="O645">IFERROR(_xlfn.LET(
_xlpm.clean,TRIM(SUBSTITUTE(SUBSTITUTE(P645,CHAR(160),"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5" s="15"/>
      <c r="R645" t="str">
        <v/>
      </c>
      <c r="S645" t="str">
        <f t="shared" si="10"/>
        <v/>
      </c>
    </row>
    <row r="646" spans="1:19" ht="12.75">
      <c r="A646" s="15" t="str">
        <v/>
      </c>
      <c r="B646" s="15" t="str">
        <v/>
      </c>
      <c r="C646" s="15" t="str" cm="1">
        <f t="array" ref="C646">IFERROR(_xlfn.TEXTJOIN("",TRUE,_xlfn._xlws.FILTER(MID(S646,_xlfn.SEQUENCE(LEN(S646)),1),ISNUMBER(SEARCH(MID(S646,_xlfn.SEQUENCE(LEN(S646)),1),"ABCDEFGHIJKLMNOPQRSTUVWXYZabcdefghijklmnopqrstuvwxyz0123456789,")))),"")</f>
        <v/>
      </c>
      <c r="D646" s="15" t="str">
        <v/>
      </c>
      <c r="E646" s="16" t="str">
        <v/>
      </c>
      <c r="F646" s="15" t="str">
        <v/>
      </c>
      <c r="G646" s="20" t="str" cm="1">
        <f t="array" ref="G646">IF(TRIM(P646)="","",IF(SUM(COUNTIF(P646,{"*NLGD*","*FWG*"}))&gt;0,P646,IF(SUM(COUNTIF(P646,{"*GL*","*DGB*","*DGI*","*GT*","*CS*","*PWU*","*DBI*","*SWU*"}))=0,P646,IF(IFERROR(VALUE(SUBSTITUTE(SUBSTITUTE(O646,"W",""),"""","")),0)&gt;52,P646&amp;"-OVRSIZE-",P646))))</f>
        <v/>
      </c>
      <c r="H646" s="15" t="str">
        <v/>
      </c>
      <c r="I646" s="15" t="str">
        <v/>
      </c>
      <c r="J646" s="15" t="str">
        <v/>
      </c>
      <c r="K646" s="15" t="str">
        <v/>
      </c>
      <c r="L646" s="15" t="str">
        <v/>
      </c>
      <c r="M646" s="10" t="str">
        <v/>
      </c>
      <c r="N646" s="14"/>
      <c r="O646" s="15" t="str" cm="1">
        <f t="array" ref="O646">IFERROR(_xlfn.LET(
_xlpm.clean,TRIM(SUBSTITUTE(SUBSTITUTE(P646,CHAR(160),"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6" s="15"/>
      <c r="R646" t="str">
        <v/>
      </c>
      <c r="S646" t="str">
        <f t="shared" si="10"/>
        <v/>
      </c>
    </row>
    <row r="647" spans="1:19" ht="12.75">
      <c r="A647" s="15" t="str">
        <v/>
      </c>
      <c r="B647" s="15" t="str">
        <v/>
      </c>
      <c r="C647" s="15" t="str" cm="1">
        <f t="array" ref="C647">IFERROR(_xlfn.TEXTJOIN("",TRUE,_xlfn._xlws.FILTER(MID(S647,_xlfn.SEQUENCE(LEN(S647)),1),ISNUMBER(SEARCH(MID(S647,_xlfn.SEQUENCE(LEN(S647)),1),"ABCDEFGHIJKLMNOPQRSTUVWXYZabcdefghijklmnopqrstuvwxyz0123456789,")))),"")</f>
        <v/>
      </c>
      <c r="D647" s="15" t="str">
        <v/>
      </c>
      <c r="E647" s="16" t="str">
        <v/>
      </c>
      <c r="F647" s="15" t="str">
        <v/>
      </c>
      <c r="G647" s="20" t="str" cm="1">
        <f t="array" ref="G647">IF(TRIM(P647)="","",IF(SUM(COUNTIF(P647,{"*NLGD*","*FWG*"}))&gt;0,P647,IF(SUM(COUNTIF(P647,{"*GL*","*DGB*","*DGI*","*GT*","*CS*","*PWU*","*DBI*","*SWU*"}))=0,P647,IF(IFERROR(VALUE(SUBSTITUTE(SUBSTITUTE(O647,"W",""),"""","")),0)&gt;52,P647&amp;"-OVRSIZE-",P647))))</f>
        <v/>
      </c>
      <c r="H647" s="15" t="str">
        <v/>
      </c>
      <c r="I647" s="15" t="str">
        <v/>
      </c>
      <c r="J647" s="15" t="str">
        <v/>
      </c>
      <c r="K647" s="15" t="str">
        <v/>
      </c>
      <c r="L647" s="15" t="str">
        <v/>
      </c>
      <c r="M647" s="10" t="str">
        <v/>
      </c>
      <c r="N647" s="14"/>
      <c r="O647" s="15" t="str" cm="1">
        <f t="array" ref="O647">IFERROR(_xlfn.LET(
_xlpm.clean,TRIM(SUBSTITUTE(SUBSTITUTE(P647,CHAR(160),"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7" s="15"/>
      <c r="R647" t="str">
        <v/>
      </c>
      <c r="S647" t="str">
        <f t="shared" si="10"/>
        <v/>
      </c>
    </row>
    <row r="648" spans="1:19" ht="12.75">
      <c r="A648" s="15" t="str">
        <v/>
      </c>
      <c r="B648" s="15" t="str">
        <v/>
      </c>
      <c r="C648" s="15" t="str" cm="1">
        <f t="array" ref="C648">IFERROR(_xlfn.TEXTJOIN("",TRUE,_xlfn._xlws.FILTER(MID(S648,_xlfn.SEQUENCE(LEN(S648)),1),ISNUMBER(SEARCH(MID(S648,_xlfn.SEQUENCE(LEN(S648)),1),"ABCDEFGHIJKLMNOPQRSTUVWXYZabcdefghijklmnopqrstuvwxyz0123456789,")))),"")</f>
        <v/>
      </c>
      <c r="D648" s="15" t="str">
        <v/>
      </c>
      <c r="E648" s="16" t="str">
        <v/>
      </c>
      <c r="F648" s="15" t="str">
        <v/>
      </c>
      <c r="G648" s="20" t="str" cm="1">
        <f t="array" ref="G648">IF(TRIM(P648)="","",IF(SUM(COUNTIF(P648,{"*NLGD*","*FWG*"}))&gt;0,P648,IF(SUM(COUNTIF(P648,{"*GL*","*DGB*","*DGI*","*GT*","*CS*","*PWU*","*DBI*","*SWU*"}))=0,P648,IF(IFERROR(VALUE(SUBSTITUTE(SUBSTITUTE(O648,"W",""),"""","")),0)&gt;52,P648&amp;"-OVRSIZE-",P648))))</f>
        <v/>
      </c>
      <c r="H648" s="15" t="str">
        <v/>
      </c>
      <c r="I648" s="15" t="str">
        <v/>
      </c>
      <c r="J648" s="15" t="str">
        <v/>
      </c>
      <c r="K648" s="15" t="str">
        <v/>
      </c>
      <c r="L648" s="15" t="str">
        <v/>
      </c>
      <c r="M648" s="10" t="str">
        <v/>
      </c>
      <c r="N648" s="14"/>
      <c r="O648" s="15" t="str" cm="1">
        <f t="array" ref="O648">IFERROR(_xlfn.LET(
_xlpm.clean,TRIM(SUBSTITUTE(SUBSTITUTE(P648,CHAR(160),"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8" s="15"/>
      <c r="R648" t="str">
        <v/>
      </c>
      <c r="S648" t="str">
        <f t="shared" ref="S648:S711" si="11">IF(R648="","",_xlfn.LET(
_xlpm.x,TRIM(SUBSTITUTE(SUBSTITUTE(SUBSTITUTE(SUBSTITUTE(R648,":","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649" spans="1:19" ht="12.75">
      <c r="A649" s="15" t="str">
        <v/>
      </c>
      <c r="B649" s="15" t="str">
        <v/>
      </c>
      <c r="C649" s="15" t="str" cm="1">
        <f t="array" ref="C649">IFERROR(_xlfn.TEXTJOIN("",TRUE,_xlfn._xlws.FILTER(MID(S649,_xlfn.SEQUENCE(LEN(S649)),1),ISNUMBER(SEARCH(MID(S649,_xlfn.SEQUENCE(LEN(S649)),1),"ABCDEFGHIJKLMNOPQRSTUVWXYZabcdefghijklmnopqrstuvwxyz0123456789,")))),"")</f>
        <v/>
      </c>
      <c r="D649" s="15" t="str">
        <v/>
      </c>
      <c r="E649" s="16" t="str">
        <v/>
      </c>
      <c r="F649" s="15" t="str">
        <v/>
      </c>
      <c r="G649" s="20" t="str" cm="1">
        <f t="array" ref="G649">IF(TRIM(P649)="","",IF(SUM(COUNTIF(P649,{"*NLGD*","*FWG*"}))&gt;0,P649,IF(SUM(COUNTIF(P649,{"*GL*","*DGB*","*DGI*","*GT*","*CS*","*PWU*","*DBI*","*SWU*"}))=0,P649,IF(IFERROR(VALUE(SUBSTITUTE(SUBSTITUTE(O649,"W",""),"""","")),0)&gt;52,P649&amp;"-OVRSIZE-",P649))))</f>
        <v/>
      </c>
      <c r="H649" s="15" t="str">
        <v/>
      </c>
      <c r="I649" s="15" t="str">
        <v/>
      </c>
      <c r="J649" s="15" t="str">
        <v/>
      </c>
      <c r="K649" s="15" t="str">
        <v/>
      </c>
      <c r="L649" s="15" t="str">
        <v/>
      </c>
      <c r="M649" s="10" t="str">
        <v/>
      </c>
      <c r="N649" s="14"/>
      <c r="O649" s="15" t="str" cm="1">
        <f t="array" ref="O649">IFERROR(_xlfn.LET(
_xlpm.clean,TRIM(SUBSTITUTE(SUBSTITUTE(P649,CHAR(160),"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9" s="15"/>
      <c r="R649" t="str">
        <v/>
      </c>
      <c r="S649" t="str">
        <f t="shared" si="11"/>
        <v/>
      </c>
    </row>
    <row r="650" spans="1:19" ht="12.75">
      <c r="A650" s="15" t="str">
        <v/>
      </c>
      <c r="B650" s="15" t="str">
        <v/>
      </c>
      <c r="C650" s="15" t="str" cm="1">
        <f t="array" ref="C650">IFERROR(_xlfn.TEXTJOIN("",TRUE,_xlfn._xlws.FILTER(MID(S650,_xlfn.SEQUENCE(LEN(S650)),1),ISNUMBER(SEARCH(MID(S650,_xlfn.SEQUENCE(LEN(S650)),1),"ABCDEFGHIJKLMNOPQRSTUVWXYZabcdefghijklmnopqrstuvwxyz0123456789,")))),"")</f>
        <v/>
      </c>
      <c r="D650" s="15" t="str">
        <v/>
      </c>
      <c r="E650" s="16" t="str">
        <v/>
      </c>
      <c r="F650" s="15" t="str">
        <v/>
      </c>
      <c r="G650" s="20" t="str" cm="1">
        <f t="array" ref="G650">IF(TRIM(P650)="","",IF(SUM(COUNTIF(P650,{"*NLGD*","*FWG*"}))&gt;0,P650,IF(SUM(COUNTIF(P650,{"*GL*","*DGB*","*DGI*","*GT*","*CS*","*PWU*","*DBI*","*SWU*"}))=0,P650,IF(IFERROR(VALUE(SUBSTITUTE(SUBSTITUTE(O650,"W",""),"""","")),0)&gt;52,P650&amp;"-OVRSIZE-",P650))))</f>
        <v/>
      </c>
      <c r="H650" s="15" t="str">
        <v/>
      </c>
      <c r="I650" s="15" t="str">
        <v/>
      </c>
      <c r="J650" s="15" t="str">
        <v/>
      </c>
      <c r="K650" s="15" t="str">
        <v/>
      </c>
      <c r="L650" s="15" t="str">
        <v/>
      </c>
      <c r="M650" s="10" t="str">
        <v/>
      </c>
      <c r="N650" s="14"/>
      <c r="O650" s="15" t="str" cm="1">
        <f t="array" ref="O650">IFERROR(_xlfn.LET(
_xlpm.clean,TRIM(SUBSTITUTE(SUBSTITUTE(P650,CHAR(160),"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0" s="15"/>
      <c r="R650" t="str">
        <v/>
      </c>
      <c r="S650" t="str">
        <f t="shared" si="11"/>
        <v/>
      </c>
    </row>
    <row r="651" spans="1:19" ht="12.75">
      <c r="A651" s="15" t="str">
        <v/>
      </c>
      <c r="B651" s="15" t="str">
        <v/>
      </c>
      <c r="C651" s="15" t="str" cm="1">
        <f t="array" ref="C651">IFERROR(_xlfn.TEXTJOIN("",TRUE,_xlfn._xlws.FILTER(MID(S651,_xlfn.SEQUENCE(LEN(S651)),1),ISNUMBER(SEARCH(MID(S651,_xlfn.SEQUENCE(LEN(S651)),1),"ABCDEFGHIJKLMNOPQRSTUVWXYZabcdefghijklmnopqrstuvwxyz0123456789,")))),"")</f>
        <v/>
      </c>
      <c r="D651" s="15" t="str">
        <v/>
      </c>
      <c r="E651" s="16" t="str">
        <v/>
      </c>
      <c r="F651" s="15" t="str">
        <v/>
      </c>
      <c r="G651" s="20" t="str" cm="1">
        <f t="array" ref="G651">IF(TRIM(P651)="","",IF(SUM(COUNTIF(P651,{"*NLGD*","*FWG*"}))&gt;0,P651,IF(SUM(COUNTIF(P651,{"*GL*","*DGB*","*DGI*","*GT*","*CS*","*PWU*","*DBI*","*SWU*"}))=0,P651,IF(IFERROR(VALUE(SUBSTITUTE(SUBSTITUTE(O651,"W",""),"""","")),0)&gt;52,P651&amp;"-OVRSIZE-",P651))))</f>
        <v/>
      </c>
      <c r="H651" s="15" t="str">
        <v/>
      </c>
      <c r="I651" s="15" t="str">
        <v/>
      </c>
      <c r="J651" s="15" t="str">
        <v/>
      </c>
      <c r="K651" s="15" t="str">
        <v/>
      </c>
      <c r="L651" s="15" t="str">
        <v/>
      </c>
      <c r="M651" s="10" t="str">
        <v/>
      </c>
      <c r="N651" s="14"/>
      <c r="O651" s="15" t="str" cm="1">
        <f t="array" ref="O651">IFERROR(_xlfn.LET(
_xlpm.clean,TRIM(SUBSTITUTE(SUBSTITUTE(P651,CHAR(160),"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1" s="15"/>
      <c r="R651" t="str">
        <v/>
      </c>
      <c r="S651" t="str">
        <f t="shared" si="11"/>
        <v/>
      </c>
    </row>
    <row r="652" spans="1:19" ht="12.75">
      <c r="A652" s="15" t="str">
        <v/>
      </c>
      <c r="B652" s="15" t="str">
        <v/>
      </c>
      <c r="C652" s="15" t="str" cm="1">
        <f t="array" ref="C652">IFERROR(_xlfn.TEXTJOIN("",TRUE,_xlfn._xlws.FILTER(MID(S652,_xlfn.SEQUENCE(LEN(S652)),1),ISNUMBER(SEARCH(MID(S652,_xlfn.SEQUENCE(LEN(S652)),1),"ABCDEFGHIJKLMNOPQRSTUVWXYZabcdefghijklmnopqrstuvwxyz0123456789,")))),"")</f>
        <v/>
      </c>
      <c r="D652" s="15" t="str">
        <v/>
      </c>
      <c r="E652" s="16" t="str">
        <v/>
      </c>
      <c r="F652" s="15" t="str">
        <v/>
      </c>
      <c r="G652" s="20" t="str" cm="1">
        <f t="array" ref="G652">IF(TRIM(P652)="","",IF(SUM(COUNTIF(P652,{"*NLGD*","*FWG*"}))&gt;0,P652,IF(SUM(COUNTIF(P652,{"*GL*","*DGB*","*DGI*","*GT*","*CS*","*PWU*","*DBI*","*SWU*"}))=0,P652,IF(IFERROR(VALUE(SUBSTITUTE(SUBSTITUTE(O652,"W",""),"""","")),0)&gt;52,P652&amp;"-OVRSIZE-",P652))))</f>
        <v/>
      </c>
      <c r="H652" s="15" t="str">
        <v/>
      </c>
      <c r="I652" s="15" t="str">
        <v/>
      </c>
      <c r="J652" s="15" t="str">
        <v/>
      </c>
      <c r="K652" s="15" t="str">
        <v/>
      </c>
      <c r="L652" s="15" t="str">
        <v/>
      </c>
      <c r="M652" s="10" t="str">
        <v/>
      </c>
      <c r="N652" s="14"/>
      <c r="O652" s="15" t="str" cm="1">
        <f t="array" ref="O652">IFERROR(_xlfn.LET(
_xlpm.clean,TRIM(SUBSTITUTE(SUBSTITUTE(P652,CHAR(160),"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2" s="15"/>
      <c r="R652" t="str">
        <v/>
      </c>
      <c r="S652" t="str">
        <f t="shared" si="11"/>
        <v/>
      </c>
    </row>
    <row r="653" spans="1:19" ht="12.75">
      <c r="A653" s="15" t="str">
        <v/>
      </c>
      <c r="B653" s="15" t="str">
        <v/>
      </c>
      <c r="C653" s="15" t="str" cm="1">
        <f t="array" ref="C653">IFERROR(_xlfn.TEXTJOIN("",TRUE,_xlfn._xlws.FILTER(MID(S653,_xlfn.SEQUENCE(LEN(S653)),1),ISNUMBER(SEARCH(MID(S653,_xlfn.SEQUENCE(LEN(S653)),1),"ABCDEFGHIJKLMNOPQRSTUVWXYZabcdefghijklmnopqrstuvwxyz0123456789,")))),"")</f>
        <v/>
      </c>
      <c r="D653" s="15" t="str">
        <v/>
      </c>
      <c r="E653" s="16" t="str">
        <v/>
      </c>
      <c r="F653" s="15" t="str">
        <v/>
      </c>
      <c r="G653" s="20" t="str" cm="1">
        <f t="array" ref="G653">IF(TRIM(P653)="","",IF(SUM(COUNTIF(P653,{"*NLGD*","*FWG*"}))&gt;0,P653,IF(SUM(COUNTIF(P653,{"*GL*","*DGB*","*DGI*","*GT*","*CS*","*PWU*","*DBI*","*SWU*"}))=0,P653,IF(IFERROR(VALUE(SUBSTITUTE(SUBSTITUTE(O653,"W",""),"""","")),0)&gt;52,P653&amp;"-OVRSIZE-",P653))))</f>
        <v/>
      </c>
      <c r="H653" s="15" t="str">
        <v/>
      </c>
      <c r="I653" s="15" t="str">
        <v/>
      </c>
      <c r="J653" s="15" t="str">
        <v/>
      </c>
      <c r="K653" s="15" t="str">
        <v/>
      </c>
      <c r="L653" s="15" t="str">
        <v/>
      </c>
      <c r="M653" s="10" t="str">
        <v/>
      </c>
      <c r="N653" s="14"/>
      <c r="O653" s="15" t="str" cm="1">
        <f t="array" ref="O653">IFERROR(_xlfn.LET(
_xlpm.clean,TRIM(SUBSTITUTE(SUBSTITUTE(P653,CHAR(160),"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3" s="15"/>
      <c r="R653" t="str">
        <v/>
      </c>
      <c r="S653" t="str">
        <f t="shared" si="11"/>
        <v/>
      </c>
    </row>
    <row r="654" spans="1:19" ht="12.75">
      <c r="A654" s="15" t="str">
        <v/>
      </c>
      <c r="B654" s="15" t="str">
        <v/>
      </c>
      <c r="C654" s="15" t="str" cm="1">
        <f t="array" ref="C654">IFERROR(_xlfn.TEXTJOIN("",TRUE,_xlfn._xlws.FILTER(MID(S654,_xlfn.SEQUENCE(LEN(S654)),1),ISNUMBER(SEARCH(MID(S654,_xlfn.SEQUENCE(LEN(S654)),1),"ABCDEFGHIJKLMNOPQRSTUVWXYZabcdefghijklmnopqrstuvwxyz0123456789,")))),"")</f>
        <v/>
      </c>
      <c r="D654" s="15" t="str">
        <v/>
      </c>
      <c r="E654" s="16" t="str">
        <v/>
      </c>
      <c r="F654" s="15" t="str">
        <v/>
      </c>
      <c r="G654" s="20" t="str" cm="1">
        <f t="array" ref="G654">IF(TRIM(P654)="","",IF(SUM(COUNTIF(P654,{"*NLGD*","*FWG*"}))&gt;0,P654,IF(SUM(COUNTIF(P654,{"*GL*","*DGB*","*DGI*","*GT*","*CS*","*PWU*","*DBI*","*SWU*"}))=0,P654,IF(IFERROR(VALUE(SUBSTITUTE(SUBSTITUTE(O654,"W",""),"""","")),0)&gt;52,P654&amp;"-OVRSIZE-",P654))))</f>
        <v/>
      </c>
      <c r="H654" s="15" t="str">
        <v/>
      </c>
      <c r="I654" s="15" t="str">
        <v/>
      </c>
      <c r="J654" s="15" t="str">
        <v/>
      </c>
      <c r="K654" s="15" t="str">
        <v/>
      </c>
      <c r="L654" s="15" t="str">
        <v/>
      </c>
      <c r="M654" s="10" t="str">
        <v/>
      </c>
      <c r="N654" s="14"/>
      <c r="O654" s="15" t="str" cm="1">
        <f t="array" ref="O654">IFERROR(_xlfn.LET(
_xlpm.clean,TRIM(SUBSTITUTE(SUBSTITUTE(P654,CHAR(160),"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4" s="15"/>
      <c r="R654" t="str">
        <v/>
      </c>
      <c r="S654" t="str">
        <f t="shared" si="11"/>
        <v/>
      </c>
    </row>
    <row r="655" spans="1:19" ht="12.75">
      <c r="A655" s="15" t="str">
        <v/>
      </c>
      <c r="B655" s="15" t="str">
        <v/>
      </c>
      <c r="C655" s="15" t="str" cm="1">
        <f t="array" ref="C655">IFERROR(_xlfn.TEXTJOIN("",TRUE,_xlfn._xlws.FILTER(MID(S655,_xlfn.SEQUENCE(LEN(S655)),1),ISNUMBER(SEARCH(MID(S655,_xlfn.SEQUENCE(LEN(S655)),1),"ABCDEFGHIJKLMNOPQRSTUVWXYZabcdefghijklmnopqrstuvwxyz0123456789,")))),"")</f>
        <v/>
      </c>
      <c r="D655" s="15" t="str">
        <v/>
      </c>
      <c r="E655" s="16" t="str">
        <v/>
      </c>
      <c r="F655" s="15" t="str">
        <v/>
      </c>
      <c r="G655" s="20" t="str" cm="1">
        <f t="array" ref="G655">IF(TRIM(P655)="","",IF(SUM(COUNTIF(P655,{"*NLGD*","*FWG*"}))&gt;0,P655,IF(SUM(COUNTIF(P655,{"*GL*","*DGB*","*DGI*","*GT*","*CS*","*PWU*","*DBI*","*SWU*"}))=0,P655,IF(IFERROR(VALUE(SUBSTITUTE(SUBSTITUTE(O655,"W",""),"""","")),0)&gt;52,P655&amp;"-OVRSIZE-",P655))))</f>
        <v/>
      </c>
      <c r="H655" s="15" t="str">
        <v/>
      </c>
      <c r="I655" s="15" t="str">
        <v/>
      </c>
      <c r="J655" s="15" t="str">
        <v/>
      </c>
      <c r="K655" s="15" t="str">
        <v/>
      </c>
      <c r="L655" s="15" t="str">
        <v/>
      </c>
      <c r="M655" s="10" t="str">
        <v/>
      </c>
      <c r="N655" s="14"/>
      <c r="O655" s="15" t="str" cm="1">
        <f t="array" ref="O655">IFERROR(_xlfn.LET(
_xlpm.clean,TRIM(SUBSTITUTE(SUBSTITUTE(P655,CHAR(160),"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5" s="15"/>
      <c r="R655" t="str">
        <v/>
      </c>
      <c r="S655" t="str">
        <f t="shared" si="11"/>
        <v/>
      </c>
    </row>
    <row r="656" spans="1:19" ht="12.75">
      <c r="A656" s="15" t="str">
        <v/>
      </c>
      <c r="B656" s="15" t="str">
        <v/>
      </c>
      <c r="C656" s="15" t="str" cm="1">
        <f t="array" ref="C656">IFERROR(_xlfn.TEXTJOIN("",TRUE,_xlfn._xlws.FILTER(MID(S656,_xlfn.SEQUENCE(LEN(S656)),1),ISNUMBER(SEARCH(MID(S656,_xlfn.SEQUENCE(LEN(S656)),1),"ABCDEFGHIJKLMNOPQRSTUVWXYZabcdefghijklmnopqrstuvwxyz0123456789,")))),"")</f>
        <v/>
      </c>
      <c r="D656" s="15" t="str">
        <v/>
      </c>
      <c r="E656" s="16" t="str">
        <v/>
      </c>
      <c r="F656" s="15" t="str">
        <v/>
      </c>
      <c r="G656" s="20" t="str" cm="1">
        <f t="array" ref="G656">IF(TRIM(P656)="","",IF(SUM(COUNTIF(P656,{"*NLGD*","*FWG*"}))&gt;0,P656,IF(SUM(COUNTIF(P656,{"*GL*","*DGB*","*DGI*","*GT*","*CS*","*PWU*","*DBI*","*SWU*"}))=0,P656,IF(IFERROR(VALUE(SUBSTITUTE(SUBSTITUTE(O656,"W",""),"""","")),0)&gt;52,P656&amp;"-OVRSIZE-",P656))))</f>
        <v/>
      </c>
      <c r="H656" s="15" t="str">
        <v/>
      </c>
      <c r="I656" s="15" t="str">
        <v/>
      </c>
      <c r="J656" s="15" t="str">
        <v/>
      </c>
      <c r="K656" s="15" t="str">
        <v/>
      </c>
      <c r="L656" s="15" t="str">
        <v/>
      </c>
      <c r="M656" s="10" t="str">
        <v/>
      </c>
      <c r="N656" s="14"/>
      <c r="O656" s="15" t="str" cm="1">
        <f t="array" ref="O656">IFERROR(_xlfn.LET(
_xlpm.clean,TRIM(SUBSTITUTE(SUBSTITUTE(P656,CHAR(160),"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6" s="15"/>
      <c r="R656" t="str">
        <v/>
      </c>
      <c r="S656" t="str">
        <f t="shared" si="11"/>
        <v/>
      </c>
    </row>
    <row r="657" spans="1:19" ht="12.75">
      <c r="A657" s="15" t="str">
        <v/>
      </c>
      <c r="B657" s="15" t="str">
        <v/>
      </c>
      <c r="C657" s="15" t="str" cm="1">
        <f t="array" ref="C657">IFERROR(_xlfn.TEXTJOIN("",TRUE,_xlfn._xlws.FILTER(MID(S657,_xlfn.SEQUENCE(LEN(S657)),1),ISNUMBER(SEARCH(MID(S657,_xlfn.SEQUENCE(LEN(S657)),1),"ABCDEFGHIJKLMNOPQRSTUVWXYZabcdefghijklmnopqrstuvwxyz0123456789,")))),"")</f>
        <v/>
      </c>
      <c r="D657" s="15" t="str">
        <v/>
      </c>
      <c r="E657" s="16" t="str">
        <v/>
      </c>
      <c r="F657" s="15" t="str">
        <v/>
      </c>
      <c r="G657" s="20" t="str" cm="1">
        <f t="array" ref="G657">IF(TRIM(P657)="","",IF(SUM(COUNTIF(P657,{"*NLGD*","*FWG*"}))&gt;0,P657,IF(SUM(COUNTIF(P657,{"*GL*","*DGB*","*DGI*","*GT*","*CS*","*PWU*","*DBI*","*SWU*"}))=0,P657,IF(IFERROR(VALUE(SUBSTITUTE(SUBSTITUTE(O657,"W",""),"""","")),0)&gt;52,P657&amp;"-OVRSIZE-",P657))))</f>
        <v/>
      </c>
      <c r="H657" s="15" t="str">
        <v/>
      </c>
      <c r="I657" s="15" t="str">
        <v/>
      </c>
      <c r="J657" s="15" t="str">
        <v/>
      </c>
      <c r="K657" s="15" t="str">
        <v/>
      </c>
      <c r="L657" s="15" t="str">
        <v/>
      </c>
      <c r="M657" s="10" t="str">
        <v/>
      </c>
      <c r="N657" s="14"/>
      <c r="O657" s="15" t="str" cm="1">
        <f t="array" ref="O657">IFERROR(_xlfn.LET(
_xlpm.clean,TRIM(SUBSTITUTE(SUBSTITUTE(P657,CHAR(160),"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7" s="15"/>
      <c r="R657" t="str">
        <v/>
      </c>
      <c r="S657" t="str">
        <f t="shared" si="11"/>
        <v/>
      </c>
    </row>
    <row r="658" spans="1:19" ht="12.75">
      <c r="A658" s="15" t="str">
        <v/>
      </c>
      <c r="B658" s="15" t="str">
        <v/>
      </c>
      <c r="C658" s="15" t="str" cm="1">
        <f t="array" ref="C658">IFERROR(_xlfn.TEXTJOIN("",TRUE,_xlfn._xlws.FILTER(MID(S658,_xlfn.SEQUENCE(LEN(S658)),1),ISNUMBER(SEARCH(MID(S658,_xlfn.SEQUENCE(LEN(S658)),1),"ABCDEFGHIJKLMNOPQRSTUVWXYZabcdefghijklmnopqrstuvwxyz0123456789,")))),"")</f>
        <v/>
      </c>
      <c r="D658" s="15" t="str">
        <v/>
      </c>
      <c r="E658" s="16" t="str">
        <v/>
      </c>
      <c r="F658" s="15" t="str">
        <v/>
      </c>
      <c r="G658" s="20" t="str" cm="1">
        <f t="array" ref="G658">IF(TRIM(P658)="","",IF(SUM(COUNTIF(P658,{"*NLGD*","*FWG*"}))&gt;0,P658,IF(SUM(COUNTIF(P658,{"*GL*","*DGB*","*DGI*","*GT*","*CS*","*PWU*","*DBI*","*SWU*"}))=0,P658,IF(IFERROR(VALUE(SUBSTITUTE(SUBSTITUTE(O658,"W",""),"""","")),0)&gt;52,P658&amp;"-OVRSIZE-",P658))))</f>
        <v/>
      </c>
      <c r="H658" s="15" t="str">
        <v/>
      </c>
      <c r="I658" s="15" t="str">
        <v/>
      </c>
      <c r="J658" s="15" t="str">
        <v/>
      </c>
      <c r="K658" s="15" t="str">
        <v/>
      </c>
      <c r="L658" s="15" t="str">
        <v/>
      </c>
      <c r="M658" s="10" t="str">
        <v/>
      </c>
      <c r="N658" s="14"/>
      <c r="O658" s="15" t="str" cm="1">
        <f t="array" ref="O658">IFERROR(_xlfn.LET(
_xlpm.clean,TRIM(SUBSTITUTE(SUBSTITUTE(P658,CHAR(160),"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8" s="15"/>
      <c r="R658" t="str">
        <v/>
      </c>
      <c r="S658" t="str">
        <f t="shared" si="11"/>
        <v/>
      </c>
    </row>
    <row r="659" spans="1:19" ht="12.75">
      <c r="A659" s="15" t="str">
        <v/>
      </c>
      <c r="B659" s="15" t="str">
        <v/>
      </c>
      <c r="C659" s="15" t="str" cm="1">
        <f t="array" ref="C659">IFERROR(_xlfn.TEXTJOIN("",TRUE,_xlfn._xlws.FILTER(MID(S659,_xlfn.SEQUENCE(LEN(S659)),1),ISNUMBER(SEARCH(MID(S659,_xlfn.SEQUENCE(LEN(S659)),1),"ABCDEFGHIJKLMNOPQRSTUVWXYZabcdefghijklmnopqrstuvwxyz0123456789,")))),"")</f>
        <v/>
      </c>
      <c r="D659" s="15" t="str">
        <v/>
      </c>
      <c r="E659" s="16" t="str">
        <v/>
      </c>
      <c r="F659" s="15" t="str">
        <v/>
      </c>
      <c r="G659" s="20" t="str" cm="1">
        <f t="array" ref="G659">IF(TRIM(P659)="","",IF(SUM(COUNTIF(P659,{"*NLGD*","*FWG*"}))&gt;0,P659,IF(SUM(COUNTIF(P659,{"*GL*","*DGB*","*DGI*","*GT*","*CS*","*PWU*","*DBI*","*SWU*"}))=0,P659,IF(IFERROR(VALUE(SUBSTITUTE(SUBSTITUTE(O659,"W",""),"""","")),0)&gt;52,P659&amp;"-OVRSIZE-",P659))))</f>
        <v/>
      </c>
      <c r="H659" s="15" t="str">
        <v/>
      </c>
      <c r="I659" s="15" t="str">
        <v/>
      </c>
      <c r="J659" s="15" t="str">
        <v/>
      </c>
      <c r="K659" s="15" t="str">
        <v/>
      </c>
      <c r="L659" s="15" t="str">
        <v/>
      </c>
      <c r="M659" s="10" t="str">
        <v/>
      </c>
      <c r="N659" s="14"/>
      <c r="O659" s="15" t="str" cm="1">
        <f t="array" ref="O659">IFERROR(_xlfn.LET(
_xlpm.clean,TRIM(SUBSTITUTE(SUBSTITUTE(P659,CHAR(160),"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9" s="15"/>
      <c r="R659" t="str">
        <v/>
      </c>
      <c r="S659" t="str">
        <f t="shared" si="11"/>
        <v/>
      </c>
    </row>
    <row r="660" spans="1:19" ht="12.75">
      <c r="A660" s="15" t="str">
        <v/>
      </c>
      <c r="B660" s="15" t="str">
        <v/>
      </c>
      <c r="C660" s="15" t="str" cm="1">
        <f t="array" ref="C660">IFERROR(_xlfn.TEXTJOIN("",TRUE,_xlfn._xlws.FILTER(MID(S660,_xlfn.SEQUENCE(LEN(S660)),1),ISNUMBER(SEARCH(MID(S660,_xlfn.SEQUENCE(LEN(S660)),1),"ABCDEFGHIJKLMNOPQRSTUVWXYZabcdefghijklmnopqrstuvwxyz0123456789,")))),"")</f>
        <v/>
      </c>
      <c r="D660" s="15" t="str">
        <v/>
      </c>
      <c r="E660" s="16" t="str">
        <v/>
      </c>
      <c r="F660" s="15" t="str">
        <v/>
      </c>
      <c r="G660" s="20" t="str" cm="1">
        <f t="array" ref="G660">IF(TRIM(P660)="","",IF(SUM(COUNTIF(P660,{"*NLGD*","*FWG*"}))&gt;0,P660,IF(SUM(COUNTIF(P660,{"*GL*","*DGB*","*DGI*","*GT*","*CS*","*PWU*","*DBI*","*SWU*"}))=0,P660,IF(IFERROR(VALUE(SUBSTITUTE(SUBSTITUTE(O660,"W",""),"""","")),0)&gt;52,P660&amp;"-OVRSIZE-",P660))))</f>
        <v/>
      </c>
      <c r="H660" s="15" t="str">
        <v/>
      </c>
      <c r="I660" s="15" t="str">
        <v/>
      </c>
      <c r="J660" s="15" t="str">
        <v/>
      </c>
      <c r="K660" s="15" t="str">
        <v/>
      </c>
      <c r="L660" s="15" t="str">
        <v/>
      </c>
      <c r="M660" s="10" t="str">
        <v/>
      </c>
      <c r="N660" s="14"/>
      <c r="O660" s="15" t="str" cm="1">
        <f t="array" ref="O660">IFERROR(_xlfn.LET(
_xlpm.clean,TRIM(SUBSTITUTE(SUBSTITUTE(P660,CHAR(160),"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0" s="15"/>
      <c r="R660" t="str">
        <v/>
      </c>
      <c r="S660" t="str">
        <f t="shared" si="11"/>
        <v/>
      </c>
    </row>
    <row r="661" spans="1:19" ht="12.75">
      <c r="A661" s="15" t="str">
        <v/>
      </c>
      <c r="B661" s="15" t="str">
        <v/>
      </c>
      <c r="C661" s="15" t="str" cm="1">
        <f t="array" ref="C661">IFERROR(_xlfn.TEXTJOIN("",TRUE,_xlfn._xlws.FILTER(MID(S661,_xlfn.SEQUENCE(LEN(S661)),1),ISNUMBER(SEARCH(MID(S661,_xlfn.SEQUENCE(LEN(S661)),1),"ABCDEFGHIJKLMNOPQRSTUVWXYZabcdefghijklmnopqrstuvwxyz0123456789,")))),"")</f>
        <v/>
      </c>
      <c r="D661" s="15" t="str">
        <v/>
      </c>
      <c r="E661" s="16" t="str">
        <v/>
      </c>
      <c r="F661" s="15" t="str">
        <v/>
      </c>
      <c r="G661" s="20" t="str" cm="1">
        <f t="array" ref="G661">IF(TRIM(P661)="","",IF(SUM(COUNTIF(P661,{"*NLGD*","*FWG*"}))&gt;0,P661,IF(SUM(COUNTIF(P661,{"*GL*","*DGB*","*DGI*","*GT*","*CS*","*PWU*","*DBI*","*SWU*"}))=0,P661,IF(IFERROR(VALUE(SUBSTITUTE(SUBSTITUTE(O661,"W",""),"""","")),0)&gt;52,P661&amp;"-OVRSIZE-",P661))))</f>
        <v/>
      </c>
      <c r="H661" s="15" t="str">
        <v/>
      </c>
      <c r="I661" s="15" t="str">
        <v/>
      </c>
      <c r="J661" s="15" t="str">
        <v/>
      </c>
      <c r="K661" s="15" t="str">
        <v/>
      </c>
      <c r="L661" s="15" t="str">
        <v/>
      </c>
      <c r="M661" s="10" t="str">
        <v/>
      </c>
      <c r="N661" s="14"/>
      <c r="O661" s="15" t="str" cm="1">
        <f t="array" ref="O661">IFERROR(_xlfn.LET(
_xlpm.clean,TRIM(SUBSTITUTE(SUBSTITUTE(P661,CHAR(160),"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1" s="15"/>
      <c r="R661" t="str">
        <v/>
      </c>
      <c r="S661" t="str">
        <f t="shared" si="11"/>
        <v/>
      </c>
    </row>
    <row r="662" spans="1:19" ht="12.75">
      <c r="A662" s="15" t="str">
        <v/>
      </c>
      <c r="B662" s="15" t="str">
        <v/>
      </c>
      <c r="C662" s="15" t="str" cm="1">
        <f t="array" ref="C662">IFERROR(_xlfn.TEXTJOIN("",TRUE,_xlfn._xlws.FILTER(MID(S662,_xlfn.SEQUENCE(LEN(S662)),1),ISNUMBER(SEARCH(MID(S662,_xlfn.SEQUENCE(LEN(S662)),1),"ABCDEFGHIJKLMNOPQRSTUVWXYZabcdefghijklmnopqrstuvwxyz0123456789,")))),"")</f>
        <v/>
      </c>
      <c r="D662" s="15" t="str">
        <v/>
      </c>
      <c r="E662" s="16" t="str">
        <v/>
      </c>
      <c r="F662" s="15" t="str">
        <v/>
      </c>
      <c r="G662" s="20" t="str" cm="1">
        <f t="array" ref="G662">IF(TRIM(P662)="","",IF(SUM(COUNTIF(P662,{"*NLGD*","*FWG*"}))&gt;0,P662,IF(SUM(COUNTIF(P662,{"*GL*","*DGB*","*DGI*","*GT*","*CS*","*PWU*","*DBI*","*SWU*"}))=0,P662,IF(IFERROR(VALUE(SUBSTITUTE(SUBSTITUTE(O662,"W",""),"""","")),0)&gt;52,P662&amp;"-OVRSIZE-",P662))))</f>
        <v/>
      </c>
      <c r="H662" s="15" t="str">
        <v/>
      </c>
      <c r="I662" s="15" t="str">
        <v/>
      </c>
      <c r="J662" s="15" t="str">
        <v/>
      </c>
      <c r="K662" s="15" t="str">
        <v/>
      </c>
      <c r="L662" s="15" t="str">
        <v/>
      </c>
      <c r="M662" s="10" t="str">
        <v/>
      </c>
      <c r="N662" s="14"/>
      <c r="O662" s="15" t="str" cm="1">
        <f t="array" ref="O662">IFERROR(_xlfn.LET(
_xlpm.clean,TRIM(SUBSTITUTE(SUBSTITUTE(P662,CHAR(160),"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2" s="15"/>
      <c r="R662" t="str">
        <v/>
      </c>
      <c r="S662" t="str">
        <f t="shared" si="11"/>
        <v/>
      </c>
    </row>
    <row r="663" spans="1:19" ht="12.75">
      <c r="A663" s="15" t="str">
        <v/>
      </c>
      <c r="B663" s="15" t="str">
        <v/>
      </c>
      <c r="C663" s="15" t="str" cm="1">
        <f t="array" ref="C663">IFERROR(_xlfn.TEXTJOIN("",TRUE,_xlfn._xlws.FILTER(MID(S663,_xlfn.SEQUENCE(LEN(S663)),1),ISNUMBER(SEARCH(MID(S663,_xlfn.SEQUENCE(LEN(S663)),1),"ABCDEFGHIJKLMNOPQRSTUVWXYZabcdefghijklmnopqrstuvwxyz0123456789,")))),"")</f>
        <v/>
      </c>
      <c r="D663" s="15" t="str">
        <v/>
      </c>
      <c r="E663" s="16" t="str">
        <v/>
      </c>
      <c r="F663" s="15" t="str">
        <v/>
      </c>
      <c r="G663" s="20" t="str" cm="1">
        <f t="array" ref="G663">IF(TRIM(P663)="","",IF(SUM(COUNTIF(P663,{"*NLGD*","*FWG*"}))&gt;0,P663,IF(SUM(COUNTIF(P663,{"*GL*","*DGB*","*DGI*","*GT*","*CS*","*PWU*","*DBI*","*SWU*"}))=0,P663,IF(IFERROR(VALUE(SUBSTITUTE(SUBSTITUTE(O663,"W",""),"""","")),0)&gt;52,P663&amp;"-OVRSIZE-",P663))))</f>
        <v/>
      </c>
      <c r="H663" s="15" t="str">
        <v/>
      </c>
      <c r="I663" s="15" t="str">
        <v/>
      </c>
      <c r="J663" s="15" t="str">
        <v/>
      </c>
      <c r="K663" s="15" t="str">
        <v/>
      </c>
      <c r="L663" s="15" t="str">
        <v/>
      </c>
      <c r="M663" s="10" t="str">
        <v/>
      </c>
      <c r="N663" s="14"/>
      <c r="O663" s="15" t="str" cm="1">
        <f t="array" ref="O663">IFERROR(_xlfn.LET(
_xlpm.clean,TRIM(SUBSTITUTE(SUBSTITUTE(P663,CHAR(160),"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3" s="15"/>
      <c r="R663" t="str">
        <v/>
      </c>
      <c r="S663" t="str">
        <f t="shared" si="11"/>
        <v/>
      </c>
    </row>
    <row r="664" spans="1:19" ht="12.75">
      <c r="A664" s="15" t="str">
        <v/>
      </c>
      <c r="B664" s="15" t="str">
        <v/>
      </c>
      <c r="C664" s="15" t="str" cm="1">
        <f t="array" ref="C664">IFERROR(_xlfn.TEXTJOIN("",TRUE,_xlfn._xlws.FILTER(MID(S664,_xlfn.SEQUENCE(LEN(S664)),1),ISNUMBER(SEARCH(MID(S664,_xlfn.SEQUENCE(LEN(S664)),1),"ABCDEFGHIJKLMNOPQRSTUVWXYZabcdefghijklmnopqrstuvwxyz0123456789,")))),"")</f>
        <v/>
      </c>
      <c r="D664" s="15" t="str">
        <v/>
      </c>
      <c r="E664" s="16" t="str">
        <v/>
      </c>
      <c r="F664" s="15" t="str">
        <v/>
      </c>
      <c r="G664" s="20" t="str" cm="1">
        <f t="array" ref="G664">IF(TRIM(P664)="","",IF(SUM(COUNTIF(P664,{"*NLGD*","*FWG*"}))&gt;0,P664,IF(SUM(COUNTIF(P664,{"*GL*","*DGB*","*DGI*","*GT*","*CS*","*PWU*","*DBI*","*SWU*"}))=0,P664,IF(IFERROR(VALUE(SUBSTITUTE(SUBSTITUTE(O664,"W",""),"""","")),0)&gt;52,P664&amp;"-OVRSIZE-",P664))))</f>
        <v/>
      </c>
      <c r="H664" s="15" t="str">
        <v/>
      </c>
      <c r="I664" s="15" t="str">
        <v/>
      </c>
      <c r="J664" s="15" t="str">
        <v/>
      </c>
      <c r="K664" s="15" t="str">
        <v/>
      </c>
      <c r="L664" s="15" t="str">
        <v/>
      </c>
      <c r="M664" s="10" t="str">
        <v/>
      </c>
      <c r="N664" s="14"/>
      <c r="O664" s="15" t="str" cm="1">
        <f t="array" ref="O664">IFERROR(_xlfn.LET(
_xlpm.clean,TRIM(SUBSTITUTE(SUBSTITUTE(P664,CHAR(160),"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4" s="15"/>
      <c r="R664" t="str">
        <v/>
      </c>
      <c r="S664" t="str">
        <f t="shared" si="11"/>
        <v/>
      </c>
    </row>
    <row r="665" spans="1:19" ht="12.75">
      <c r="A665" s="15" t="str">
        <v/>
      </c>
      <c r="B665" s="15" t="str">
        <v/>
      </c>
      <c r="C665" s="15" t="str" cm="1">
        <f t="array" ref="C665">IFERROR(_xlfn.TEXTJOIN("",TRUE,_xlfn._xlws.FILTER(MID(S665,_xlfn.SEQUENCE(LEN(S665)),1),ISNUMBER(SEARCH(MID(S665,_xlfn.SEQUENCE(LEN(S665)),1),"ABCDEFGHIJKLMNOPQRSTUVWXYZabcdefghijklmnopqrstuvwxyz0123456789,")))),"")</f>
        <v/>
      </c>
      <c r="D665" s="15" t="str">
        <v/>
      </c>
      <c r="E665" s="16" t="str">
        <v/>
      </c>
      <c r="F665" s="15" t="str">
        <v/>
      </c>
      <c r="G665" s="20" t="str" cm="1">
        <f t="array" ref="G665">IF(TRIM(P665)="","",IF(SUM(COUNTIF(P665,{"*NLGD*","*FWG*"}))&gt;0,P665,IF(SUM(COUNTIF(P665,{"*GL*","*DGB*","*DGI*","*GT*","*CS*","*PWU*","*DBI*","*SWU*"}))=0,P665,IF(IFERROR(VALUE(SUBSTITUTE(SUBSTITUTE(O665,"W",""),"""","")),0)&gt;52,P665&amp;"-OVRSIZE-",P665))))</f>
        <v/>
      </c>
      <c r="H665" s="15" t="str">
        <v/>
      </c>
      <c r="I665" s="15" t="str">
        <v/>
      </c>
      <c r="J665" s="15" t="str">
        <v/>
      </c>
      <c r="K665" s="15" t="str">
        <v/>
      </c>
      <c r="L665" s="15" t="str">
        <v/>
      </c>
      <c r="M665" s="10" t="str">
        <v/>
      </c>
      <c r="N665" s="14"/>
      <c r="O665" s="15" t="str" cm="1">
        <f t="array" ref="O665">IFERROR(_xlfn.LET(
_xlpm.clean,TRIM(SUBSTITUTE(SUBSTITUTE(P665,CHAR(160),"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5" s="15"/>
      <c r="R665" t="str">
        <v/>
      </c>
      <c r="S665" t="str">
        <f t="shared" si="11"/>
        <v/>
      </c>
    </row>
    <row r="666" spans="1:19" ht="12.75">
      <c r="A666" s="15" t="str">
        <v/>
      </c>
      <c r="B666" s="15" t="str">
        <v/>
      </c>
      <c r="C666" s="15" t="str" cm="1">
        <f t="array" ref="C666">IFERROR(_xlfn.TEXTJOIN("",TRUE,_xlfn._xlws.FILTER(MID(S666,_xlfn.SEQUENCE(LEN(S666)),1),ISNUMBER(SEARCH(MID(S666,_xlfn.SEQUENCE(LEN(S666)),1),"ABCDEFGHIJKLMNOPQRSTUVWXYZabcdefghijklmnopqrstuvwxyz0123456789,")))),"")</f>
        <v/>
      </c>
      <c r="D666" s="15" t="str">
        <v/>
      </c>
      <c r="E666" s="16" t="str">
        <v/>
      </c>
      <c r="F666" s="15" t="str">
        <v/>
      </c>
      <c r="G666" s="20" t="str" cm="1">
        <f t="array" ref="G666">IF(TRIM(P666)="","",IF(SUM(COUNTIF(P666,{"*NLGD*","*FWG*"}))&gt;0,P666,IF(SUM(COUNTIF(P666,{"*GL*","*DGB*","*DGI*","*GT*","*CS*","*PWU*","*DBI*","*SWU*"}))=0,P666,IF(IFERROR(VALUE(SUBSTITUTE(SUBSTITUTE(O666,"W",""),"""","")),0)&gt;52,P666&amp;"-OVRSIZE-",P666))))</f>
        <v/>
      </c>
      <c r="H666" s="15" t="str">
        <v/>
      </c>
      <c r="I666" s="15" t="str">
        <v/>
      </c>
      <c r="J666" s="15" t="str">
        <v/>
      </c>
      <c r="K666" s="15" t="str">
        <v/>
      </c>
      <c r="L666" s="15" t="str">
        <v/>
      </c>
      <c r="M666" s="10" t="str">
        <v/>
      </c>
      <c r="N666" s="14"/>
      <c r="O666" s="15" t="str" cm="1">
        <f t="array" ref="O666">IFERROR(_xlfn.LET(
_xlpm.clean,TRIM(SUBSTITUTE(SUBSTITUTE(P666,CHAR(160),"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6" s="15"/>
      <c r="R666" t="str">
        <v/>
      </c>
      <c r="S666" t="str">
        <f t="shared" si="11"/>
        <v/>
      </c>
    </row>
    <row r="667" spans="1:19" ht="12.75">
      <c r="A667" s="15" t="str">
        <v/>
      </c>
      <c r="B667" s="15" t="str">
        <v/>
      </c>
      <c r="C667" s="15" t="str" cm="1">
        <f t="array" ref="C667">IFERROR(_xlfn.TEXTJOIN("",TRUE,_xlfn._xlws.FILTER(MID(S667,_xlfn.SEQUENCE(LEN(S667)),1),ISNUMBER(SEARCH(MID(S667,_xlfn.SEQUENCE(LEN(S667)),1),"ABCDEFGHIJKLMNOPQRSTUVWXYZabcdefghijklmnopqrstuvwxyz0123456789,")))),"")</f>
        <v/>
      </c>
      <c r="D667" s="15" t="str">
        <v/>
      </c>
      <c r="E667" s="16" t="str">
        <v/>
      </c>
      <c r="F667" s="15" t="str">
        <v/>
      </c>
      <c r="G667" s="20" t="str" cm="1">
        <f t="array" ref="G667">IF(TRIM(P667)="","",IF(SUM(COUNTIF(P667,{"*NLGD*","*FWG*"}))&gt;0,P667,IF(SUM(COUNTIF(P667,{"*GL*","*DGB*","*DGI*","*GT*","*CS*","*PWU*","*DBI*","*SWU*"}))=0,P667,IF(IFERROR(VALUE(SUBSTITUTE(SUBSTITUTE(O667,"W",""),"""","")),0)&gt;52,P667&amp;"-OVRSIZE-",P667))))</f>
        <v/>
      </c>
      <c r="H667" s="15" t="str">
        <v/>
      </c>
      <c r="I667" s="15" t="str">
        <v/>
      </c>
      <c r="J667" s="15" t="str">
        <v/>
      </c>
      <c r="K667" s="15" t="str">
        <v/>
      </c>
      <c r="L667" s="15" t="str">
        <v/>
      </c>
      <c r="M667" s="10" t="str">
        <v/>
      </c>
      <c r="N667" s="14"/>
      <c r="O667" s="15" t="str" cm="1">
        <f t="array" ref="O667">IFERROR(_xlfn.LET(
_xlpm.clean,TRIM(SUBSTITUTE(SUBSTITUTE(P667,CHAR(160),"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7" s="15"/>
      <c r="R667" t="str">
        <v/>
      </c>
      <c r="S667" t="str">
        <f t="shared" si="11"/>
        <v/>
      </c>
    </row>
    <row r="668" spans="1:19" ht="12.75">
      <c r="A668" s="15" t="str">
        <v/>
      </c>
      <c r="B668" s="15" t="str">
        <v/>
      </c>
      <c r="C668" s="15" t="str" cm="1">
        <f t="array" ref="C668">IFERROR(_xlfn.TEXTJOIN("",TRUE,_xlfn._xlws.FILTER(MID(S668,_xlfn.SEQUENCE(LEN(S668)),1),ISNUMBER(SEARCH(MID(S668,_xlfn.SEQUENCE(LEN(S668)),1),"ABCDEFGHIJKLMNOPQRSTUVWXYZabcdefghijklmnopqrstuvwxyz0123456789,")))),"")</f>
        <v/>
      </c>
      <c r="D668" s="15" t="str">
        <v/>
      </c>
      <c r="E668" s="16" t="str">
        <v/>
      </c>
      <c r="F668" s="15" t="str">
        <v/>
      </c>
      <c r="G668" s="20" t="str" cm="1">
        <f t="array" ref="G668">IF(TRIM(P668)="","",IF(SUM(COUNTIF(P668,{"*NLGD*","*FWG*"}))&gt;0,P668,IF(SUM(COUNTIF(P668,{"*GL*","*DGB*","*DGI*","*GT*","*CS*","*PWU*","*DBI*","*SWU*"}))=0,P668,IF(IFERROR(VALUE(SUBSTITUTE(SUBSTITUTE(O668,"W",""),"""","")),0)&gt;52,P668&amp;"-OVRSIZE-",P668))))</f>
        <v/>
      </c>
      <c r="H668" s="15" t="str">
        <v/>
      </c>
      <c r="I668" s="15" t="str">
        <v/>
      </c>
      <c r="J668" s="15" t="str">
        <v/>
      </c>
      <c r="K668" s="15" t="str">
        <v/>
      </c>
      <c r="L668" s="15" t="str">
        <v/>
      </c>
      <c r="M668" s="10" t="str">
        <v/>
      </c>
      <c r="N668" s="14"/>
      <c r="O668" s="15" t="str" cm="1">
        <f t="array" ref="O668">IFERROR(_xlfn.LET(
_xlpm.clean,TRIM(SUBSTITUTE(SUBSTITUTE(P668,CHAR(160),"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8" s="15"/>
      <c r="R668" t="str">
        <v/>
      </c>
      <c r="S668" t="str">
        <f t="shared" si="11"/>
        <v/>
      </c>
    </row>
    <row r="669" spans="1:19" ht="12.75">
      <c r="A669" s="15" t="str">
        <v/>
      </c>
      <c r="B669" s="15" t="str">
        <v/>
      </c>
      <c r="C669" s="15" t="str" cm="1">
        <f t="array" ref="C669">IFERROR(_xlfn.TEXTJOIN("",TRUE,_xlfn._xlws.FILTER(MID(S669,_xlfn.SEQUENCE(LEN(S669)),1),ISNUMBER(SEARCH(MID(S669,_xlfn.SEQUENCE(LEN(S669)),1),"ABCDEFGHIJKLMNOPQRSTUVWXYZabcdefghijklmnopqrstuvwxyz0123456789,")))),"")</f>
        <v/>
      </c>
      <c r="D669" s="15" t="str">
        <v/>
      </c>
      <c r="E669" s="16" t="str">
        <v/>
      </c>
      <c r="F669" s="15" t="str">
        <v/>
      </c>
      <c r="G669" s="20" t="str" cm="1">
        <f t="array" ref="G669">IF(TRIM(P669)="","",IF(SUM(COUNTIF(P669,{"*NLGD*","*FWG*"}))&gt;0,P669,IF(SUM(COUNTIF(P669,{"*GL*","*DGB*","*DGI*","*GT*","*CS*","*PWU*","*DBI*","*SWU*"}))=0,P669,IF(IFERROR(VALUE(SUBSTITUTE(SUBSTITUTE(O669,"W",""),"""","")),0)&gt;52,P669&amp;"-OVRSIZE-",P669))))</f>
        <v/>
      </c>
      <c r="H669" s="15" t="str">
        <v/>
      </c>
      <c r="I669" s="15" t="str">
        <v/>
      </c>
      <c r="J669" s="15" t="str">
        <v/>
      </c>
      <c r="K669" s="15" t="str">
        <v/>
      </c>
      <c r="L669" s="15" t="str">
        <v/>
      </c>
      <c r="M669" s="10" t="str">
        <v/>
      </c>
      <c r="N669" s="14"/>
      <c r="O669" s="15" t="str" cm="1">
        <f t="array" ref="O669">IFERROR(_xlfn.LET(
_xlpm.clean,TRIM(SUBSTITUTE(SUBSTITUTE(P669,CHAR(160),"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9" s="15"/>
      <c r="R669" t="str">
        <v/>
      </c>
      <c r="S669" t="str">
        <f t="shared" si="11"/>
        <v/>
      </c>
    </row>
    <row r="670" spans="1:19" ht="12.75">
      <c r="A670" s="15" t="str">
        <v/>
      </c>
      <c r="B670" s="15" t="str">
        <v/>
      </c>
      <c r="C670" s="15" t="str" cm="1">
        <f t="array" ref="C670">IFERROR(_xlfn.TEXTJOIN("",TRUE,_xlfn._xlws.FILTER(MID(S670,_xlfn.SEQUENCE(LEN(S670)),1),ISNUMBER(SEARCH(MID(S670,_xlfn.SEQUENCE(LEN(S670)),1),"ABCDEFGHIJKLMNOPQRSTUVWXYZabcdefghijklmnopqrstuvwxyz0123456789,")))),"")</f>
        <v/>
      </c>
      <c r="D670" s="15" t="str">
        <v/>
      </c>
      <c r="E670" s="16" t="str">
        <v/>
      </c>
      <c r="F670" s="15" t="str">
        <v/>
      </c>
      <c r="G670" s="20" t="str" cm="1">
        <f t="array" ref="G670">IF(TRIM(P670)="","",IF(SUM(COUNTIF(P670,{"*NLGD*","*FWG*"}))&gt;0,P670,IF(SUM(COUNTIF(P670,{"*GL*","*DGB*","*DGI*","*GT*","*CS*","*PWU*","*DBI*","*SWU*"}))=0,P670,IF(IFERROR(VALUE(SUBSTITUTE(SUBSTITUTE(O670,"W",""),"""","")),0)&gt;52,P670&amp;"-OVRSIZE-",P670))))</f>
        <v/>
      </c>
      <c r="H670" s="15" t="str">
        <v/>
      </c>
      <c r="I670" s="15" t="str">
        <v/>
      </c>
      <c r="J670" s="15" t="str">
        <v/>
      </c>
      <c r="K670" s="15" t="str">
        <v/>
      </c>
      <c r="L670" s="15" t="str">
        <v/>
      </c>
      <c r="M670" s="10" t="str">
        <v/>
      </c>
      <c r="N670" s="14"/>
      <c r="O670" s="15" t="str" cm="1">
        <f t="array" ref="O670">IFERROR(_xlfn.LET(
_xlpm.clean,TRIM(SUBSTITUTE(SUBSTITUTE(P670,CHAR(160),"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0" s="15"/>
      <c r="R670" t="str">
        <v/>
      </c>
      <c r="S670" t="str">
        <f t="shared" si="11"/>
        <v/>
      </c>
    </row>
    <row r="671" spans="1:19" ht="12.75">
      <c r="A671" s="15" t="str">
        <v/>
      </c>
      <c r="B671" s="15" t="str">
        <v/>
      </c>
      <c r="C671" s="15" t="str" cm="1">
        <f t="array" ref="C671">IFERROR(_xlfn.TEXTJOIN("",TRUE,_xlfn._xlws.FILTER(MID(S671,_xlfn.SEQUENCE(LEN(S671)),1),ISNUMBER(SEARCH(MID(S671,_xlfn.SEQUENCE(LEN(S671)),1),"ABCDEFGHIJKLMNOPQRSTUVWXYZabcdefghijklmnopqrstuvwxyz0123456789,")))),"")</f>
        <v/>
      </c>
      <c r="D671" s="15" t="str">
        <v/>
      </c>
      <c r="E671" s="16" t="str">
        <v/>
      </c>
      <c r="F671" s="15" t="str">
        <v/>
      </c>
      <c r="G671" s="20" t="str" cm="1">
        <f t="array" ref="G671">IF(TRIM(P671)="","",IF(SUM(COUNTIF(P671,{"*NLGD*","*FWG*"}))&gt;0,P671,IF(SUM(COUNTIF(P671,{"*GL*","*DGB*","*DGI*","*GT*","*CS*","*PWU*","*DBI*","*SWU*"}))=0,P671,IF(IFERROR(VALUE(SUBSTITUTE(SUBSTITUTE(O671,"W",""),"""","")),0)&gt;52,P671&amp;"-OVRSIZE-",P671))))</f>
        <v/>
      </c>
      <c r="H671" s="15" t="str">
        <v/>
      </c>
      <c r="I671" s="15" t="str">
        <v/>
      </c>
      <c r="J671" s="15" t="str">
        <v/>
      </c>
      <c r="K671" s="15" t="str">
        <v/>
      </c>
      <c r="L671" s="15" t="str">
        <v/>
      </c>
      <c r="M671" s="10" t="str">
        <v/>
      </c>
      <c r="N671" s="14"/>
      <c r="O671" s="15" t="str" cm="1">
        <f t="array" ref="O671">IFERROR(_xlfn.LET(
_xlpm.clean,TRIM(SUBSTITUTE(SUBSTITUTE(P671,CHAR(160),"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1" s="15"/>
      <c r="R671" t="str">
        <v/>
      </c>
      <c r="S671" t="str">
        <f t="shared" si="11"/>
        <v/>
      </c>
    </row>
    <row r="672" spans="1:19" ht="12.75">
      <c r="A672" s="15" t="str">
        <v/>
      </c>
      <c r="B672" s="15" t="str">
        <v/>
      </c>
      <c r="C672" s="15" t="str" cm="1">
        <f t="array" ref="C672">IFERROR(_xlfn.TEXTJOIN("",TRUE,_xlfn._xlws.FILTER(MID(S672,_xlfn.SEQUENCE(LEN(S672)),1),ISNUMBER(SEARCH(MID(S672,_xlfn.SEQUENCE(LEN(S672)),1),"ABCDEFGHIJKLMNOPQRSTUVWXYZabcdefghijklmnopqrstuvwxyz0123456789,")))),"")</f>
        <v/>
      </c>
      <c r="D672" s="15" t="str">
        <v/>
      </c>
      <c r="E672" s="16" t="str">
        <v/>
      </c>
      <c r="F672" s="15" t="str">
        <v/>
      </c>
      <c r="G672" s="20" t="str" cm="1">
        <f t="array" ref="G672">IF(TRIM(P672)="","",IF(SUM(COUNTIF(P672,{"*NLGD*","*FWG*"}))&gt;0,P672,IF(SUM(COUNTIF(P672,{"*GL*","*DGB*","*DGI*","*GT*","*CS*","*PWU*","*DBI*","*SWU*"}))=0,P672,IF(IFERROR(VALUE(SUBSTITUTE(SUBSTITUTE(O672,"W",""),"""","")),0)&gt;52,P672&amp;"-OVRSIZE-",P672))))</f>
        <v/>
      </c>
      <c r="H672" s="15" t="str">
        <v/>
      </c>
      <c r="I672" s="15" t="str">
        <v/>
      </c>
      <c r="J672" s="15" t="str">
        <v/>
      </c>
      <c r="K672" s="15" t="str">
        <v/>
      </c>
      <c r="L672" s="15" t="str">
        <v/>
      </c>
      <c r="M672" s="10" t="str">
        <v/>
      </c>
      <c r="N672" s="14"/>
      <c r="O672" s="15" t="str" cm="1">
        <f t="array" ref="O672">IFERROR(_xlfn.LET(
_xlpm.clean,TRIM(SUBSTITUTE(SUBSTITUTE(P672,CHAR(160),"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2" s="15"/>
      <c r="R672" t="str">
        <v/>
      </c>
      <c r="S672" t="str">
        <f t="shared" si="11"/>
        <v/>
      </c>
    </row>
    <row r="673" spans="1:19" ht="12.75">
      <c r="A673" s="15" t="str">
        <v/>
      </c>
      <c r="B673" s="15" t="str">
        <v/>
      </c>
      <c r="C673" s="15" t="str" cm="1">
        <f t="array" ref="C673">IFERROR(_xlfn.TEXTJOIN("",TRUE,_xlfn._xlws.FILTER(MID(S673,_xlfn.SEQUENCE(LEN(S673)),1),ISNUMBER(SEARCH(MID(S673,_xlfn.SEQUENCE(LEN(S673)),1),"ABCDEFGHIJKLMNOPQRSTUVWXYZabcdefghijklmnopqrstuvwxyz0123456789,")))),"")</f>
        <v/>
      </c>
      <c r="D673" s="15" t="str">
        <v/>
      </c>
      <c r="E673" s="16" t="str">
        <v/>
      </c>
      <c r="F673" s="15" t="str">
        <v/>
      </c>
      <c r="G673" s="20" t="str" cm="1">
        <f t="array" ref="G673">IF(TRIM(P673)="","",IF(SUM(COUNTIF(P673,{"*NLGD*","*FWG*"}))&gt;0,P673,IF(SUM(COUNTIF(P673,{"*GL*","*DGB*","*DGI*","*GT*","*CS*","*PWU*","*DBI*","*SWU*"}))=0,P673,IF(IFERROR(VALUE(SUBSTITUTE(SUBSTITUTE(O673,"W",""),"""","")),0)&gt;52,P673&amp;"-OVRSIZE-",P673))))</f>
        <v/>
      </c>
      <c r="H673" s="15" t="str">
        <v/>
      </c>
      <c r="I673" s="15" t="str">
        <v/>
      </c>
      <c r="J673" s="15" t="str">
        <v/>
      </c>
      <c r="K673" s="15" t="str">
        <v/>
      </c>
      <c r="L673" s="15" t="str">
        <v/>
      </c>
      <c r="M673" s="10" t="str">
        <v/>
      </c>
      <c r="N673" s="14"/>
      <c r="O673" s="15" t="str" cm="1">
        <f t="array" ref="O673">IFERROR(_xlfn.LET(
_xlpm.clean,TRIM(SUBSTITUTE(SUBSTITUTE(P673,CHAR(160),"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3" s="15"/>
      <c r="R673" t="str">
        <v/>
      </c>
      <c r="S673" t="str">
        <f t="shared" si="11"/>
        <v/>
      </c>
    </row>
    <row r="674" spans="1:19" ht="12.75">
      <c r="A674" s="15" t="str">
        <v/>
      </c>
      <c r="B674" s="15" t="str">
        <v/>
      </c>
      <c r="C674" s="15" t="str" cm="1">
        <f t="array" ref="C674">IFERROR(_xlfn.TEXTJOIN("",TRUE,_xlfn._xlws.FILTER(MID(S674,_xlfn.SEQUENCE(LEN(S674)),1),ISNUMBER(SEARCH(MID(S674,_xlfn.SEQUENCE(LEN(S674)),1),"ABCDEFGHIJKLMNOPQRSTUVWXYZabcdefghijklmnopqrstuvwxyz0123456789,")))),"")</f>
        <v/>
      </c>
      <c r="D674" s="15" t="str">
        <v/>
      </c>
      <c r="E674" s="16" t="str">
        <v/>
      </c>
      <c r="F674" s="15" t="str">
        <v/>
      </c>
      <c r="G674" s="20" t="str" cm="1">
        <f t="array" ref="G674">IF(TRIM(P674)="","",IF(SUM(COUNTIF(P674,{"*NLGD*","*FWG*"}))&gt;0,P674,IF(SUM(COUNTIF(P674,{"*GL*","*DGB*","*DGI*","*GT*","*CS*","*PWU*","*DBI*","*SWU*"}))=0,P674,IF(IFERROR(VALUE(SUBSTITUTE(SUBSTITUTE(O674,"W",""),"""","")),0)&gt;52,P674&amp;"-OVRSIZE-",P674))))</f>
        <v/>
      </c>
      <c r="H674" s="15" t="str">
        <v/>
      </c>
      <c r="I674" s="15" t="str">
        <v/>
      </c>
      <c r="J674" s="15" t="str">
        <v/>
      </c>
      <c r="K674" s="15" t="str">
        <v/>
      </c>
      <c r="L674" s="15" t="str">
        <v/>
      </c>
      <c r="M674" s="10" t="str">
        <v/>
      </c>
      <c r="N674" s="14"/>
      <c r="O674" s="15" t="str" cm="1">
        <f t="array" ref="O674">IFERROR(_xlfn.LET(
_xlpm.clean,TRIM(SUBSTITUTE(SUBSTITUTE(P674,CHAR(160),"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4" s="15"/>
      <c r="R674" t="str">
        <v/>
      </c>
      <c r="S674" t="str">
        <f t="shared" si="11"/>
        <v/>
      </c>
    </row>
    <row r="675" spans="1:19" ht="12.75">
      <c r="A675" s="15" t="str">
        <v/>
      </c>
      <c r="B675" s="15" t="str">
        <v/>
      </c>
      <c r="C675" s="15" t="str" cm="1">
        <f t="array" ref="C675">IFERROR(_xlfn.TEXTJOIN("",TRUE,_xlfn._xlws.FILTER(MID(S675,_xlfn.SEQUENCE(LEN(S675)),1),ISNUMBER(SEARCH(MID(S675,_xlfn.SEQUENCE(LEN(S675)),1),"ABCDEFGHIJKLMNOPQRSTUVWXYZabcdefghijklmnopqrstuvwxyz0123456789,")))),"")</f>
        <v/>
      </c>
      <c r="D675" s="15" t="str">
        <v/>
      </c>
      <c r="E675" s="16" t="str">
        <v/>
      </c>
      <c r="F675" s="15" t="str">
        <v/>
      </c>
      <c r="G675" s="20" t="str" cm="1">
        <f t="array" ref="G675">IF(TRIM(P675)="","",IF(SUM(COUNTIF(P675,{"*NLGD*","*FWG*"}))&gt;0,P675,IF(SUM(COUNTIF(P675,{"*GL*","*DGB*","*DGI*","*GT*","*CS*","*PWU*","*DBI*","*SWU*"}))=0,P675,IF(IFERROR(VALUE(SUBSTITUTE(SUBSTITUTE(O675,"W",""),"""","")),0)&gt;52,P675&amp;"-OVRSIZE-",P675))))</f>
        <v/>
      </c>
      <c r="H675" s="15" t="str">
        <v/>
      </c>
      <c r="I675" s="15" t="str">
        <v/>
      </c>
      <c r="J675" s="15" t="str">
        <v/>
      </c>
      <c r="K675" s="15" t="str">
        <v/>
      </c>
      <c r="L675" s="15" t="str">
        <v/>
      </c>
      <c r="M675" s="10" t="str">
        <v/>
      </c>
      <c r="N675" s="14"/>
      <c r="O675" s="15" t="str" cm="1">
        <f t="array" ref="O675">IFERROR(_xlfn.LET(
_xlpm.clean,TRIM(SUBSTITUTE(SUBSTITUTE(P675,CHAR(160),"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5" s="15"/>
      <c r="R675" t="str">
        <v/>
      </c>
      <c r="S675" t="str">
        <f t="shared" si="11"/>
        <v/>
      </c>
    </row>
    <row r="676" spans="1:19" ht="12.75">
      <c r="A676" s="15" t="str">
        <v/>
      </c>
      <c r="B676" s="15" t="str">
        <v/>
      </c>
      <c r="C676" s="15" t="str" cm="1">
        <f t="array" ref="C676">IFERROR(_xlfn.TEXTJOIN("",TRUE,_xlfn._xlws.FILTER(MID(S676,_xlfn.SEQUENCE(LEN(S676)),1),ISNUMBER(SEARCH(MID(S676,_xlfn.SEQUENCE(LEN(S676)),1),"ABCDEFGHIJKLMNOPQRSTUVWXYZabcdefghijklmnopqrstuvwxyz0123456789,")))),"")</f>
        <v/>
      </c>
      <c r="D676" s="15" t="str">
        <v/>
      </c>
      <c r="E676" s="16" t="str">
        <v/>
      </c>
      <c r="F676" s="15" t="str">
        <v/>
      </c>
      <c r="G676" s="20" t="str" cm="1">
        <f t="array" ref="G676">IF(TRIM(P676)="","",IF(SUM(COUNTIF(P676,{"*NLGD*","*FWG*"}))&gt;0,P676,IF(SUM(COUNTIF(P676,{"*GL*","*DGB*","*DGI*","*GT*","*CS*","*PWU*","*DBI*","*SWU*"}))=0,P676,IF(IFERROR(VALUE(SUBSTITUTE(SUBSTITUTE(O676,"W",""),"""","")),0)&gt;52,P676&amp;"-OVRSIZE-",P676))))</f>
        <v/>
      </c>
      <c r="H676" s="15" t="str">
        <v/>
      </c>
      <c r="I676" s="15" t="str">
        <v/>
      </c>
      <c r="J676" s="15" t="str">
        <v/>
      </c>
      <c r="K676" s="15" t="str">
        <v/>
      </c>
      <c r="L676" s="15" t="str">
        <v/>
      </c>
      <c r="M676" s="10" t="str">
        <v/>
      </c>
      <c r="N676" s="14"/>
      <c r="O676" s="15" t="str" cm="1">
        <f t="array" ref="O676">IFERROR(_xlfn.LET(
_xlpm.clean,TRIM(SUBSTITUTE(SUBSTITUTE(P676,CHAR(160),"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6" s="15"/>
      <c r="R676" t="str">
        <v/>
      </c>
      <c r="S676" t="str">
        <f t="shared" si="11"/>
        <v/>
      </c>
    </row>
    <row r="677" spans="1:19" ht="12.75">
      <c r="A677" s="15" t="str">
        <v/>
      </c>
      <c r="B677" s="15" t="str">
        <v/>
      </c>
      <c r="C677" s="15" t="str" cm="1">
        <f t="array" ref="C677">IFERROR(_xlfn.TEXTJOIN("",TRUE,_xlfn._xlws.FILTER(MID(S677,_xlfn.SEQUENCE(LEN(S677)),1),ISNUMBER(SEARCH(MID(S677,_xlfn.SEQUENCE(LEN(S677)),1),"ABCDEFGHIJKLMNOPQRSTUVWXYZabcdefghijklmnopqrstuvwxyz0123456789,")))),"")</f>
        <v/>
      </c>
      <c r="D677" s="15" t="str">
        <v/>
      </c>
      <c r="E677" s="16" t="str">
        <v/>
      </c>
      <c r="F677" s="15" t="str">
        <v/>
      </c>
      <c r="G677" s="20" t="str" cm="1">
        <f t="array" ref="G677">IF(TRIM(P677)="","",IF(SUM(COUNTIF(P677,{"*NLGD*","*FWG*"}))&gt;0,P677,IF(SUM(COUNTIF(P677,{"*GL*","*DGB*","*DGI*","*GT*","*CS*","*PWU*","*DBI*","*SWU*"}))=0,P677,IF(IFERROR(VALUE(SUBSTITUTE(SUBSTITUTE(O677,"W",""),"""","")),0)&gt;52,P677&amp;"-OVRSIZE-",P677))))</f>
        <v/>
      </c>
      <c r="H677" s="15" t="str">
        <v/>
      </c>
      <c r="I677" s="15" t="str">
        <v/>
      </c>
      <c r="J677" s="15" t="str">
        <v/>
      </c>
      <c r="K677" s="15" t="str">
        <v/>
      </c>
      <c r="L677" s="15" t="str">
        <v/>
      </c>
      <c r="M677" s="10" t="str">
        <v/>
      </c>
      <c r="N677" s="14"/>
      <c r="O677" s="15" t="str" cm="1">
        <f t="array" ref="O677">IFERROR(_xlfn.LET(
_xlpm.clean,TRIM(SUBSTITUTE(SUBSTITUTE(P677,CHAR(160),"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7" s="15"/>
      <c r="R677" t="str">
        <v/>
      </c>
      <c r="S677" t="str">
        <f t="shared" si="11"/>
        <v/>
      </c>
    </row>
    <row r="678" spans="1:19" ht="12.75">
      <c r="A678" s="15" t="str">
        <v/>
      </c>
      <c r="B678" s="15" t="str">
        <v/>
      </c>
      <c r="C678" s="15" t="str" cm="1">
        <f t="array" ref="C678">IFERROR(_xlfn.TEXTJOIN("",TRUE,_xlfn._xlws.FILTER(MID(S678,_xlfn.SEQUENCE(LEN(S678)),1),ISNUMBER(SEARCH(MID(S678,_xlfn.SEQUENCE(LEN(S678)),1),"ABCDEFGHIJKLMNOPQRSTUVWXYZabcdefghijklmnopqrstuvwxyz0123456789,")))),"")</f>
        <v/>
      </c>
      <c r="D678" s="15" t="str">
        <v/>
      </c>
      <c r="E678" s="16" t="str">
        <v/>
      </c>
      <c r="F678" s="15" t="str">
        <v/>
      </c>
      <c r="G678" s="20" t="str" cm="1">
        <f t="array" ref="G678">IF(TRIM(P678)="","",IF(SUM(COUNTIF(P678,{"*NLGD*","*FWG*"}))&gt;0,P678,IF(SUM(COUNTIF(P678,{"*GL*","*DGB*","*DGI*","*GT*","*CS*","*PWU*","*DBI*","*SWU*"}))=0,P678,IF(IFERROR(VALUE(SUBSTITUTE(SUBSTITUTE(O678,"W",""),"""","")),0)&gt;52,P678&amp;"-OVRSIZE-",P678))))</f>
        <v/>
      </c>
      <c r="H678" s="15" t="str">
        <v/>
      </c>
      <c r="I678" s="15" t="str">
        <v/>
      </c>
      <c r="J678" s="15" t="str">
        <v/>
      </c>
      <c r="K678" s="15" t="str">
        <v/>
      </c>
      <c r="L678" s="15" t="str">
        <v/>
      </c>
      <c r="M678" s="10" t="str">
        <v/>
      </c>
      <c r="N678" s="14"/>
      <c r="O678" s="15" t="str" cm="1">
        <f t="array" ref="O678">IFERROR(_xlfn.LET(
_xlpm.clean,TRIM(SUBSTITUTE(SUBSTITUTE(P678,CHAR(160),"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8" s="15"/>
      <c r="R678" t="str">
        <v/>
      </c>
      <c r="S678" t="str">
        <f t="shared" si="11"/>
        <v/>
      </c>
    </row>
    <row r="679" spans="1:19" ht="12.75">
      <c r="A679" s="15" t="str">
        <v/>
      </c>
      <c r="B679" s="15" t="str">
        <v/>
      </c>
      <c r="C679" s="15" t="str" cm="1">
        <f t="array" ref="C679">IFERROR(_xlfn.TEXTJOIN("",TRUE,_xlfn._xlws.FILTER(MID(S679,_xlfn.SEQUENCE(LEN(S679)),1),ISNUMBER(SEARCH(MID(S679,_xlfn.SEQUENCE(LEN(S679)),1),"ABCDEFGHIJKLMNOPQRSTUVWXYZabcdefghijklmnopqrstuvwxyz0123456789,")))),"")</f>
        <v/>
      </c>
      <c r="D679" s="15" t="str">
        <v/>
      </c>
      <c r="E679" s="16" t="str">
        <v/>
      </c>
      <c r="F679" s="15" t="str">
        <v/>
      </c>
      <c r="G679" s="20" t="str" cm="1">
        <f t="array" ref="G679">IF(TRIM(P679)="","",IF(SUM(COUNTIF(P679,{"*NLGD*","*FWG*"}))&gt;0,P679,IF(SUM(COUNTIF(P679,{"*GL*","*DGB*","*DGI*","*GT*","*CS*","*PWU*","*DBI*","*SWU*"}))=0,P679,IF(IFERROR(VALUE(SUBSTITUTE(SUBSTITUTE(O679,"W",""),"""","")),0)&gt;52,P679&amp;"-OVRSIZE-",P679))))</f>
        <v/>
      </c>
      <c r="H679" s="15" t="str">
        <v/>
      </c>
      <c r="I679" s="15" t="str">
        <v/>
      </c>
      <c r="J679" s="15" t="str">
        <v/>
      </c>
      <c r="K679" s="15" t="str">
        <v/>
      </c>
      <c r="L679" s="15" t="str">
        <v/>
      </c>
      <c r="M679" s="10" t="str">
        <v/>
      </c>
      <c r="N679" s="14"/>
      <c r="O679" s="15" t="str" cm="1">
        <f t="array" ref="O679">IFERROR(_xlfn.LET(
_xlpm.clean,TRIM(SUBSTITUTE(SUBSTITUTE(P679,CHAR(160),"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9" s="15"/>
      <c r="R679" t="str">
        <v/>
      </c>
      <c r="S679" t="str">
        <f t="shared" si="11"/>
        <v/>
      </c>
    </row>
    <row r="680" spans="1:19" ht="12.75">
      <c r="A680" s="15" t="str">
        <v/>
      </c>
      <c r="B680" s="15" t="str">
        <v/>
      </c>
      <c r="C680" s="15" t="str" cm="1">
        <f t="array" ref="C680">IFERROR(_xlfn.TEXTJOIN("",TRUE,_xlfn._xlws.FILTER(MID(S680,_xlfn.SEQUENCE(LEN(S680)),1),ISNUMBER(SEARCH(MID(S680,_xlfn.SEQUENCE(LEN(S680)),1),"ABCDEFGHIJKLMNOPQRSTUVWXYZabcdefghijklmnopqrstuvwxyz0123456789,")))),"")</f>
        <v/>
      </c>
      <c r="D680" s="15" t="str">
        <v/>
      </c>
      <c r="E680" s="16" t="str">
        <v/>
      </c>
      <c r="F680" s="15" t="str">
        <v/>
      </c>
      <c r="G680" s="20" t="str" cm="1">
        <f t="array" ref="G680">IF(TRIM(P680)="","",IF(SUM(COUNTIF(P680,{"*NLGD*","*FWG*"}))&gt;0,P680,IF(SUM(COUNTIF(P680,{"*GL*","*DGB*","*DGI*","*GT*","*CS*","*PWU*","*DBI*","*SWU*"}))=0,P680,IF(IFERROR(VALUE(SUBSTITUTE(SUBSTITUTE(O680,"W",""),"""","")),0)&gt;52,P680&amp;"-OVRSIZE-",P680))))</f>
        <v/>
      </c>
      <c r="H680" s="15" t="str">
        <v/>
      </c>
      <c r="I680" s="15" t="str">
        <v/>
      </c>
      <c r="J680" s="15" t="str">
        <v/>
      </c>
      <c r="K680" s="15" t="str">
        <v/>
      </c>
      <c r="L680" s="15" t="str">
        <v/>
      </c>
      <c r="M680" s="10" t="str">
        <v/>
      </c>
      <c r="N680" s="14"/>
      <c r="O680" s="15" t="str" cm="1">
        <f t="array" ref="O680">IFERROR(_xlfn.LET(
_xlpm.clean,TRIM(SUBSTITUTE(SUBSTITUTE(P680,CHAR(160),"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0" s="15"/>
      <c r="R680" t="str">
        <v/>
      </c>
      <c r="S680" t="str">
        <f t="shared" si="11"/>
        <v/>
      </c>
    </row>
    <row r="681" spans="1:19" ht="12.75">
      <c r="A681" s="15" t="str">
        <v/>
      </c>
      <c r="B681" s="15" t="str">
        <v/>
      </c>
      <c r="C681" s="15" t="str" cm="1">
        <f t="array" ref="C681">IFERROR(_xlfn.TEXTJOIN("",TRUE,_xlfn._xlws.FILTER(MID(S681,_xlfn.SEQUENCE(LEN(S681)),1),ISNUMBER(SEARCH(MID(S681,_xlfn.SEQUENCE(LEN(S681)),1),"ABCDEFGHIJKLMNOPQRSTUVWXYZabcdefghijklmnopqrstuvwxyz0123456789,")))),"")</f>
        <v/>
      </c>
      <c r="D681" s="15" t="str">
        <v/>
      </c>
      <c r="E681" s="16" t="str">
        <v/>
      </c>
      <c r="F681" s="15" t="str">
        <v/>
      </c>
      <c r="G681" s="20" t="str" cm="1">
        <f t="array" ref="G681">IF(TRIM(P681)="","",IF(SUM(COUNTIF(P681,{"*NLGD*","*FWG*"}))&gt;0,P681,IF(SUM(COUNTIF(P681,{"*GL*","*DGB*","*DGI*","*GT*","*CS*","*PWU*","*DBI*","*SWU*"}))=0,P681,IF(IFERROR(VALUE(SUBSTITUTE(SUBSTITUTE(O681,"W",""),"""","")),0)&gt;52,P681&amp;"-OVRSIZE-",P681))))</f>
        <v/>
      </c>
      <c r="H681" s="15" t="str">
        <v/>
      </c>
      <c r="I681" s="15" t="str">
        <v/>
      </c>
      <c r="J681" s="15" t="str">
        <v/>
      </c>
      <c r="K681" s="15" t="str">
        <v/>
      </c>
      <c r="L681" s="15" t="str">
        <v/>
      </c>
      <c r="M681" s="10" t="str">
        <v/>
      </c>
      <c r="N681" s="14"/>
      <c r="O681" s="15" t="str" cm="1">
        <f t="array" ref="O681">IFERROR(_xlfn.LET(
_xlpm.clean,TRIM(SUBSTITUTE(SUBSTITUTE(P681,CHAR(160),"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1" s="15"/>
      <c r="R681" t="str">
        <v/>
      </c>
      <c r="S681" t="str">
        <f t="shared" si="11"/>
        <v/>
      </c>
    </row>
    <row r="682" spans="1:19" ht="12.75">
      <c r="A682" s="15" t="str">
        <v/>
      </c>
      <c r="B682" s="15" t="str">
        <v/>
      </c>
      <c r="C682" s="15" t="str" cm="1">
        <f t="array" ref="C682">IFERROR(_xlfn.TEXTJOIN("",TRUE,_xlfn._xlws.FILTER(MID(S682,_xlfn.SEQUENCE(LEN(S682)),1),ISNUMBER(SEARCH(MID(S682,_xlfn.SEQUENCE(LEN(S682)),1),"ABCDEFGHIJKLMNOPQRSTUVWXYZabcdefghijklmnopqrstuvwxyz0123456789,")))),"")</f>
        <v/>
      </c>
      <c r="D682" s="15" t="str">
        <v/>
      </c>
      <c r="E682" s="16" t="str">
        <v/>
      </c>
      <c r="F682" s="15" t="str">
        <v/>
      </c>
      <c r="G682" s="20" t="str" cm="1">
        <f t="array" ref="G682">IF(TRIM(P682)="","",IF(SUM(COUNTIF(P682,{"*NLGD*","*FWG*"}))&gt;0,P682,IF(SUM(COUNTIF(P682,{"*GL*","*DGB*","*DGI*","*GT*","*CS*","*PWU*","*DBI*","*SWU*"}))=0,P682,IF(IFERROR(VALUE(SUBSTITUTE(SUBSTITUTE(O682,"W",""),"""","")),0)&gt;52,P682&amp;"-OVRSIZE-",P682))))</f>
        <v/>
      </c>
      <c r="H682" s="15" t="str">
        <v/>
      </c>
      <c r="I682" s="15" t="str">
        <v/>
      </c>
      <c r="J682" s="15" t="str">
        <v/>
      </c>
      <c r="K682" s="15" t="str">
        <v/>
      </c>
      <c r="L682" s="15" t="str">
        <v/>
      </c>
      <c r="M682" s="10" t="str">
        <v/>
      </c>
      <c r="N682" s="14"/>
      <c r="O682" s="15" t="str" cm="1">
        <f t="array" ref="O682">IFERROR(_xlfn.LET(
_xlpm.clean,TRIM(SUBSTITUTE(SUBSTITUTE(P682,CHAR(160),"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2" s="15"/>
      <c r="R682" t="str">
        <v/>
      </c>
      <c r="S682" t="str">
        <f t="shared" si="11"/>
        <v/>
      </c>
    </row>
    <row r="683" spans="1:19" ht="12.75">
      <c r="A683" s="15" t="str">
        <v/>
      </c>
      <c r="B683" s="15" t="str">
        <v/>
      </c>
      <c r="C683" s="15" t="str" cm="1">
        <f t="array" ref="C683">IFERROR(_xlfn.TEXTJOIN("",TRUE,_xlfn._xlws.FILTER(MID(S683,_xlfn.SEQUENCE(LEN(S683)),1),ISNUMBER(SEARCH(MID(S683,_xlfn.SEQUENCE(LEN(S683)),1),"ABCDEFGHIJKLMNOPQRSTUVWXYZabcdefghijklmnopqrstuvwxyz0123456789,")))),"")</f>
        <v/>
      </c>
      <c r="D683" s="15" t="str">
        <v/>
      </c>
      <c r="E683" s="16" t="str">
        <v/>
      </c>
      <c r="F683" s="15" t="str">
        <v/>
      </c>
      <c r="G683" s="20" t="str" cm="1">
        <f t="array" ref="G683">IF(TRIM(P683)="","",IF(SUM(COUNTIF(P683,{"*NLGD*","*FWG*"}))&gt;0,P683,IF(SUM(COUNTIF(P683,{"*GL*","*DGB*","*DGI*","*GT*","*CS*","*PWU*","*DBI*","*SWU*"}))=0,P683,IF(IFERROR(VALUE(SUBSTITUTE(SUBSTITUTE(O683,"W",""),"""","")),0)&gt;52,P683&amp;"-OVRSIZE-",P683))))</f>
        <v/>
      </c>
      <c r="H683" s="15" t="str">
        <v/>
      </c>
      <c r="I683" s="15" t="str">
        <v/>
      </c>
      <c r="J683" s="15" t="str">
        <v/>
      </c>
      <c r="K683" s="15" t="str">
        <v/>
      </c>
      <c r="L683" s="15" t="str">
        <v/>
      </c>
      <c r="M683" s="10" t="str">
        <v/>
      </c>
      <c r="N683" s="14"/>
      <c r="O683" s="15" t="str" cm="1">
        <f t="array" ref="O683">IFERROR(_xlfn.LET(
_xlpm.clean,TRIM(SUBSTITUTE(SUBSTITUTE(P683,CHAR(160),"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3" s="15"/>
      <c r="R683" t="str">
        <v/>
      </c>
      <c r="S683" t="str">
        <f t="shared" si="11"/>
        <v/>
      </c>
    </row>
    <row r="684" spans="1:19" ht="12.75">
      <c r="A684" s="15" t="str">
        <v/>
      </c>
      <c r="B684" s="15" t="str">
        <v/>
      </c>
      <c r="C684" s="15" t="str" cm="1">
        <f t="array" ref="C684">IFERROR(_xlfn.TEXTJOIN("",TRUE,_xlfn._xlws.FILTER(MID(S684,_xlfn.SEQUENCE(LEN(S684)),1),ISNUMBER(SEARCH(MID(S684,_xlfn.SEQUENCE(LEN(S684)),1),"ABCDEFGHIJKLMNOPQRSTUVWXYZabcdefghijklmnopqrstuvwxyz0123456789,")))),"")</f>
        <v/>
      </c>
      <c r="D684" s="15" t="str">
        <v/>
      </c>
      <c r="E684" s="16" t="str">
        <v/>
      </c>
      <c r="F684" s="15" t="str">
        <v/>
      </c>
      <c r="G684" s="20" t="str" cm="1">
        <f t="array" ref="G684">IF(TRIM(P684)="","",IF(SUM(COUNTIF(P684,{"*NLGD*","*FWG*"}))&gt;0,P684,IF(SUM(COUNTIF(P684,{"*GL*","*DGB*","*DGI*","*GT*","*CS*","*PWU*","*DBI*","*SWU*"}))=0,P684,IF(IFERROR(VALUE(SUBSTITUTE(SUBSTITUTE(O684,"W",""),"""","")),0)&gt;52,P684&amp;"-OVRSIZE-",P684))))</f>
        <v/>
      </c>
      <c r="H684" s="15" t="str">
        <v/>
      </c>
      <c r="I684" s="15" t="str">
        <v/>
      </c>
      <c r="J684" s="15" t="str">
        <v/>
      </c>
      <c r="K684" s="15" t="str">
        <v/>
      </c>
      <c r="L684" s="15" t="str">
        <v/>
      </c>
      <c r="M684" s="10" t="str">
        <v/>
      </c>
      <c r="N684" s="14"/>
      <c r="O684" s="15" t="str" cm="1">
        <f t="array" ref="O684">IFERROR(_xlfn.LET(
_xlpm.clean,TRIM(SUBSTITUTE(SUBSTITUTE(P684,CHAR(160),"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4" s="15"/>
      <c r="R684" t="str">
        <v/>
      </c>
      <c r="S684" t="str">
        <f t="shared" si="11"/>
        <v/>
      </c>
    </row>
    <row r="685" spans="1:19" ht="12.75">
      <c r="A685" s="15" t="str">
        <v/>
      </c>
      <c r="B685" s="15" t="str">
        <v/>
      </c>
      <c r="C685" s="15" t="str" cm="1">
        <f t="array" ref="C685">IFERROR(_xlfn.TEXTJOIN("",TRUE,_xlfn._xlws.FILTER(MID(S685,_xlfn.SEQUENCE(LEN(S685)),1),ISNUMBER(SEARCH(MID(S685,_xlfn.SEQUENCE(LEN(S685)),1),"ABCDEFGHIJKLMNOPQRSTUVWXYZabcdefghijklmnopqrstuvwxyz0123456789,")))),"")</f>
        <v/>
      </c>
      <c r="D685" s="15" t="str">
        <v/>
      </c>
      <c r="E685" s="16" t="str">
        <v/>
      </c>
      <c r="F685" s="15" t="str">
        <v/>
      </c>
      <c r="G685" s="20" t="str" cm="1">
        <f t="array" ref="G685">IF(TRIM(P685)="","",IF(SUM(COUNTIF(P685,{"*NLGD*","*FWG*"}))&gt;0,P685,IF(SUM(COUNTIF(P685,{"*GL*","*DGB*","*DGI*","*GT*","*CS*","*PWU*","*DBI*","*SWU*"}))=0,P685,IF(IFERROR(VALUE(SUBSTITUTE(SUBSTITUTE(O685,"W",""),"""","")),0)&gt;52,P685&amp;"-OVRSIZE-",P685))))</f>
        <v/>
      </c>
      <c r="H685" s="15" t="str">
        <v/>
      </c>
      <c r="I685" s="15" t="str">
        <v/>
      </c>
      <c r="J685" s="15" t="str">
        <v/>
      </c>
      <c r="K685" s="15" t="str">
        <v/>
      </c>
      <c r="L685" s="15" t="str">
        <v/>
      </c>
      <c r="M685" s="10" t="str">
        <v/>
      </c>
      <c r="N685" s="14"/>
      <c r="O685" s="15" t="str" cm="1">
        <f t="array" ref="O685">IFERROR(_xlfn.LET(
_xlpm.clean,TRIM(SUBSTITUTE(SUBSTITUTE(P685,CHAR(160),"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5" s="15"/>
      <c r="R685" t="str">
        <v/>
      </c>
      <c r="S685" t="str">
        <f t="shared" si="11"/>
        <v/>
      </c>
    </row>
    <row r="686" spans="1:19" ht="12.75">
      <c r="A686" s="15" t="str">
        <v/>
      </c>
      <c r="B686" s="15" t="str">
        <v/>
      </c>
      <c r="C686" s="15" t="str" cm="1">
        <f t="array" ref="C686">IFERROR(_xlfn.TEXTJOIN("",TRUE,_xlfn._xlws.FILTER(MID(S686,_xlfn.SEQUENCE(LEN(S686)),1),ISNUMBER(SEARCH(MID(S686,_xlfn.SEQUENCE(LEN(S686)),1),"ABCDEFGHIJKLMNOPQRSTUVWXYZabcdefghijklmnopqrstuvwxyz0123456789,")))),"")</f>
        <v/>
      </c>
      <c r="D686" s="15" t="str">
        <v/>
      </c>
      <c r="E686" s="16" t="str">
        <v/>
      </c>
      <c r="F686" s="15" t="str">
        <v/>
      </c>
      <c r="G686" s="20" t="str" cm="1">
        <f t="array" ref="G686">IF(TRIM(P686)="","",IF(SUM(COUNTIF(P686,{"*NLGD*","*FWG*"}))&gt;0,P686,IF(SUM(COUNTIF(P686,{"*GL*","*DGB*","*DGI*","*GT*","*CS*","*PWU*","*DBI*","*SWU*"}))=0,P686,IF(IFERROR(VALUE(SUBSTITUTE(SUBSTITUTE(O686,"W",""),"""","")),0)&gt;52,P686&amp;"-OVRSIZE-",P686))))</f>
        <v/>
      </c>
      <c r="H686" s="15" t="str">
        <v/>
      </c>
      <c r="I686" s="15" t="str">
        <v/>
      </c>
      <c r="J686" s="15" t="str">
        <v/>
      </c>
      <c r="K686" s="15" t="str">
        <v/>
      </c>
      <c r="L686" s="15" t="str">
        <v/>
      </c>
      <c r="M686" s="10" t="str">
        <v/>
      </c>
      <c r="N686" s="14"/>
      <c r="O686" s="15" t="str" cm="1">
        <f t="array" ref="O686">IFERROR(_xlfn.LET(
_xlpm.clean,TRIM(SUBSTITUTE(SUBSTITUTE(P686,CHAR(160),"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6" s="15"/>
      <c r="R686" t="str">
        <v/>
      </c>
      <c r="S686" t="str">
        <f t="shared" si="11"/>
        <v/>
      </c>
    </row>
    <row r="687" spans="1:19" ht="12.75">
      <c r="A687" s="15" t="str">
        <v/>
      </c>
      <c r="B687" s="15" t="str">
        <v/>
      </c>
      <c r="C687" s="15" t="str" cm="1">
        <f t="array" ref="C687">IFERROR(_xlfn.TEXTJOIN("",TRUE,_xlfn._xlws.FILTER(MID(S687,_xlfn.SEQUENCE(LEN(S687)),1),ISNUMBER(SEARCH(MID(S687,_xlfn.SEQUENCE(LEN(S687)),1),"ABCDEFGHIJKLMNOPQRSTUVWXYZabcdefghijklmnopqrstuvwxyz0123456789,")))),"")</f>
        <v/>
      </c>
      <c r="D687" s="15" t="str">
        <v/>
      </c>
      <c r="E687" s="16" t="str">
        <v/>
      </c>
      <c r="F687" s="15" t="str">
        <v/>
      </c>
      <c r="G687" s="20" t="str" cm="1">
        <f t="array" ref="G687">IF(TRIM(P687)="","",IF(SUM(COUNTIF(P687,{"*NLGD*","*FWG*"}))&gt;0,P687,IF(SUM(COUNTIF(P687,{"*GL*","*DGB*","*DGI*","*GT*","*CS*","*PWU*","*DBI*","*SWU*"}))=0,P687,IF(IFERROR(VALUE(SUBSTITUTE(SUBSTITUTE(O687,"W",""),"""","")),0)&gt;52,P687&amp;"-OVRSIZE-",P687))))</f>
        <v/>
      </c>
      <c r="H687" s="15" t="str">
        <v/>
      </c>
      <c r="I687" s="15" t="str">
        <v/>
      </c>
      <c r="J687" s="15" t="str">
        <v/>
      </c>
      <c r="K687" s="15" t="str">
        <v/>
      </c>
      <c r="L687" s="15" t="str">
        <v/>
      </c>
      <c r="M687" s="10" t="str">
        <v/>
      </c>
      <c r="N687" s="14"/>
      <c r="O687" s="15" t="str" cm="1">
        <f t="array" ref="O687">IFERROR(_xlfn.LET(
_xlpm.clean,TRIM(SUBSTITUTE(SUBSTITUTE(P687,CHAR(160),"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7" s="15"/>
      <c r="R687" t="str">
        <v/>
      </c>
      <c r="S687" t="str">
        <f t="shared" si="11"/>
        <v/>
      </c>
    </row>
    <row r="688" spans="1:19" ht="12.75">
      <c r="A688" s="15" t="str">
        <v/>
      </c>
      <c r="B688" s="15" t="str">
        <v/>
      </c>
      <c r="C688" s="15" t="str" cm="1">
        <f t="array" ref="C688">IFERROR(_xlfn.TEXTJOIN("",TRUE,_xlfn._xlws.FILTER(MID(S688,_xlfn.SEQUENCE(LEN(S688)),1),ISNUMBER(SEARCH(MID(S688,_xlfn.SEQUENCE(LEN(S688)),1),"ABCDEFGHIJKLMNOPQRSTUVWXYZabcdefghijklmnopqrstuvwxyz0123456789,")))),"")</f>
        <v/>
      </c>
      <c r="D688" s="15" t="str">
        <v/>
      </c>
      <c r="E688" s="16" t="str">
        <v/>
      </c>
      <c r="F688" s="15" t="str">
        <v/>
      </c>
      <c r="G688" s="20" t="str" cm="1">
        <f t="array" ref="G688">IF(TRIM(P688)="","",IF(SUM(COUNTIF(P688,{"*NLGD*","*FWG*"}))&gt;0,P688,IF(SUM(COUNTIF(P688,{"*GL*","*DGB*","*DGI*","*GT*","*CS*","*PWU*","*DBI*","*SWU*"}))=0,P688,IF(IFERROR(VALUE(SUBSTITUTE(SUBSTITUTE(O688,"W",""),"""","")),0)&gt;52,P688&amp;"-OVRSIZE-",P688))))</f>
        <v/>
      </c>
      <c r="H688" s="15" t="str">
        <v/>
      </c>
      <c r="I688" s="15" t="str">
        <v/>
      </c>
      <c r="J688" s="15" t="str">
        <v/>
      </c>
      <c r="K688" s="15" t="str">
        <v/>
      </c>
      <c r="L688" s="15" t="str">
        <v/>
      </c>
      <c r="M688" s="10" t="str">
        <v/>
      </c>
      <c r="N688" s="14"/>
      <c r="O688" s="15" t="str" cm="1">
        <f t="array" ref="O688">IFERROR(_xlfn.LET(
_xlpm.clean,TRIM(SUBSTITUTE(SUBSTITUTE(P688,CHAR(160),"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8" s="15"/>
      <c r="R688" t="str">
        <v/>
      </c>
      <c r="S688" t="str">
        <f t="shared" si="11"/>
        <v/>
      </c>
    </row>
    <row r="689" spans="1:19" ht="12.75">
      <c r="A689" s="15" t="str">
        <v/>
      </c>
      <c r="B689" s="15" t="str">
        <v/>
      </c>
      <c r="C689" s="15" t="str" cm="1">
        <f t="array" ref="C689">IFERROR(_xlfn.TEXTJOIN("",TRUE,_xlfn._xlws.FILTER(MID(S689,_xlfn.SEQUENCE(LEN(S689)),1),ISNUMBER(SEARCH(MID(S689,_xlfn.SEQUENCE(LEN(S689)),1),"ABCDEFGHIJKLMNOPQRSTUVWXYZabcdefghijklmnopqrstuvwxyz0123456789,")))),"")</f>
        <v/>
      </c>
      <c r="D689" s="15" t="str">
        <v/>
      </c>
      <c r="E689" s="16" t="str">
        <v/>
      </c>
      <c r="F689" s="15" t="str">
        <v/>
      </c>
      <c r="G689" s="20" t="str" cm="1">
        <f t="array" ref="G689">IF(TRIM(P689)="","",IF(SUM(COUNTIF(P689,{"*NLGD*","*FWG*"}))&gt;0,P689,IF(SUM(COUNTIF(P689,{"*GL*","*DGB*","*DGI*","*GT*","*CS*","*PWU*","*DBI*","*SWU*"}))=0,P689,IF(IFERROR(VALUE(SUBSTITUTE(SUBSTITUTE(O689,"W",""),"""","")),0)&gt;52,P689&amp;"-OVRSIZE-",P689))))</f>
        <v/>
      </c>
      <c r="H689" s="15" t="str">
        <v/>
      </c>
      <c r="I689" s="15" t="str">
        <v/>
      </c>
      <c r="J689" s="15" t="str">
        <v/>
      </c>
      <c r="K689" s="15" t="str">
        <v/>
      </c>
      <c r="L689" s="15" t="str">
        <v/>
      </c>
      <c r="M689" s="10" t="str">
        <v/>
      </c>
      <c r="N689" s="14"/>
      <c r="O689" s="15" t="str" cm="1">
        <f t="array" ref="O689">IFERROR(_xlfn.LET(
_xlpm.clean,TRIM(SUBSTITUTE(SUBSTITUTE(P689,CHAR(160),"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9" s="15"/>
      <c r="R689" t="str">
        <v/>
      </c>
      <c r="S689" t="str">
        <f t="shared" si="11"/>
        <v/>
      </c>
    </row>
    <row r="690" spans="1:19" ht="12.75">
      <c r="A690" s="15" t="str">
        <v/>
      </c>
      <c r="B690" s="15" t="str">
        <v/>
      </c>
      <c r="C690" s="15" t="str" cm="1">
        <f t="array" ref="C690">IFERROR(_xlfn.TEXTJOIN("",TRUE,_xlfn._xlws.FILTER(MID(S690,_xlfn.SEQUENCE(LEN(S690)),1),ISNUMBER(SEARCH(MID(S690,_xlfn.SEQUENCE(LEN(S690)),1),"ABCDEFGHIJKLMNOPQRSTUVWXYZabcdefghijklmnopqrstuvwxyz0123456789,")))),"")</f>
        <v/>
      </c>
      <c r="D690" s="15" t="str">
        <v/>
      </c>
      <c r="E690" s="16" t="str">
        <v/>
      </c>
      <c r="F690" s="15" t="str">
        <v/>
      </c>
      <c r="G690" s="20" t="str" cm="1">
        <f t="array" ref="G690">IF(TRIM(P690)="","",IF(SUM(COUNTIF(P690,{"*NLGD*","*FWG*"}))&gt;0,P690,IF(SUM(COUNTIF(P690,{"*GL*","*DGB*","*DGI*","*GT*","*CS*","*PWU*","*DBI*","*SWU*"}))=0,P690,IF(IFERROR(VALUE(SUBSTITUTE(SUBSTITUTE(O690,"W",""),"""","")),0)&gt;52,P690&amp;"-OVRSIZE-",P690))))</f>
        <v/>
      </c>
      <c r="H690" s="15" t="str">
        <v/>
      </c>
      <c r="I690" s="15" t="str">
        <v/>
      </c>
      <c r="J690" s="15" t="str">
        <v/>
      </c>
      <c r="K690" s="15" t="str">
        <v/>
      </c>
      <c r="L690" s="15" t="str">
        <v/>
      </c>
      <c r="M690" s="10" t="str">
        <v/>
      </c>
      <c r="N690" s="14"/>
      <c r="O690" s="15" t="str" cm="1">
        <f t="array" ref="O690">IFERROR(_xlfn.LET(
_xlpm.clean,TRIM(SUBSTITUTE(SUBSTITUTE(P690,CHAR(160),"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0" s="15"/>
      <c r="R690" t="str">
        <v/>
      </c>
      <c r="S690" t="str">
        <f t="shared" si="11"/>
        <v/>
      </c>
    </row>
    <row r="691" spans="1:19" ht="12.75">
      <c r="A691" s="15" t="str">
        <v/>
      </c>
      <c r="B691" s="15" t="str">
        <v/>
      </c>
      <c r="C691" s="15" t="str" cm="1">
        <f t="array" ref="C691">IFERROR(_xlfn.TEXTJOIN("",TRUE,_xlfn._xlws.FILTER(MID(S691,_xlfn.SEQUENCE(LEN(S691)),1),ISNUMBER(SEARCH(MID(S691,_xlfn.SEQUENCE(LEN(S691)),1),"ABCDEFGHIJKLMNOPQRSTUVWXYZabcdefghijklmnopqrstuvwxyz0123456789,")))),"")</f>
        <v/>
      </c>
      <c r="D691" s="15" t="str">
        <v/>
      </c>
      <c r="E691" s="16" t="str">
        <v/>
      </c>
      <c r="F691" s="15" t="str">
        <v/>
      </c>
      <c r="G691" s="20" t="str" cm="1">
        <f t="array" ref="G691">IF(TRIM(P691)="","",IF(SUM(COUNTIF(P691,{"*NLGD*","*FWG*"}))&gt;0,P691,IF(SUM(COUNTIF(P691,{"*GL*","*DGB*","*DGI*","*GT*","*CS*","*PWU*","*DBI*","*SWU*"}))=0,P691,IF(IFERROR(VALUE(SUBSTITUTE(SUBSTITUTE(O691,"W",""),"""","")),0)&gt;52,P691&amp;"-OVRSIZE-",P691))))</f>
        <v/>
      </c>
      <c r="H691" s="15" t="str">
        <v/>
      </c>
      <c r="I691" s="15" t="str">
        <v/>
      </c>
      <c r="J691" s="15" t="str">
        <v/>
      </c>
      <c r="K691" s="15" t="str">
        <v/>
      </c>
      <c r="L691" s="15" t="str">
        <v/>
      </c>
      <c r="M691" s="10" t="str">
        <v/>
      </c>
      <c r="N691" s="14"/>
      <c r="O691" s="15" t="str" cm="1">
        <f t="array" ref="O691">IFERROR(_xlfn.LET(
_xlpm.clean,TRIM(SUBSTITUTE(SUBSTITUTE(P691,CHAR(160),"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1" s="15"/>
      <c r="R691" t="str">
        <v/>
      </c>
      <c r="S691" t="str">
        <f t="shared" si="11"/>
        <v/>
      </c>
    </row>
    <row r="692" spans="1:19" ht="12.75">
      <c r="A692" s="15" t="str">
        <v/>
      </c>
      <c r="B692" s="15" t="str">
        <v/>
      </c>
      <c r="C692" s="15" t="str" cm="1">
        <f t="array" ref="C692">IFERROR(_xlfn.TEXTJOIN("",TRUE,_xlfn._xlws.FILTER(MID(S692,_xlfn.SEQUENCE(LEN(S692)),1),ISNUMBER(SEARCH(MID(S692,_xlfn.SEQUENCE(LEN(S692)),1),"ABCDEFGHIJKLMNOPQRSTUVWXYZabcdefghijklmnopqrstuvwxyz0123456789,")))),"")</f>
        <v/>
      </c>
      <c r="D692" s="15" t="str">
        <v/>
      </c>
      <c r="E692" s="16" t="str">
        <v/>
      </c>
      <c r="F692" s="15" t="str">
        <v/>
      </c>
      <c r="G692" s="20" t="str" cm="1">
        <f t="array" ref="G692">IF(TRIM(P692)="","",IF(SUM(COUNTIF(P692,{"*NLGD*","*FWG*"}))&gt;0,P692,IF(SUM(COUNTIF(P692,{"*GL*","*DGB*","*DGI*","*GT*","*CS*","*PWU*","*DBI*","*SWU*"}))=0,P692,IF(IFERROR(VALUE(SUBSTITUTE(SUBSTITUTE(O692,"W",""),"""","")),0)&gt;52,P692&amp;"-OVRSIZE-",P692))))</f>
        <v/>
      </c>
      <c r="H692" s="15" t="str">
        <v/>
      </c>
      <c r="I692" s="15" t="str">
        <v/>
      </c>
      <c r="J692" s="15" t="str">
        <v/>
      </c>
      <c r="K692" s="15" t="str">
        <v/>
      </c>
      <c r="L692" s="15" t="str">
        <v/>
      </c>
      <c r="M692" s="10" t="str">
        <v/>
      </c>
      <c r="N692" s="14"/>
      <c r="O692" s="15" t="str" cm="1">
        <f t="array" ref="O692">IFERROR(_xlfn.LET(
_xlpm.clean,TRIM(SUBSTITUTE(SUBSTITUTE(P692,CHAR(160),"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2" s="15"/>
      <c r="R692" t="str">
        <v/>
      </c>
      <c r="S692" t="str">
        <f t="shared" si="11"/>
        <v/>
      </c>
    </row>
    <row r="693" spans="1:19" ht="12.75">
      <c r="A693" s="15" t="str">
        <v/>
      </c>
      <c r="B693" s="15" t="str">
        <v/>
      </c>
      <c r="C693" s="15" t="str" cm="1">
        <f t="array" ref="C693">IFERROR(_xlfn.TEXTJOIN("",TRUE,_xlfn._xlws.FILTER(MID(S693,_xlfn.SEQUENCE(LEN(S693)),1),ISNUMBER(SEARCH(MID(S693,_xlfn.SEQUENCE(LEN(S693)),1),"ABCDEFGHIJKLMNOPQRSTUVWXYZabcdefghijklmnopqrstuvwxyz0123456789,")))),"")</f>
        <v/>
      </c>
      <c r="D693" s="15" t="str">
        <v/>
      </c>
      <c r="E693" s="16" t="str">
        <v/>
      </c>
      <c r="F693" s="15" t="str">
        <v/>
      </c>
      <c r="G693" s="20" t="str" cm="1">
        <f t="array" ref="G693">IF(TRIM(P693)="","",IF(SUM(COUNTIF(P693,{"*NLGD*","*FWG*"}))&gt;0,P693,IF(SUM(COUNTIF(P693,{"*GL*","*DGB*","*DGI*","*GT*","*CS*","*PWU*","*DBI*","*SWU*"}))=0,P693,IF(IFERROR(VALUE(SUBSTITUTE(SUBSTITUTE(O693,"W",""),"""","")),0)&gt;52,P693&amp;"-OVRSIZE-",P693))))</f>
        <v/>
      </c>
      <c r="H693" s="15" t="str">
        <v/>
      </c>
      <c r="I693" s="15" t="str">
        <v/>
      </c>
      <c r="J693" s="15" t="str">
        <v/>
      </c>
      <c r="K693" s="15" t="str">
        <v/>
      </c>
      <c r="L693" s="15" t="str">
        <v/>
      </c>
      <c r="M693" s="10" t="str">
        <v/>
      </c>
      <c r="N693" s="14"/>
      <c r="O693" s="15" t="str" cm="1">
        <f t="array" ref="O693">IFERROR(_xlfn.LET(
_xlpm.clean,TRIM(SUBSTITUTE(SUBSTITUTE(P693,CHAR(160),"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3" s="15"/>
      <c r="R693" t="str">
        <v/>
      </c>
      <c r="S693" t="str">
        <f t="shared" si="11"/>
        <v/>
      </c>
    </row>
    <row r="694" spans="1:19" ht="12.75">
      <c r="A694" s="15" t="str">
        <v/>
      </c>
      <c r="B694" s="15" t="str">
        <v/>
      </c>
      <c r="C694" s="15" t="str" cm="1">
        <f t="array" ref="C694">IFERROR(_xlfn.TEXTJOIN("",TRUE,_xlfn._xlws.FILTER(MID(S694,_xlfn.SEQUENCE(LEN(S694)),1),ISNUMBER(SEARCH(MID(S694,_xlfn.SEQUENCE(LEN(S694)),1),"ABCDEFGHIJKLMNOPQRSTUVWXYZabcdefghijklmnopqrstuvwxyz0123456789,")))),"")</f>
        <v/>
      </c>
      <c r="D694" s="15" t="str">
        <v/>
      </c>
      <c r="E694" s="16" t="str">
        <v/>
      </c>
      <c r="F694" s="15" t="str">
        <v/>
      </c>
      <c r="G694" s="20" t="str" cm="1">
        <f t="array" ref="G694">IF(TRIM(P694)="","",IF(SUM(COUNTIF(P694,{"*NLGD*","*FWG*"}))&gt;0,P694,IF(SUM(COUNTIF(P694,{"*GL*","*DGB*","*DGI*","*GT*","*CS*","*PWU*","*DBI*","*SWU*"}))=0,P694,IF(IFERROR(VALUE(SUBSTITUTE(SUBSTITUTE(O694,"W",""),"""","")),0)&gt;52,P694&amp;"-OVRSIZE-",P694))))</f>
        <v/>
      </c>
      <c r="H694" s="15" t="str">
        <v/>
      </c>
      <c r="I694" s="15" t="str">
        <v/>
      </c>
      <c r="J694" s="15" t="str">
        <v/>
      </c>
      <c r="K694" s="15" t="str">
        <v/>
      </c>
      <c r="L694" s="15" t="str">
        <v/>
      </c>
      <c r="M694" s="10" t="str">
        <v/>
      </c>
      <c r="N694" s="14"/>
      <c r="O694" s="15" t="str" cm="1">
        <f t="array" ref="O694">IFERROR(_xlfn.LET(
_xlpm.clean,TRIM(SUBSTITUTE(SUBSTITUTE(P694,CHAR(160),"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4" s="15"/>
      <c r="R694" t="str">
        <v/>
      </c>
      <c r="S694" t="str">
        <f t="shared" si="11"/>
        <v/>
      </c>
    </row>
    <row r="695" spans="1:19" ht="12.75">
      <c r="A695" s="15" t="str">
        <v/>
      </c>
      <c r="B695" s="15" t="str">
        <v/>
      </c>
      <c r="C695" s="15" t="str" cm="1">
        <f t="array" ref="C695">IFERROR(_xlfn.TEXTJOIN("",TRUE,_xlfn._xlws.FILTER(MID(S695,_xlfn.SEQUENCE(LEN(S695)),1),ISNUMBER(SEARCH(MID(S695,_xlfn.SEQUENCE(LEN(S695)),1),"ABCDEFGHIJKLMNOPQRSTUVWXYZabcdefghijklmnopqrstuvwxyz0123456789,")))),"")</f>
        <v/>
      </c>
      <c r="D695" s="15" t="str">
        <v/>
      </c>
      <c r="E695" s="16" t="str">
        <v/>
      </c>
      <c r="F695" s="15" t="str">
        <v/>
      </c>
      <c r="G695" s="20" t="str" cm="1">
        <f t="array" ref="G695">IF(TRIM(P695)="","",IF(SUM(COUNTIF(P695,{"*NLGD*","*FWG*"}))&gt;0,P695,IF(SUM(COUNTIF(P695,{"*GL*","*DGB*","*DGI*","*GT*","*CS*","*PWU*","*DBI*","*SWU*"}))=0,P695,IF(IFERROR(VALUE(SUBSTITUTE(SUBSTITUTE(O695,"W",""),"""","")),0)&gt;52,P695&amp;"-OVRSIZE-",P695))))</f>
        <v/>
      </c>
      <c r="H695" s="15" t="str">
        <v/>
      </c>
      <c r="I695" s="15" t="str">
        <v/>
      </c>
      <c r="J695" s="15" t="str">
        <v/>
      </c>
      <c r="K695" s="15" t="str">
        <v/>
      </c>
      <c r="L695" s="15" t="str">
        <v/>
      </c>
      <c r="M695" s="10" t="str">
        <v/>
      </c>
      <c r="N695" s="14"/>
      <c r="O695" s="15" t="str" cm="1">
        <f t="array" ref="O695">IFERROR(_xlfn.LET(
_xlpm.clean,TRIM(SUBSTITUTE(SUBSTITUTE(P695,CHAR(160),"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5" s="15"/>
      <c r="R695" t="str">
        <v/>
      </c>
      <c r="S695" t="str">
        <f t="shared" si="11"/>
        <v/>
      </c>
    </row>
    <row r="696" spans="1:19" ht="12.75">
      <c r="A696" s="15" t="str">
        <v/>
      </c>
      <c r="B696" s="15" t="str">
        <v/>
      </c>
      <c r="C696" s="15" t="str" cm="1">
        <f t="array" ref="C696">IFERROR(_xlfn.TEXTJOIN("",TRUE,_xlfn._xlws.FILTER(MID(S696,_xlfn.SEQUENCE(LEN(S696)),1),ISNUMBER(SEARCH(MID(S696,_xlfn.SEQUENCE(LEN(S696)),1),"ABCDEFGHIJKLMNOPQRSTUVWXYZabcdefghijklmnopqrstuvwxyz0123456789,")))),"")</f>
        <v/>
      </c>
      <c r="D696" s="15" t="str">
        <v/>
      </c>
      <c r="E696" s="16" t="str">
        <v/>
      </c>
      <c r="F696" s="15" t="str">
        <v/>
      </c>
      <c r="G696" s="20" t="str" cm="1">
        <f t="array" ref="G696">IF(TRIM(P696)="","",IF(SUM(COUNTIF(P696,{"*NLGD*","*FWG*"}))&gt;0,P696,IF(SUM(COUNTIF(P696,{"*GL*","*DGB*","*DGI*","*GT*","*CS*","*PWU*","*DBI*","*SWU*"}))=0,P696,IF(IFERROR(VALUE(SUBSTITUTE(SUBSTITUTE(O696,"W",""),"""","")),0)&gt;52,P696&amp;"-OVRSIZE-",P696))))</f>
        <v/>
      </c>
      <c r="H696" s="15" t="str">
        <v/>
      </c>
      <c r="I696" s="15" t="str">
        <v/>
      </c>
      <c r="J696" s="15" t="str">
        <v/>
      </c>
      <c r="K696" s="15" t="str">
        <v/>
      </c>
      <c r="L696" s="15" t="str">
        <v/>
      </c>
      <c r="M696" s="10" t="str">
        <v/>
      </c>
      <c r="N696" s="14"/>
      <c r="O696" s="15" t="str" cm="1">
        <f t="array" ref="O696">IFERROR(_xlfn.LET(
_xlpm.clean,TRIM(SUBSTITUTE(SUBSTITUTE(P696,CHAR(160),"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6" s="15"/>
      <c r="R696" t="str">
        <v/>
      </c>
      <c r="S696" t="str">
        <f t="shared" si="11"/>
        <v/>
      </c>
    </row>
    <row r="697" spans="1:19" ht="12.75">
      <c r="A697" s="15" t="str">
        <v/>
      </c>
      <c r="B697" s="15" t="str">
        <v/>
      </c>
      <c r="C697" s="15" t="str" cm="1">
        <f t="array" ref="C697">IFERROR(_xlfn.TEXTJOIN("",TRUE,_xlfn._xlws.FILTER(MID(S697,_xlfn.SEQUENCE(LEN(S697)),1),ISNUMBER(SEARCH(MID(S697,_xlfn.SEQUENCE(LEN(S697)),1),"ABCDEFGHIJKLMNOPQRSTUVWXYZabcdefghijklmnopqrstuvwxyz0123456789,")))),"")</f>
        <v/>
      </c>
      <c r="D697" s="15" t="str">
        <v/>
      </c>
      <c r="E697" s="16" t="str">
        <v/>
      </c>
      <c r="F697" s="15" t="str">
        <v/>
      </c>
      <c r="G697" s="20" t="str" cm="1">
        <f t="array" ref="G697">IF(TRIM(P697)="","",IF(SUM(COUNTIF(P697,{"*NLGD*","*FWG*"}))&gt;0,P697,IF(SUM(COUNTIF(P697,{"*GL*","*DGB*","*DGI*","*GT*","*CS*","*PWU*","*DBI*","*SWU*"}))=0,P697,IF(IFERROR(VALUE(SUBSTITUTE(SUBSTITUTE(O697,"W",""),"""","")),0)&gt;52,P697&amp;"-OVRSIZE-",P697))))</f>
        <v/>
      </c>
      <c r="H697" s="15" t="str">
        <v/>
      </c>
      <c r="I697" s="15" t="str">
        <v/>
      </c>
      <c r="J697" s="15" t="str">
        <v/>
      </c>
      <c r="K697" s="15" t="str">
        <v/>
      </c>
      <c r="L697" s="15" t="str">
        <v/>
      </c>
      <c r="M697" s="10" t="str">
        <v/>
      </c>
      <c r="N697" s="14"/>
      <c r="O697" s="15" t="str" cm="1">
        <f t="array" ref="O697">IFERROR(_xlfn.LET(
_xlpm.clean,TRIM(SUBSTITUTE(SUBSTITUTE(P697,CHAR(160),"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7" s="15"/>
      <c r="R697" t="str">
        <v/>
      </c>
      <c r="S697" t="str">
        <f t="shared" si="11"/>
        <v/>
      </c>
    </row>
    <row r="698" spans="1:19" ht="12.75">
      <c r="A698" s="15" t="str">
        <v/>
      </c>
      <c r="B698" s="15" t="str">
        <v/>
      </c>
      <c r="C698" s="15" t="str" cm="1">
        <f t="array" ref="C698">IFERROR(_xlfn.TEXTJOIN("",TRUE,_xlfn._xlws.FILTER(MID(S698,_xlfn.SEQUENCE(LEN(S698)),1),ISNUMBER(SEARCH(MID(S698,_xlfn.SEQUENCE(LEN(S698)),1),"ABCDEFGHIJKLMNOPQRSTUVWXYZabcdefghijklmnopqrstuvwxyz0123456789,")))),"")</f>
        <v/>
      </c>
      <c r="D698" s="15" t="str">
        <v/>
      </c>
      <c r="E698" s="16" t="str">
        <v/>
      </c>
      <c r="F698" s="15" t="str">
        <v/>
      </c>
      <c r="G698" s="20" t="str" cm="1">
        <f t="array" ref="G698">IF(TRIM(P698)="","",IF(SUM(COUNTIF(P698,{"*NLGD*","*FWG*"}))&gt;0,P698,IF(SUM(COUNTIF(P698,{"*GL*","*DGB*","*DGI*","*GT*","*CS*","*PWU*","*DBI*","*SWU*"}))=0,P698,IF(IFERROR(VALUE(SUBSTITUTE(SUBSTITUTE(O698,"W",""),"""","")),0)&gt;52,P698&amp;"-OVRSIZE-",P698))))</f>
        <v/>
      </c>
      <c r="H698" s="15" t="str">
        <v/>
      </c>
      <c r="I698" s="15" t="str">
        <v/>
      </c>
      <c r="J698" s="15" t="str">
        <v/>
      </c>
      <c r="K698" s="15" t="str">
        <v/>
      </c>
      <c r="L698" s="15" t="str">
        <v/>
      </c>
      <c r="M698" s="10" t="str">
        <v/>
      </c>
      <c r="N698" s="14"/>
      <c r="O698" s="15" t="str" cm="1">
        <f t="array" ref="O698">IFERROR(_xlfn.LET(
_xlpm.clean,TRIM(SUBSTITUTE(SUBSTITUTE(P698,CHAR(160),"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8" s="15"/>
      <c r="R698" t="str">
        <v/>
      </c>
      <c r="S698" t="str">
        <f t="shared" si="11"/>
        <v/>
      </c>
    </row>
    <row r="699" spans="1:19" ht="12.75">
      <c r="A699" s="15" t="str">
        <v/>
      </c>
      <c r="B699" s="15" t="str">
        <v/>
      </c>
      <c r="C699" s="15" t="str" cm="1">
        <f t="array" ref="C699">IFERROR(_xlfn.TEXTJOIN("",TRUE,_xlfn._xlws.FILTER(MID(S699,_xlfn.SEQUENCE(LEN(S699)),1),ISNUMBER(SEARCH(MID(S699,_xlfn.SEQUENCE(LEN(S699)),1),"ABCDEFGHIJKLMNOPQRSTUVWXYZabcdefghijklmnopqrstuvwxyz0123456789,")))),"")</f>
        <v/>
      </c>
      <c r="D699" s="15" t="str">
        <v/>
      </c>
      <c r="E699" s="16" t="str">
        <v/>
      </c>
      <c r="F699" s="15" t="str">
        <v/>
      </c>
      <c r="G699" s="20" t="str" cm="1">
        <f t="array" ref="G699">IF(TRIM(P699)="","",IF(SUM(COUNTIF(P699,{"*NLGD*","*FWG*"}))&gt;0,P699,IF(SUM(COUNTIF(P699,{"*GL*","*DGB*","*DGI*","*GT*","*CS*","*PWU*","*DBI*","*SWU*"}))=0,P699,IF(IFERROR(VALUE(SUBSTITUTE(SUBSTITUTE(O699,"W",""),"""","")),0)&gt;52,P699&amp;"-OVRSIZE-",P699))))</f>
        <v/>
      </c>
      <c r="H699" s="15" t="str">
        <v/>
      </c>
      <c r="I699" s="15" t="str">
        <v/>
      </c>
      <c r="J699" s="15" t="str">
        <v/>
      </c>
      <c r="K699" s="15" t="str">
        <v/>
      </c>
      <c r="L699" s="15" t="str">
        <v/>
      </c>
      <c r="M699" s="10" t="str">
        <v/>
      </c>
      <c r="N699" s="14"/>
      <c r="O699" s="15" t="str" cm="1">
        <f t="array" ref="O699">IFERROR(_xlfn.LET(
_xlpm.clean,TRIM(SUBSTITUTE(SUBSTITUTE(P699,CHAR(160),"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9" s="15"/>
      <c r="R699" t="str">
        <v/>
      </c>
      <c r="S699" t="str">
        <f t="shared" si="11"/>
        <v/>
      </c>
    </row>
    <row r="700" spans="1:19" ht="12.75">
      <c r="A700" s="15" t="str">
        <v/>
      </c>
      <c r="B700" s="15" t="str">
        <v/>
      </c>
      <c r="C700" s="15" t="str" cm="1">
        <f t="array" ref="C700">IFERROR(_xlfn.TEXTJOIN("",TRUE,_xlfn._xlws.FILTER(MID(S700,_xlfn.SEQUENCE(LEN(S700)),1),ISNUMBER(SEARCH(MID(S700,_xlfn.SEQUENCE(LEN(S700)),1),"ABCDEFGHIJKLMNOPQRSTUVWXYZabcdefghijklmnopqrstuvwxyz0123456789,")))),"")</f>
        <v/>
      </c>
      <c r="D700" s="15" t="str">
        <v/>
      </c>
      <c r="E700" s="16" t="str">
        <v/>
      </c>
      <c r="F700" s="15" t="str">
        <v/>
      </c>
      <c r="G700" s="20" t="str" cm="1">
        <f t="array" ref="G700">IF(TRIM(P700)="","",IF(SUM(COUNTIF(P700,{"*NLGD*","*FWG*"}))&gt;0,P700,IF(SUM(COUNTIF(P700,{"*GL*","*DGB*","*DGI*","*GT*","*CS*","*PWU*","*DBI*","*SWU*"}))=0,P700,IF(IFERROR(VALUE(SUBSTITUTE(SUBSTITUTE(O700,"W",""),"""","")),0)&gt;52,P700&amp;"-OVRSIZE-",P700))))</f>
        <v/>
      </c>
      <c r="H700" s="15" t="str">
        <v/>
      </c>
      <c r="I700" s="15" t="str">
        <v/>
      </c>
      <c r="J700" s="15" t="str">
        <v/>
      </c>
      <c r="K700" s="15" t="str">
        <v/>
      </c>
      <c r="L700" s="15" t="str">
        <v/>
      </c>
      <c r="M700" s="10" t="str">
        <v/>
      </c>
      <c r="N700" s="14"/>
      <c r="O700" s="15" t="str" cm="1">
        <f t="array" ref="O700">IFERROR(_xlfn.LET(
_xlpm.clean,TRIM(SUBSTITUTE(SUBSTITUTE(P700,CHAR(160),"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0" s="15"/>
      <c r="R700" t="str">
        <v/>
      </c>
      <c r="S700" t="str">
        <f t="shared" si="11"/>
        <v/>
      </c>
    </row>
    <row r="701" spans="1:19" ht="12.75">
      <c r="A701" s="15" t="str">
        <v/>
      </c>
      <c r="B701" s="15" t="str">
        <v/>
      </c>
      <c r="C701" s="15" t="str" cm="1">
        <f t="array" ref="C701">IFERROR(_xlfn.TEXTJOIN("",TRUE,_xlfn._xlws.FILTER(MID(S701,_xlfn.SEQUENCE(LEN(S701)),1),ISNUMBER(SEARCH(MID(S701,_xlfn.SEQUENCE(LEN(S701)),1),"ABCDEFGHIJKLMNOPQRSTUVWXYZabcdefghijklmnopqrstuvwxyz0123456789,")))),"")</f>
        <v/>
      </c>
      <c r="D701" s="15" t="str">
        <v/>
      </c>
      <c r="E701" s="16" t="str">
        <v/>
      </c>
      <c r="F701" s="15" t="str">
        <v/>
      </c>
      <c r="G701" s="20" t="str" cm="1">
        <f t="array" ref="G701">IF(TRIM(P701)="","",IF(SUM(COUNTIF(P701,{"*NLGD*","*FWG*"}))&gt;0,P701,IF(SUM(COUNTIF(P701,{"*GL*","*DGB*","*DGI*","*GT*","*CS*","*PWU*","*DBI*","*SWU*"}))=0,P701,IF(IFERROR(VALUE(SUBSTITUTE(SUBSTITUTE(O701,"W",""),"""","")),0)&gt;52,P701&amp;"-OVRSIZE-",P701))))</f>
        <v/>
      </c>
      <c r="H701" s="15" t="str">
        <v/>
      </c>
      <c r="I701" s="15" t="str">
        <v/>
      </c>
      <c r="J701" s="15" t="str">
        <v/>
      </c>
      <c r="K701" s="15" t="str">
        <v/>
      </c>
      <c r="L701" s="15" t="str">
        <v/>
      </c>
      <c r="M701" s="10" t="str">
        <v/>
      </c>
      <c r="N701" s="14"/>
      <c r="O701" s="15" t="str" cm="1">
        <f t="array" ref="O701">IFERROR(_xlfn.LET(
_xlpm.clean,TRIM(SUBSTITUTE(SUBSTITUTE(P701,CHAR(160),"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1" s="15"/>
      <c r="R701" t="str">
        <v/>
      </c>
      <c r="S701" t="str">
        <f t="shared" si="11"/>
        <v/>
      </c>
    </row>
    <row r="702" spans="1:19" ht="12.75">
      <c r="A702" s="15" t="str">
        <v/>
      </c>
      <c r="B702" s="15" t="str">
        <v/>
      </c>
      <c r="C702" s="15" t="str" cm="1">
        <f t="array" ref="C702">IFERROR(_xlfn.TEXTJOIN("",TRUE,_xlfn._xlws.FILTER(MID(S702,_xlfn.SEQUENCE(LEN(S702)),1),ISNUMBER(SEARCH(MID(S702,_xlfn.SEQUENCE(LEN(S702)),1),"ABCDEFGHIJKLMNOPQRSTUVWXYZabcdefghijklmnopqrstuvwxyz0123456789,")))),"")</f>
        <v/>
      </c>
      <c r="D702" s="15" t="str">
        <v/>
      </c>
      <c r="E702" s="16" t="str">
        <v/>
      </c>
      <c r="F702" s="15" t="str">
        <v/>
      </c>
      <c r="G702" s="20" t="str" cm="1">
        <f t="array" ref="G702">IF(TRIM(P702)="","",IF(SUM(COUNTIF(P702,{"*NLGD*","*FWG*"}))&gt;0,P702,IF(SUM(COUNTIF(P702,{"*GL*","*DGB*","*DGI*","*GT*","*CS*","*PWU*","*DBI*","*SWU*"}))=0,P702,IF(IFERROR(VALUE(SUBSTITUTE(SUBSTITUTE(O702,"W",""),"""","")),0)&gt;52,P702&amp;"-OVRSIZE-",P702))))</f>
        <v/>
      </c>
      <c r="H702" s="15" t="str">
        <v/>
      </c>
      <c r="I702" s="15" t="str">
        <v/>
      </c>
      <c r="J702" s="15" t="str">
        <v/>
      </c>
      <c r="K702" s="15" t="str">
        <v/>
      </c>
      <c r="L702" s="15" t="str">
        <v/>
      </c>
      <c r="M702" s="10" t="str">
        <v/>
      </c>
      <c r="N702" s="14"/>
      <c r="O702" s="15" t="str" cm="1">
        <f t="array" ref="O702">IFERROR(_xlfn.LET(
_xlpm.clean,TRIM(SUBSTITUTE(SUBSTITUTE(P702,CHAR(160),"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2" s="15"/>
      <c r="R702" t="str">
        <v/>
      </c>
      <c r="S702" t="str">
        <f t="shared" si="11"/>
        <v/>
      </c>
    </row>
    <row r="703" spans="1:19" ht="12.75">
      <c r="A703" s="15" t="str">
        <v/>
      </c>
      <c r="B703" s="15" t="str">
        <v/>
      </c>
      <c r="C703" s="15" t="str" cm="1">
        <f t="array" ref="C703">IFERROR(_xlfn.TEXTJOIN("",TRUE,_xlfn._xlws.FILTER(MID(S703,_xlfn.SEQUENCE(LEN(S703)),1),ISNUMBER(SEARCH(MID(S703,_xlfn.SEQUENCE(LEN(S703)),1),"ABCDEFGHIJKLMNOPQRSTUVWXYZabcdefghijklmnopqrstuvwxyz0123456789,")))),"")</f>
        <v/>
      </c>
      <c r="D703" s="15" t="str">
        <v/>
      </c>
      <c r="E703" s="16" t="str">
        <v/>
      </c>
      <c r="F703" s="15" t="str">
        <v/>
      </c>
      <c r="G703" s="20" t="str" cm="1">
        <f t="array" ref="G703">IF(TRIM(P703)="","",IF(SUM(COUNTIF(P703,{"*NLGD*","*FWG*"}))&gt;0,P703,IF(SUM(COUNTIF(P703,{"*GL*","*DGB*","*DGI*","*GT*","*CS*","*PWU*","*DBI*","*SWU*"}))=0,P703,IF(IFERROR(VALUE(SUBSTITUTE(SUBSTITUTE(O703,"W",""),"""","")),0)&gt;52,P703&amp;"-OVRSIZE-",P703))))</f>
        <v/>
      </c>
      <c r="H703" s="15" t="str">
        <v/>
      </c>
      <c r="I703" s="15" t="str">
        <v/>
      </c>
      <c r="J703" s="15" t="str">
        <v/>
      </c>
      <c r="K703" s="15" t="str">
        <v/>
      </c>
      <c r="L703" s="15" t="str">
        <v/>
      </c>
      <c r="M703" s="10" t="str">
        <v/>
      </c>
      <c r="N703" s="14"/>
      <c r="O703" s="15" t="str" cm="1">
        <f t="array" ref="O703">IFERROR(_xlfn.LET(
_xlpm.clean,TRIM(SUBSTITUTE(SUBSTITUTE(P703,CHAR(160),"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3" s="15"/>
      <c r="R703" t="str">
        <v/>
      </c>
      <c r="S703" t="str">
        <f t="shared" si="11"/>
        <v/>
      </c>
    </row>
    <row r="704" spans="1:19" ht="12.75">
      <c r="A704" s="15" t="str">
        <v/>
      </c>
      <c r="B704" s="15" t="str">
        <v/>
      </c>
      <c r="C704" s="15" t="str" cm="1">
        <f t="array" ref="C704">IFERROR(_xlfn.TEXTJOIN("",TRUE,_xlfn._xlws.FILTER(MID(S704,_xlfn.SEQUENCE(LEN(S704)),1),ISNUMBER(SEARCH(MID(S704,_xlfn.SEQUENCE(LEN(S704)),1),"ABCDEFGHIJKLMNOPQRSTUVWXYZabcdefghijklmnopqrstuvwxyz0123456789,")))),"")</f>
        <v/>
      </c>
      <c r="D704" s="15" t="str">
        <v/>
      </c>
      <c r="E704" s="16" t="str">
        <v/>
      </c>
      <c r="F704" s="15" t="str">
        <v/>
      </c>
      <c r="G704" s="20" t="str" cm="1">
        <f t="array" ref="G704">IF(TRIM(P704)="","",IF(SUM(COUNTIF(P704,{"*NLGD*","*FWG*"}))&gt;0,P704,IF(SUM(COUNTIF(P704,{"*GL*","*DGB*","*DGI*","*GT*","*CS*","*PWU*","*DBI*","*SWU*"}))=0,P704,IF(IFERROR(VALUE(SUBSTITUTE(SUBSTITUTE(O704,"W",""),"""","")),0)&gt;52,P704&amp;"-OVRSIZE-",P704))))</f>
        <v/>
      </c>
      <c r="H704" s="15" t="str">
        <v/>
      </c>
      <c r="I704" s="15" t="str">
        <v/>
      </c>
      <c r="J704" s="15" t="str">
        <v/>
      </c>
      <c r="K704" s="15" t="str">
        <v/>
      </c>
      <c r="L704" s="15" t="str">
        <v/>
      </c>
      <c r="M704" s="10" t="str">
        <v/>
      </c>
      <c r="N704" s="14"/>
      <c r="O704" s="15" t="str" cm="1">
        <f t="array" ref="O704">IFERROR(_xlfn.LET(
_xlpm.clean,TRIM(SUBSTITUTE(SUBSTITUTE(P704,CHAR(160),"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4" s="15"/>
      <c r="R704" t="str">
        <v/>
      </c>
      <c r="S704" t="str">
        <f t="shared" si="11"/>
        <v/>
      </c>
    </row>
    <row r="705" spans="1:19" ht="12.75">
      <c r="A705" s="15" t="str">
        <v/>
      </c>
      <c r="B705" s="15" t="str">
        <v/>
      </c>
      <c r="C705" s="15" t="str" cm="1">
        <f t="array" ref="C705">IFERROR(_xlfn.TEXTJOIN("",TRUE,_xlfn._xlws.FILTER(MID(S705,_xlfn.SEQUENCE(LEN(S705)),1),ISNUMBER(SEARCH(MID(S705,_xlfn.SEQUENCE(LEN(S705)),1),"ABCDEFGHIJKLMNOPQRSTUVWXYZabcdefghijklmnopqrstuvwxyz0123456789,")))),"")</f>
        <v/>
      </c>
      <c r="D705" s="15" t="str">
        <v/>
      </c>
      <c r="E705" s="16" t="str">
        <v/>
      </c>
      <c r="F705" s="15" t="str">
        <v/>
      </c>
      <c r="G705" s="20" t="str" cm="1">
        <f t="array" ref="G705">IF(TRIM(P705)="","",IF(SUM(COUNTIF(P705,{"*NLGD*","*FWG*"}))&gt;0,P705,IF(SUM(COUNTIF(P705,{"*GL*","*DGB*","*DGI*","*GT*","*CS*","*PWU*","*DBI*","*SWU*"}))=0,P705,IF(IFERROR(VALUE(SUBSTITUTE(SUBSTITUTE(O705,"W",""),"""","")),0)&gt;52,P705&amp;"-OVRSIZE-",P705))))</f>
        <v/>
      </c>
      <c r="H705" s="15" t="str">
        <v/>
      </c>
      <c r="I705" s="15" t="str">
        <v/>
      </c>
      <c r="J705" s="15" t="str">
        <v/>
      </c>
      <c r="K705" s="15" t="str">
        <v/>
      </c>
      <c r="L705" s="15" t="str">
        <v/>
      </c>
      <c r="M705" s="10" t="str">
        <v/>
      </c>
      <c r="N705" s="14"/>
      <c r="O705" s="15" t="str" cm="1">
        <f t="array" ref="O705">IFERROR(_xlfn.LET(
_xlpm.clean,TRIM(SUBSTITUTE(SUBSTITUTE(P705,CHAR(160),"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5" s="15"/>
      <c r="R705" t="str">
        <v/>
      </c>
      <c r="S705" t="str">
        <f t="shared" si="11"/>
        <v/>
      </c>
    </row>
    <row r="706" spans="1:19" ht="12.75">
      <c r="A706" s="15" t="str">
        <v/>
      </c>
      <c r="B706" s="15" t="str">
        <v/>
      </c>
      <c r="C706" s="15" t="str" cm="1">
        <f t="array" ref="C706">IFERROR(_xlfn.TEXTJOIN("",TRUE,_xlfn._xlws.FILTER(MID(S706,_xlfn.SEQUENCE(LEN(S706)),1),ISNUMBER(SEARCH(MID(S706,_xlfn.SEQUENCE(LEN(S706)),1),"ABCDEFGHIJKLMNOPQRSTUVWXYZabcdefghijklmnopqrstuvwxyz0123456789,")))),"")</f>
        <v/>
      </c>
      <c r="D706" s="15" t="str">
        <v/>
      </c>
      <c r="E706" s="16" t="str">
        <v/>
      </c>
      <c r="F706" s="15" t="str">
        <v/>
      </c>
      <c r="G706" s="20" t="str" cm="1">
        <f t="array" ref="G706">IF(TRIM(P706)="","",IF(SUM(COUNTIF(P706,{"*NLGD*","*FWG*"}))&gt;0,P706,IF(SUM(COUNTIF(P706,{"*GL*","*DGB*","*DGI*","*GT*","*CS*","*PWU*","*DBI*","*SWU*"}))=0,P706,IF(IFERROR(VALUE(SUBSTITUTE(SUBSTITUTE(O706,"W",""),"""","")),0)&gt;52,P706&amp;"-OVRSIZE-",P706))))</f>
        <v/>
      </c>
      <c r="H706" s="15" t="str">
        <v/>
      </c>
      <c r="I706" s="15" t="str">
        <v/>
      </c>
      <c r="J706" s="15" t="str">
        <v/>
      </c>
      <c r="K706" s="15" t="str">
        <v/>
      </c>
      <c r="L706" s="15" t="str">
        <v/>
      </c>
      <c r="M706" s="10" t="str">
        <v/>
      </c>
      <c r="N706" s="14"/>
      <c r="O706" s="15" t="str" cm="1">
        <f t="array" ref="O706">IFERROR(_xlfn.LET(
_xlpm.clean,TRIM(SUBSTITUTE(SUBSTITUTE(P706,CHAR(160),"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6" s="15"/>
      <c r="R706" t="str">
        <v/>
      </c>
      <c r="S706" t="str">
        <f t="shared" si="11"/>
        <v/>
      </c>
    </row>
    <row r="707" spans="1:19" ht="12.75">
      <c r="A707" s="15" t="str">
        <v/>
      </c>
      <c r="B707" s="15" t="str">
        <v/>
      </c>
      <c r="C707" s="15" t="str" cm="1">
        <f t="array" ref="C707">IFERROR(_xlfn.TEXTJOIN("",TRUE,_xlfn._xlws.FILTER(MID(S707,_xlfn.SEQUENCE(LEN(S707)),1),ISNUMBER(SEARCH(MID(S707,_xlfn.SEQUENCE(LEN(S707)),1),"ABCDEFGHIJKLMNOPQRSTUVWXYZabcdefghijklmnopqrstuvwxyz0123456789,")))),"")</f>
        <v/>
      </c>
      <c r="D707" s="15" t="str">
        <v/>
      </c>
      <c r="E707" s="16" t="str">
        <v/>
      </c>
      <c r="F707" s="15" t="str">
        <v/>
      </c>
      <c r="G707" s="20" t="str" cm="1">
        <f t="array" ref="G707">IF(TRIM(P707)="","",IF(SUM(COUNTIF(P707,{"*NLGD*","*FWG*"}))&gt;0,P707,IF(SUM(COUNTIF(P707,{"*GL*","*DGB*","*DGI*","*GT*","*CS*","*PWU*","*DBI*","*SWU*"}))=0,P707,IF(IFERROR(VALUE(SUBSTITUTE(SUBSTITUTE(O707,"W",""),"""","")),0)&gt;52,P707&amp;"-OVRSIZE-",P707))))</f>
        <v/>
      </c>
      <c r="H707" s="15" t="str">
        <v/>
      </c>
      <c r="I707" s="15" t="str">
        <v/>
      </c>
      <c r="J707" s="15" t="str">
        <v/>
      </c>
      <c r="K707" s="15" t="str">
        <v/>
      </c>
      <c r="L707" s="15" t="str">
        <v/>
      </c>
      <c r="M707" s="10" t="str">
        <v/>
      </c>
      <c r="N707" s="14"/>
      <c r="O707" s="15" t="str" cm="1">
        <f t="array" ref="O707">IFERROR(_xlfn.LET(
_xlpm.clean,TRIM(SUBSTITUTE(SUBSTITUTE(P707,CHAR(160),"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7" s="15"/>
      <c r="R707" t="str">
        <v/>
      </c>
      <c r="S707" t="str">
        <f t="shared" si="11"/>
        <v/>
      </c>
    </row>
    <row r="708" spans="1:19" ht="12.75">
      <c r="A708" s="15" t="str">
        <v/>
      </c>
      <c r="B708" s="15" t="str">
        <v/>
      </c>
      <c r="C708" s="15" t="str" cm="1">
        <f t="array" ref="C708">IFERROR(_xlfn.TEXTJOIN("",TRUE,_xlfn._xlws.FILTER(MID(S708,_xlfn.SEQUENCE(LEN(S708)),1),ISNUMBER(SEARCH(MID(S708,_xlfn.SEQUENCE(LEN(S708)),1),"ABCDEFGHIJKLMNOPQRSTUVWXYZabcdefghijklmnopqrstuvwxyz0123456789,")))),"")</f>
        <v/>
      </c>
      <c r="D708" s="15" t="str">
        <v/>
      </c>
      <c r="E708" s="16" t="str">
        <v/>
      </c>
      <c r="F708" s="15" t="str">
        <v/>
      </c>
      <c r="G708" s="20" t="str" cm="1">
        <f t="array" ref="G708">IF(TRIM(P708)="","",IF(SUM(COUNTIF(P708,{"*NLGD*","*FWG*"}))&gt;0,P708,IF(SUM(COUNTIF(P708,{"*GL*","*DGB*","*DGI*","*GT*","*CS*","*PWU*","*DBI*","*SWU*"}))=0,P708,IF(IFERROR(VALUE(SUBSTITUTE(SUBSTITUTE(O708,"W",""),"""","")),0)&gt;52,P708&amp;"-OVRSIZE-",P708))))</f>
        <v/>
      </c>
      <c r="H708" s="15" t="str">
        <v/>
      </c>
      <c r="I708" s="15" t="str">
        <v/>
      </c>
      <c r="J708" s="15" t="str">
        <v/>
      </c>
      <c r="K708" s="15" t="str">
        <v/>
      </c>
      <c r="L708" s="15" t="str">
        <v/>
      </c>
      <c r="M708" s="10" t="str">
        <v/>
      </c>
      <c r="N708" s="14"/>
      <c r="O708" s="15" t="str" cm="1">
        <f t="array" ref="O708">IFERROR(_xlfn.LET(
_xlpm.clean,TRIM(SUBSTITUTE(SUBSTITUTE(P708,CHAR(160),"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8" s="15"/>
      <c r="R708" t="str">
        <v/>
      </c>
      <c r="S708" t="str">
        <f t="shared" si="11"/>
        <v/>
      </c>
    </row>
    <row r="709" spans="1:19" ht="12.75">
      <c r="A709" s="15" t="str">
        <v/>
      </c>
      <c r="B709" s="15" t="str">
        <v/>
      </c>
      <c r="C709" s="15" t="str" cm="1">
        <f t="array" ref="C709">IFERROR(_xlfn.TEXTJOIN("",TRUE,_xlfn._xlws.FILTER(MID(S709,_xlfn.SEQUENCE(LEN(S709)),1),ISNUMBER(SEARCH(MID(S709,_xlfn.SEQUENCE(LEN(S709)),1),"ABCDEFGHIJKLMNOPQRSTUVWXYZabcdefghijklmnopqrstuvwxyz0123456789,")))),"")</f>
        <v/>
      </c>
      <c r="D709" s="15" t="str">
        <v/>
      </c>
      <c r="E709" s="16" t="str">
        <v/>
      </c>
      <c r="F709" s="15" t="str">
        <v/>
      </c>
      <c r="G709" s="20" t="str" cm="1">
        <f t="array" ref="G709">IF(TRIM(P709)="","",IF(SUM(COUNTIF(P709,{"*NLGD*","*FWG*"}))&gt;0,P709,IF(SUM(COUNTIF(P709,{"*GL*","*DGB*","*DGI*","*GT*","*CS*","*PWU*","*DBI*","*SWU*"}))=0,P709,IF(IFERROR(VALUE(SUBSTITUTE(SUBSTITUTE(O709,"W",""),"""","")),0)&gt;52,P709&amp;"-OVRSIZE-",P709))))</f>
        <v/>
      </c>
      <c r="H709" s="15" t="str">
        <v/>
      </c>
      <c r="I709" s="15" t="str">
        <v/>
      </c>
      <c r="J709" s="15" t="str">
        <v/>
      </c>
      <c r="K709" s="15" t="str">
        <v/>
      </c>
      <c r="L709" s="15" t="str">
        <v/>
      </c>
      <c r="M709" s="10" t="str">
        <v/>
      </c>
      <c r="N709" s="14"/>
      <c r="O709" s="15" t="str" cm="1">
        <f t="array" ref="O709">IFERROR(_xlfn.LET(
_xlpm.clean,TRIM(SUBSTITUTE(SUBSTITUTE(P709,CHAR(160),"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9" s="15"/>
      <c r="R709" t="str">
        <v/>
      </c>
      <c r="S709" t="str">
        <f t="shared" si="11"/>
        <v/>
      </c>
    </row>
    <row r="710" spans="1:19" ht="12.75">
      <c r="A710" s="15" t="str">
        <v/>
      </c>
      <c r="B710" s="15" t="str">
        <v/>
      </c>
      <c r="C710" s="15" t="str" cm="1">
        <f t="array" ref="C710">IFERROR(_xlfn.TEXTJOIN("",TRUE,_xlfn._xlws.FILTER(MID(S710,_xlfn.SEQUENCE(LEN(S710)),1),ISNUMBER(SEARCH(MID(S710,_xlfn.SEQUENCE(LEN(S710)),1),"ABCDEFGHIJKLMNOPQRSTUVWXYZabcdefghijklmnopqrstuvwxyz0123456789,")))),"")</f>
        <v/>
      </c>
      <c r="D710" s="15" t="str">
        <v/>
      </c>
      <c r="E710" s="16" t="str">
        <v/>
      </c>
      <c r="F710" s="15" t="str">
        <v/>
      </c>
      <c r="G710" s="20" t="str" cm="1">
        <f t="array" ref="G710">IF(TRIM(P710)="","",IF(SUM(COUNTIF(P710,{"*NLGD*","*FWG*"}))&gt;0,P710,IF(SUM(COUNTIF(P710,{"*GL*","*DGB*","*DGI*","*GT*","*CS*","*PWU*","*DBI*","*SWU*"}))=0,P710,IF(IFERROR(VALUE(SUBSTITUTE(SUBSTITUTE(O710,"W",""),"""","")),0)&gt;52,P710&amp;"-OVRSIZE-",P710))))</f>
        <v/>
      </c>
      <c r="H710" s="15" t="str">
        <v/>
      </c>
      <c r="I710" s="15" t="str">
        <v/>
      </c>
      <c r="J710" s="15" t="str">
        <v/>
      </c>
      <c r="K710" s="15" t="str">
        <v/>
      </c>
      <c r="L710" s="15" t="str">
        <v/>
      </c>
      <c r="M710" s="10" t="str">
        <v/>
      </c>
      <c r="N710" s="14"/>
      <c r="O710" s="15" t="str" cm="1">
        <f t="array" ref="O710">IFERROR(_xlfn.LET(
_xlpm.clean,TRIM(SUBSTITUTE(SUBSTITUTE(P710,CHAR(160),"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0" s="15"/>
      <c r="R710" t="str">
        <v/>
      </c>
      <c r="S710" t="str">
        <f t="shared" si="11"/>
        <v/>
      </c>
    </row>
    <row r="711" spans="1:19" ht="12.75">
      <c r="A711" s="15" t="str">
        <v/>
      </c>
      <c r="B711" s="15" t="str">
        <v/>
      </c>
      <c r="C711" s="15" t="str" cm="1">
        <f t="array" ref="C711">IFERROR(_xlfn.TEXTJOIN("",TRUE,_xlfn._xlws.FILTER(MID(S711,_xlfn.SEQUENCE(LEN(S711)),1),ISNUMBER(SEARCH(MID(S711,_xlfn.SEQUENCE(LEN(S711)),1),"ABCDEFGHIJKLMNOPQRSTUVWXYZabcdefghijklmnopqrstuvwxyz0123456789,")))),"")</f>
        <v/>
      </c>
      <c r="D711" s="15" t="str">
        <v/>
      </c>
      <c r="E711" s="16" t="str">
        <v/>
      </c>
      <c r="F711" s="15" t="str">
        <v/>
      </c>
      <c r="G711" s="20" t="str" cm="1">
        <f t="array" ref="G711">IF(TRIM(P711)="","",IF(SUM(COUNTIF(P711,{"*NLGD*","*FWG*"}))&gt;0,P711,IF(SUM(COUNTIF(P711,{"*GL*","*DGB*","*DGI*","*GT*","*CS*","*PWU*","*DBI*","*SWU*"}))=0,P711,IF(IFERROR(VALUE(SUBSTITUTE(SUBSTITUTE(O711,"W",""),"""","")),0)&gt;52,P711&amp;"-OVRSIZE-",P711))))</f>
        <v/>
      </c>
      <c r="H711" s="15" t="str">
        <v/>
      </c>
      <c r="I711" s="15" t="str">
        <v/>
      </c>
      <c r="J711" s="15" t="str">
        <v/>
      </c>
      <c r="K711" s="15" t="str">
        <v/>
      </c>
      <c r="L711" s="15" t="str">
        <v/>
      </c>
      <c r="M711" s="10" t="str">
        <v/>
      </c>
      <c r="N711" s="14"/>
      <c r="O711" s="15" t="str" cm="1">
        <f t="array" ref="O711">IFERROR(_xlfn.LET(
_xlpm.clean,TRIM(SUBSTITUTE(SUBSTITUTE(P711,CHAR(160),"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1" s="15"/>
      <c r="R711" t="str">
        <v/>
      </c>
      <c r="S711" t="str">
        <f t="shared" si="11"/>
        <v/>
      </c>
    </row>
    <row r="712" spans="1:19" ht="12.75">
      <c r="A712" s="15" t="str">
        <v/>
      </c>
      <c r="B712" s="15" t="str">
        <v/>
      </c>
      <c r="C712" s="15" t="str" cm="1">
        <f t="array" ref="C712">IFERROR(_xlfn.TEXTJOIN("",TRUE,_xlfn._xlws.FILTER(MID(S712,_xlfn.SEQUENCE(LEN(S712)),1),ISNUMBER(SEARCH(MID(S712,_xlfn.SEQUENCE(LEN(S712)),1),"ABCDEFGHIJKLMNOPQRSTUVWXYZabcdefghijklmnopqrstuvwxyz0123456789,")))),"")</f>
        <v/>
      </c>
      <c r="D712" s="15" t="str">
        <v/>
      </c>
      <c r="E712" s="16" t="str">
        <v/>
      </c>
      <c r="F712" s="15" t="str">
        <v/>
      </c>
      <c r="G712" s="20" t="str" cm="1">
        <f t="array" ref="G712">IF(TRIM(P712)="","",IF(SUM(COUNTIF(P712,{"*NLGD*","*FWG*"}))&gt;0,P712,IF(SUM(COUNTIF(P712,{"*GL*","*DGB*","*DGI*","*GT*","*CS*","*PWU*","*DBI*","*SWU*"}))=0,P712,IF(IFERROR(VALUE(SUBSTITUTE(SUBSTITUTE(O712,"W",""),"""","")),0)&gt;52,P712&amp;"-OVRSIZE-",P712))))</f>
        <v/>
      </c>
      <c r="H712" s="15" t="str">
        <v/>
      </c>
      <c r="I712" s="15" t="str">
        <v/>
      </c>
      <c r="J712" s="15" t="str">
        <v/>
      </c>
      <c r="K712" s="15" t="str">
        <v/>
      </c>
      <c r="L712" s="15" t="str">
        <v/>
      </c>
      <c r="M712" s="10" t="str">
        <v/>
      </c>
      <c r="N712" s="14"/>
      <c r="O712" s="15" t="str" cm="1">
        <f t="array" ref="O712">IFERROR(_xlfn.LET(
_xlpm.clean,TRIM(SUBSTITUTE(SUBSTITUTE(P712,CHAR(160),"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2" s="15"/>
      <c r="R712" t="str">
        <v/>
      </c>
      <c r="S712" t="str">
        <f t="shared" ref="S712:S775" si="12">IF(R712="","",_xlfn.LET(
_xlpm.x,TRIM(SUBSTITUTE(SUBSTITUTE(SUBSTITUTE(SUBSTITUTE(R712,":","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713" spans="1:19" ht="12.75">
      <c r="A713" s="15" t="str">
        <v/>
      </c>
      <c r="B713" s="15" t="str">
        <v/>
      </c>
      <c r="C713" s="15" t="str" cm="1">
        <f t="array" ref="C713">IFERROR(_xlfn.TEXTJOIN("",TRUE,_xlfn._xlws.FILTER(MID(S713,_xlfn.SEQUENCE(LEN(S713)),1),ISNUMBER(SEARCH(MID(S713,_xlfn.SEQUENCE(LEN(S713)),1),"ABCDEFGHIJKLMNOPQRSTUVWXYZabcdefghijklmnopqrstuvwxyz0123456789,")))),"")</f>
        <v/>
      </c>
      <c r="D713" s="15" t="str">
        <v/>
      </c>
      <c r="E713" s="16" t="str">
        <v/>
      </c>
      <c r="F713" s="15" t="str">
        <v/>
      </c>
      <c r="G713" s="20" t="str" cm="1">
        <f t="array" ref="G713">IF(TRIM(P713)="","",IF(SUM(COUNTIF(P713,{"*NLGD*","*FWG*"}))&gt;0,P713,IF(SUM(COUNTIF(P713,{"*GL*","*DGB*","*DGI*","*GT*","*CS*","*PWU*","*DBI*","*SWU*"}))=0,P713,IF(IFERROR(VALUE(SUBSTITUTE(SUBSTITUTE(O713,"W",""),"""","")),0)&gt;52,P713&amp;"-OVRSIZE-",P713))))</f>
        <v/>
      </c>
      <c r="H713" s="15" t="str">
        <v/>
      </c>
      <c r="I713" s="15" t="str">
        <v/>
      </c>
      <c r="J713" s="15" t="str">
        <v/>
      </c>
      <c r="K713" s="15" t="str">
        <v/>
      </c>
      <c r="L713" s="15" t="str">
        <v/>
      </c>
      <c r="M713" s="10" t="str">
        <v/>
      </c>
      <c r="N713" s="14"/>
      <c r="O713" s="15" t="str" cm="1">
        <f t="array" ref="O713">IFERROR(_xlfn.LET(
_xlpm.clean,TRIM(SUBSTITUTE(SUBSTITUTE(P713,CHAR(160),"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3" s="15"/>
      <c r="R713" t="str">
        <v/>
      </c>
      <c r="S713" t="str">
        <f t="shared" si="12"/>
        <v/>
      </c>
    </row>
    <row r="714" spans="1:19" ht="12.75">
      <c r="A714" s="15" t="str">
        <v/>
      </c>
      <c r="B714" s="15" t="str">
        <v/>
      </c>
      <c r="C714" s="15" t="str" cm="1">
        <f t="array" ref="C714">IFERROR(_xlfn.TEXTJOIN("",TRUE,_xlfn._xlws.FILTER(MID(S714,_xlfn.SEQUENCE(LEN(S714)),1),ISNUMBER(SEARCH(MID(S714,_xlfn.SEQUENCE(LEN(S714)),1),"ABCDEFGHIJKLMNOPQRSTUVWXYZabcdefghijklmnopqrstuvwxyz0123456789,")))),"")</f>
        <v/>
      </c>
      <c r="D714" s="15" t="str">
        <v/>
      </c>
      <c r="E714" s="16" t="str">
        <v/>
      </c>
      <c r="F714" s="15" t="str">
        <v/>
      </c>
      <c r="G714" s="20" t="str" cm="1">
        <f t="array" ref="G714">IF(TRIM(P714)="","",IF(SUM(COUNTIF(P714,{"*NLGD*","*FWG*"}))&gt;0,P714,IF(SUM(COUNTIF(P714,{"*GL*","*DGB*","*DGI*","*GT*","*CS*","*PWU*","*DBI*","*SWU*"}))=0,P714,IF(IFERROR(VALUE(SUBSTITUTE(SUBSTITUTE(O714,"W",""),"""","")),0)&gt;52,P714&amp;"-OVRSIZE-",P714))))</f>
        <v/>
      </c>
      <c r="H714" s="15" t="str">
        <v/>
      </c>
      <c r="I714" s="15" t="str">
        <v/>
      </c>
      <c r="J714" s="15" t="str">
        <v/>
      </c>
      <c r="K714" s="15" t="str">
        <v/>
      </c>
      <c r="L714" s="15" t="str">
        <v/>
      </c>
      <c r="M714" s="10" t="str">
        <v/>
      </c>
      <c r="N714" s="14"/>
      <c r="O714" s="15" t="str" cm="1">
        <f t="array" ref="O714">IFERROR(_xlfn.LET(
_xlpm.clean,TRIM(SUBSTITUTE(SUBSTITUTE(P714,CHAR(160),"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4" s="15"/>
      <c r="R714" t="str">
        <v/>
      </c>
      <c r="S714" t="str">
        <f t="shared" si="12"/>
        <v/>
      </c>
    </row>
    <row r="715" spans="1:19" ht="12.75">
      <c r="A715" s="15" t="str">
        <v/>
      </c>
      <c r="B715" s="15" t="str">
        <v/>
      </c>
      <c r="C715" s="15" t="str" cm="1">
        <f t="array" ref="C715">IFERROR(_xlfn.TEXTJOIN("",TRUE,_xlfn._xlws.FILTER(MID(S715,_xlfn.SEQUENCE(LEN(S715)),1),ISNUMBER(SEARCH(MID(S715,_xlfn.SEQUENCE(LEN(S715)),1),"ABCDEFGHIJKLMNOPQRSTUVWXYZabcdefghijklmnopqrstuvwxyz0123456789,")))),"")</f>
        <v/>
      </c>
      <c r="D715" s="15" t="str">
        <v/>
      </c>
      <c r="E715" s="16" t="str">
        <v/>
      </c>
      <c r="F715" s="15" t="str">
        <v/>
      </c>
      <c r="G715" s="20" t="str" cm="1">
        <f t="array" ref="G715">IF(TRIM(P715)="","",IF(SUM(COUNTIF(P715,{"*NLGD*","*FWG*"}))&gt;0,P715,IF(SUM(COUNTIF(P715,{"*GL*","*DGB*","*DGI*","*GT*","*CS*","*PWU*","*DBI*","*SWU*"}))=0,P715,IF(IFERROR(VALUE(SUBSTITUTE(SUBSTITUTE(O715,"W",""),"""","")),0)&gt;52,P715&amp;"-OVRSIZE-",P715))))</f>
        <v/>
      </c>
      <c r="H715" s="15" t="str">
        <v/>
      </c>
      <c r="I715" s="15" t="str">
        <v/>
      </c>
      <c r="J715" s="15" t="str">
        <v/>
      </c>
      <c r="K715" s="15" t="str">
        <v/>
      </c>
      <c r="L715" s="15" t="str">
        <v/>
      </c>
      <c r="M715" s="10" t="str">
        <v/>
      </c>
      <c r="N715" s="14"/>
      <c r="O715" s="15" t="str" cm="1">
        <f t="array" ref="O715">IFERROR(_xlfn.LET(
_xlpm.clean,TRIM(SUBSTITUTE(SUBSTITUTE(P715,CHAR(160),"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5" s="15"/>
      <c r="R715" t="str">
        <v/>
      </c>
      <c r="S715" t="str">
        <f t="shared" si="12"/>
        <v/>
      </c>
    </row>
    <row r="716" spans="1:19" ht="12.75">
      <c r="A716" s="15" t="str">
        <v/>
      </c>
      <c r="B716" s="15" t="str">
        <v/>
      </c>
      <c r="C716" s="15" t="str" cm="1">
        <f t="array" ref="C716">IFERROR(_xlfn.TEXTJOIN("",TRUE,_xlfn._xlws.FILTER(MID(S716,_xlfn.SEQUENCE(LEN(S716)),1),ISNUMBER(SEARCH(MID(S716,_xlfn.SEQUENCE(LEN(S716)),1),"ABCDEFGHIJKLMNOPQRSTUVWXYZabcdefghijklmnopqrstuvwxyz0123456789,")))),"")</f>
        <v/>
      </c>
      <c r="D716" s="15" t="str">
        <v/>
      </c>
      <c r="E716" s="16" t="str">
        <v/>
      </c>
      <c r="F716" s="15" t="str">
        <v/>
      </c>
      <c r="G716" s="20" t="str" cm="1">
        <f t="array" ref="G716">IF(TRIM(P716)="","",IF(SUM(COUNTIF(P716,{"*NLGD*","*FWG*"}))&gt;0,P716,IF(SUM(COUNTIF(P716,{"*GL*","*DGB*","*DGI*","*GT*","*CS*","*PWU*","*DBI*","*SWU*"}))=0,P716,IF(IFERROR(VALUE(SUBSTITUTE(SUBSTITUTE(O716,"W",""),"""","")),0)&gt;52,P716&amp;"-OVRSIZE-",P716))))</f>
        <v/>
      </c>
      <c r="H716" s="15" t="str">
        <v/>
      </c>
      <c r="I716" s="15" t="str">
        <v/>
      </c>
      <c r="J716" s="15" t="str">
        <v/>
      </c>
      <c r="K716" s="15" t="str">
        <v/>
      </c>
      <c r="L716" s="15" t="str">
        <v/>
      </c>
      <c r="M716" s="10" t="str">
        <v/>
      </c>
      <c r="N716" s="14"/>
      <c r="O716" s="15" t="str" cm="1">
        <f t="array" ref="O716">IFERROR(_xlfn.LET(
_xlpm.clean,TRIM(SUBSTITUTE(SUBSTITUTE(P716,CHAR(160),"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6" s="15"/>
      <c r="R716" t="str">
        <v/>
      </c>
      <c r="S716" t="str">
        <f t="shared" si="12"/>
        <v/>
      </c>
    </row>
    <row r="717" spans="1:19" ht="12.75">
      <c r="A717" s="15" t="str">
        <v/>
      </c>
      <c r="B717" s="15" t="str">
        <v/>
      </c>
      <c r="C717" s="15" t="str" cm="1">
        <f t="array" ref="C717">IFERROR(_xlfn.TEXTJOIN("",TRUE,_xlfn._xlws.FILTER(MID(S717,_xlfn.SEQUENCE(LEN(S717)),1),ISNUMBER(SEARCH(MID(S717,_xlfn.SEQUENCE(LEN(S717)),1),"ABCDEFGHIJKLMNOPQRSTUVWXYZabcdefghijklmnopqrstuvwxyz0123456789,")))),"")</f>
        <v/>
      </c>
      <c r="D717" s="15" t="str">
        <v/>
      </c>
      <c r="E717" s="16" t="str">
        <v/>
      </c>
      <c r="F717" s="15" t="str">
        <v/>
      </c>
      <c r="G717" s="20" t="str" cm="1">
        <f t="array" ref="G717">IF(TRIM(P717)="","",IF(SUM(COUNTIF(P717,{"*NLGD*","*FWG*"}))&gt;0,P717,IF(SUM(COUNTIF(P717,{"*GL*","*DGB*","*DGI*","*GT*","*CS*","*PWU*","*DBI*","*SWU*"}))=0,P717,IF(IFERROR(VALUE(SUBSTITUTE(SUBSTITUTE(O717,"W",""),"""","")),0)&gt;52,P717&amp;"-OVRSIZE-",P717))))</f>
        <v/>
      </c>
      <c r="H717" s="15" t="str">
        <v/>
      </c>
      <c r="I717" s="15" t="str">
        <v/>
      </c>
      <c r="J717" s="15" t="str">
        <v/>
      </c>
      <c r="K717" s="15" t="str">
        <v/>
      </c>
      <c r="L717" s="15" t="str">
        <v/>
      </c>
      <c r="M717" s="10" t="str">
        <v/>
      </c>
      <c r="N717" s="14"/>
      <c r="O717" s="15" t="str" cm="1">
        <f t="array" ref="O717">IFERROR(_xlfn.LET(
_xlpm.clean,TRIM(SUBSTITUTE(SUBSTITUTE(P717,CHAR(160),"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7" s="15"/>
      <c r="R717" t="str">
        <v/>
      </c>
      <c r="S717" t="str">
        <f t="shared" si="12"/>
        <v/>
      </c>
    </row>
    <row r="718" spans="1:19" ht="12.75">
      <c r="A718" s="15" t="str">
        <v/>
      </c>
      <c r="B718" s="15" t="str">
        <v/>
      </c>
      <c r="C718" s="15" t="str" cm="1">
        <f t="array" ref="C718">IFERROR(_xlfn.TEXTJOIN("",TRUE,_xlfn._xlws.FILTER(MID(S718,_xlfn.SEQUENCE(LEN(S718)),1),ISNUMBER(SEARCH(MID(S718,_xlfn.SEQUENCE(LEN(S718)),1),"ABCDEFGHIJKLMNOPQRSTUVWXYZabcdefghijklmnopqrstuvwxyz0123456789,")))),"")</f>
        <v/>
      </c>
      <c r="D718" s="15" t="str">
        <v/>
      </c>
      <c r="E718" s="16" t="str">
        <v/>
      </c>
      <c r="F718" s="15" t="str">
        <v/>
      </c>
      <c r="G718" s="20" t="str" cm="1">
        <f t="array" ref="G718">IF(TRIM(P718)="","",IF(SUM(COUNTIF(P718,{"*NLGD*","*FWG*"}))&gt;0,P718,IF(SUM(COUNTIF(P718,{"*GL*","*DGB*","*DGI*","*GT*","*CS*","*PWU*","*DBI*","*SWU*"}))=0,P718,IF(IFERROR(VALUE(SUBSTITUTE(SUBSTITUTE(O718,"W",""),"""","")),0)&gt;52,P718&amp;"-OVRSIZE-",P718))))</f>
        <v/>
      </c>
      <c r="H718" s="15" t="str">
        <v/>
      </c>
      <c r="I718" s="15" t="str">
        <v/>
      </c>
      <c r="J718" s="15" t="str">
        <v/>
      </c>
      <c r="K718" s="15" t="str">
        <v/>
      </c>
      <c r="L718" s="15" t="str">
        <v/>
      </c>
      <c r="M718" s="10" t="str">
        <v/>
      </c>
      <c r="N718" s="14"/>
      <c r="O718" s="15" t="str" cm="1">
        <f t="array" ref="O718">IFERROR(_xlfn.LET(
_xlpm.clean,TRIM(SUBSTITUTE(SUBSTITUTE(P718,CHAR(160),"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8" s="15"/>
      <c r="R718" t="str">
        <v/>
      </c>
      <c r="S718" t="str">
        <f t="shared" si="12"/>
        <v/>
      </c>
    </row>
    <row r="719" spans="1:19" ht="12.75">
      <c r="A719" s="15" t="str">
        <v/>
      </c>
      <c r="B719" s="15" t="str">
        <v/>
      </c>
      <c r="C719" s="15" t="str" cm="1">
        <f t="array" ref="C719">IFERROR(_xlfn.TEXTJOIN("",TRUE,_xlfn._xlws.FILTER(MID(S719,_xlfn.SEQUENCE(LEN(S719)),1),ISNUMBER(SEARCH(MID(S719,_xlfn.SEQUENCE(LEN(S719)),1),"ABCDEFGHIJKLMNOPQRSTUVWXYZabcdefghijklmnopqrstuvwxyz0123456789,")))),"")</f>
        <v/>
      </c>
      <c r="D719" s="15" t="str">
        <v/>
      </c>
      <c r="E719" s="16" t="str">
        <v/>
      </c>
      <c r="F719" s="15" t="str">
        <v/>
      </c>
      <c r="G719" s="20" t="str" cm="1">
        <f t="array" ref="G719">IF(TRIM(P719)="","",IF(SUM(COUNTIF(P719,{"*NLGD*","*FWG*"}))&gt;0,P719,IF(SUM(COUNTIF(P719,{"*GL*","*DGB*","*DGI*","*GT*","*CS*","*PWU*","*DBI*","*SWU*"}))=0,P719,IF(IFERROR(VALUE(SUBSTITUTE(SUBSTITUTE(O719,"W",""),"""","")),0)&gt;52,P719&amp;"-OVRSIZE-",P719))))</f>
        <v/>
      </c>
      <c r="H719" s="15" t="str">
        <v/>
      </c>
      <c r="I719" s="15" t="str">
        <v/>
      </c>
      <c r="J719" s="15" t="str">
        <v/>
      </c>
      <c r="K719" s="15" t="str">
        <v/>
      </c>
      <c r="L719" s="15" t="str">
        <v/>
      </c>
      <c r="M719" s="10" t="str">
        <v/>
      </c>
      <c r="N719" s="14"/>
      <c r="O719" s="15" t="str" cm="1">
        <f t="array" ref="O719">IFERROR(_xlfn.LET(
_xlpm.clean,TRIM(SUBSTITUTE(SUBSTITUTE(P719,CHAR(160),"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9" s="15"/>
      <c r="R719" t="str">
        <v/>
      </c>
      <c r="S719" t="str">
        <f t="shared" si="12"/>
        <v/>
      </c>
    </row>
    <row r="720" spans="1:19" ht="12.75">
      <c r="A720" s="15" t="str">
        <v/>
      </c>
      <c r="B720" s="15" t="str">
        <v/>
      </c>
      <c r="C720" s="15" t="str" cm="1">
        <f t="array" ref="C720">IFERROR(_xlfn.TEXTJOIN("",TRUE,_xlfn._xlws.FILTER(MID(S720,_xlfn.SEQUENCE(LEN(S720)),1),ISNUMBER(SEARCH(MID(S720,_xlfn.SEQUENCE(LEN(S720)),1),"ABCDEFGHIJKLMNOPQRSTUVWXYZabcdefghijklmnopqrstuvwxyz0123456789,")))),"")</f>
        <v/>
      </c>
      <c r="D720" s="15" t="str">
        <v/>
      </c>
      <c r="E720" s="16" t="str">
        <v/>
      </c>
      <c r="F720" s="15" t="str">
        <v/>
      </c>
      <c r="G720" s="20" t="str" cm="1">
        <f t="array" ref="G720">IF(TRIM(P720)="","",IF(SUM(COUNTIF(P720,{"*NLGD*","*FWG*"}))&gt;0,P720,IF(SUM(COUNTIF(P720,{"*GL*","*DGB*","*DGI*","*GT*","*CS*","*PWU*","*DBI*","*SWU*"}))=0,P720,IF(IFERROR(VALUE(SUBSTITUTE(SUBSTITUTE(O720,"W",""),"""","")),0)&gt;52,P720&amp;"-OVRSIZE-",P720))))</f>
        <v/>
      </c>
      <c r="H720" s="15" t="str">
        <v/>
      </c>
      <c r="I720" s="15" t="str">
        <v/>
      </c>
      <c r="J720" s="15" t="str">
        <v/>
      </c>
      <c r="K720" s="15" t="str">
        <v/>
      </c>
      <c r="L720" s="15" t="str">
        <v/>
      </c>
      <c r="M720" s="10" t="str">
        <v/>
      </c>
      <c r="N720" s="14"/>
      <c r="O720" s="15" t="str" cm="1">
        <f t="array" ref="O720">IFERROR(_xlfn.LET(
_xlpm.clean,TRIM(SUBSTITUTE(SUBSTITUTE(P720,CHAR(160),"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0" s="15"/>
      <c r="R720" t="str">
        <v/>
      </c>
      <c r="S720" t="str">
        <f t="shared" si="12"/>
        <v/>
      </c>
    </row>
    <row r="721" spans="1:19" ht="12.75">
      <c r="A721" s="15" t="str">
        <v/>
      </c>
      <c r="B721" s="15" t="str">
        <v/>
      </c>
      <c r="C721" s="15" t="str" cm="1">
        <f t="array" ref="C721">IFERROR(_xlfn.TEXTJOIN("",TRUE,_xlfn._xlws.FILTER(MID(S721,_xlfn.SEQUENCE(LEN(S721)),1),ISNUMBER(SEARCH(MID(S721,_xlfn.SEQUENCE(LEN(S721)),1),"ABCDEFGHIJKLMNOPQRSTUVWXYZabcdefghijklmnopqrstuvwxyz0123456789,")))),"")</f>
        <v/>
      </c>
      <c r="D721" s="15" t="str">
        <v/>
      </c>
      <c r="E721" s="16" t="str">
        <v/>
      </c>
      <c r="F721" s="15" t="str">
        <v/>
      </c>
      <c r="G721" s="20" t="str" cm="1">
        <f t="array" ref="G721">IF(TRIM(P721)="","",IF(SUM(COUNTIF(P721,{"*NLGD*","*FWG*"}))&gt;0,P721,IF(SUM(COUNTIF(P721,{"*GL*","*DGB*","*DGI*","*GT*","*CS*","*PWU*","*DBI*","*SWU*"}))=0,P721,IF(IFERROR(VALUE(SUBSTITUTE(SUBSTITUTE(O721,"W",""),"""","")),0)&gt;52,P721&amp;"-OVRSIZE-",P721))))</f>
        <v/>
      </c>
      <c r="H721" s="15" t="str">
        <v/>
      </c>
      <c r="I721" s="15" t="str">
        <v/>
      </c>
      <c r="J721" s="15" t="str">
        <v/>
      </c>
      <c r="K721" s="15" t="str">
        <v/>
      </c>
      <c r="L721" s="15" t="str">
        <v/>
      </c>
      <c r="M721" s="10" t="str">
        <v/>
      </c>
      <c r="N721" s="14"/>
      <c r="O721" s="15" t="str" cm="1">
        <f t="array" ref="O721">IFERROR(_xlfn.LET(
_xlpm.clean,TRIM(SUBSTITUTE(SUBSTITUTE(P721,CHAR(160),"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1" s="15"/>
      <c r="R721" t="str">
        <v/>
      </c>
      <c r="S721" t="str">
        <f t="shared" si="12"/>
        <v/>
      </c>
    </row>
    <row r="722" spans="1:19" ht="12.75">
      <c r="A722" s="15" t="str">
        <v/>
      </c>
      <c r="B722" s="15" t="str">
        <v/>
      </c>
      <c r="C722" s="15" t="str" cm="1">
        <f t="array" ref="C722">IFERROR(_xlfn.TEXTJOIN("",TRUE,_xlfn._xlws.FILTER(MID(S722,_xlfn.SEQUENCE(LEN(S722)),1),ISNUMBER(SEARCH(MID(S722,_xlfn.SEQUENCE(LEN(S722)),1),"ABCDEFGHIJKLMNOPQRSTUVWXYZabcdefghijklmnopqrstuvwxyz0123456789,")))),"")</f>
        <v/>
      </c>
      <c r="D722" s="15" t="str">
        <v/>
      </c>
      <c r="E722" s="16" t="str">
        <v/>
      </c>
      <c r="F722" s="15" t="str">
        <v/>
      </c>
      <c r="G722" s="20" t="str" cm="1">
        <f t="array" ref="G722">IF(TRIM(P722)="","",IF(SUM(COUNTIF(P722,{"*NLGD*","*FWG*"}))&gt;0,P722,IF(SUM(COUNTIF(P722,{"*GL*","*DGB*","*DGI*","*GT*","*CS*","*PWU*","*DBI*","*SWU*"}))=0,P722,IF(IFERROR(VALUE(SUBSTITUTE(SUBSTITUTE(O722,"W",""),"""","")),0)&gt;52,P722&amp;"-OVRSIZE-",P722))))</f>
        <v/>
      </c>
      <c r="H722" s="15" t="str">
        <v/>
      </c>
      <c r="I722" s="15" t="str">
        <v/>
      </c>
      <c r="J722" s="15" t="str">
        <v/>
      </c>
      <c r="K722" s="15" t="str">
        <v/>
      </c>
      <c r="L722" s="15" t="str">
        <v/>
      </c>
      <c r="M722" s="10" t="str">
        <v/>
      </c>
      <c r="N722" s="14"/>
      <c r="O722" s="15" t="str" cm="1">
        <f t="array" ref="O722">IFERROR(_xlfn.LET(
_xlpm.clean,TRIM(SUBSTITUTE(SUBSTITUTE(P722,CHAR(160),"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2" s="15"/>
      <c r="R722" t="str">
        <v/>
      </c>
      <c r="S722" t="str">
        <f t="shared" si="12"/>
        <v/>
      </c>
    </row>
    <row r="723" spans="1:19" ht="12.75">
      <c r="A723" s="15" t="str">
        <v/>
      </c>
      <c r="B723" s="15" t="str">
        <v/>
      </c>
      <c r="C723" s="15" t="str" cm="1">
        <f t="array" ref="C723">IFERROR(_xlfn.TEXTJOIN("",TRUE,_xlfn._xlws.FILTER(MID(S723,_xlfn.SEQUENCE(LEN(S723)),1),ISNUMBER(SEARCH(MID(S723,_xlfn.SEQUENCE(LEN(S723)),1),"ABCDEFGHIJKLMNOPQRSTUVWXYZabcdefghijklmnopqrstuvwxyz0123456789,")))),"")</f>
        <v/>
      </c>
      <c r="D723" s="15" t="str">
        <v/>
      </c>
      <c r="E723" s="16" t="str">
        <v/>
      </c>
      <c r="F723" s="15" t="str">
        <v/>
      </c>
      <c r="G723" s="20" t="str" cm="1">
        <f t="array" ref="G723">IF(TRIM(P723)="","",IF(SUM(COUNTIF(P723,{"*NLGD*","*FWG*"}))&gt;0,P723,IF(SUM(COUNTIF(P723,{"*GL*","*DGB*","*DGI*","*GT*","*CS*","*PWU*","*DBI*","*SWU*"}))=0,P723,IF(IFERROR(VALUE(SUBSTITUTE(SUBSTITUTE(O723,"W",""),"""","")),0)&gt;52,P723&amp;"-OVRSIZE-",P723))))</f>
        <v/>
      </c>
      <c r="H723" s="15" t="str">
        <v/>
      </c>
      <c r="I723" s="15" t="str">
        <v/>
      </c>
      <c r="J723" s="15" t="str">
        <v/>
      </c>
      <c r="K723" s="15" t="str">
        <v/>
      </c>
      <c r="L723" s="15" t="str">
        <v/>
      </c>
      <c r="M723" s="10" t="str">
        <v/>
      </c>
      <c r="N723" s="14"/>
      <c r="O723" s="15" t="str" cm="1">
        <f t="array" ref="O723">IFERROR(_xlfn.LET(
_xlpm.clean,TRIM(SUBSTITUTE(SUBSTITUTE(P723,CHAR(160),"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3" s="15"/>
      <c r="R723" t="str">
        <v/>
      </c>
      <c r="S723" t="str">
        <f t="shared" si="12"/>
        <v/>
      </c>
    </row>
    <row r="724" spans="1:19" ht="12.75">
      <c r="A724" s="15" t="str">
        <v/>
      </c>
      <c r="B724" s="15" t="str">
        <v/>
      </c>
      <c r="C724" s="15" t="str" cm="1">
        <f t="array" ref="C724">IFERROR(_xlfn.TEXTJOIN("",TRUE,_xlfn._xlws.FILTER(MID(S724,_xlfn.SEQUENCE(LEN(S724)),1),ISNUMBER(SEARCH(MID(S724,_xlfn.SEQUENCE(LEN(S724)),1),"ABCDEFGHIJKLMNOPQRSTUVWXYZabcdefghijklmnopqrstuvwxyz0123456789,")))),"")</f>
        <v/>
      </c>
      <c r="D724" s="15" t="str">
        <v/>
      </c>
      <c r="E724" s="16" t="str">
        <v/>
      </c>
      <c r="F724" s="15" t="str">
        <v/>
      </c>
      <c r="G724" s="20" t="str" cm="1">
        <f t="array" ref="G724">IF(TRIM(P724)="","",IF(SUM(COUNTIF(P724,{"*NLGD*","*FWG*"}))&gt;0,P724,IF(SUM(COUNTIF(P724,{"*GL*","*DGB*","*DGI*","*GT*","*CS*","*PWU*","*DBI*","*SWU*"}))=0,P724,IF(IFERROR(VALUE(SUBSTITUTE(SUBSTITUTE(O724,"W",""),"""","")),0)&gt;52,P724&amp;"-OVRSIZE-",P724))))</f>
        <v/>
      </c>
      <c r="H724" s="15" t="str">
        <v/>
      </c>
      <c r="I724" s="15" t="str">
        <v/>
      </c>
      <c r="J724" s="15" t="str">
        <v/>
      </c>
      <c r="K724" s="15" t="str">
        <v/>
      </c>
      <c r="L724" s="15" t="str">
        <v/>
      </c>
      <c r="M724" s="10" t="str">
        <v/>
      </c>
      <c r="N724" s="14"/>
      <c r="O724" s="15" t="str" cm="1">
        <f t="array" ref="O724">IFERROR(_xlfn.LET(
_xlpm.clean,TRIM(SUBSTITUTE(SUBSTITUTE(P724,CHAR(160),"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4" s="15"/>
      <c r="R724" t="str">
        <v/>
      </c>
      <c r="S724" t="str">
        <f t="shared" si="12"/>
        <v/>
      </c>
    </row>
    <row r="725" spans="1:19" ht="12.75">
      <c r="A725" s="15" t="str">
        <v/>
      </c>
      <c r="B725" s="15" t="str">
        <v/>
      </c>
      <c r="C725" s="15" t="str" cm="1">
        <f t="array" ref="C725">IFERROR(_xlfn.TEXTJOIN("",TRUE,_xlfn._xlws.FILTER(MID(S725,_xlfn.SEQUENCE(LEN(S725)),1),ISNUMBER(SEARCH(MID(S725,_xlfn.SEQUENCE(LEN(S725)),1),"ABCDEFGHIJKLMNOPQRSTUVWXYZabcdefghijklmnopqrstuvwxyz0123456789,")))),"")</f>
        <v/>
      </c>
      <c r="D725" s="15" t="str">
        <v/>
      </c>
      <c r="E725" s="16" t="str">
        <v/>
      </c>
      <c r="F725" s="15" t="str">
        <v/>
      </c>
      <c r="G725" s="20" t="str" cm="1">
        <f t="array" ref="G725">IF(TRIM(P725)="","",IF(SUM(COUNTIF(P725,{"*NLGD*","*FWG*"}))&gt;0,P725,IF(SUM(COUNTIF(P725,{"*GL*","*DGB*","*DGI*","*GT*","*CS*","*PWU*","*DBI*","*SWU*"}))=0,P725,IF(IFERROR(VALUE(SUBSTITUTE(SUBSTITUTE(O725,"W",""),"""","")),0)&gt;52,P725&amp;"-OVRSIZE-",P725))))</f>
        <v/>
      </c>
      <c r="H725" s="15" t="str">
        <v/>
      </c>
      <c r="I725" s="15" t="str">
        <v/>
      </c>
      <c r="J725" s="15" t="str">
        <v/>
      </c>
      <c r="K725" s="15" t="str">
        <v/>
      </c>
      <c r="L725" s="15" t="str">
        <v/>
      </c>
      <c r="M725" s="10" t="str">
        <v/>
      </c>
      <c r="N725" s="14"/>
      <c r="O725" s="15" t="str" cm="1">
        <f t="array" ref="O725">IFERROR(_xlfn.LET(
_xlpm.clean,TRIM(SUBSTITUTE(SUBSTITUTE(P725,CHAR(160),"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5" s="15"/>
      <c r="R725" t="str">
        <v/>
      </c>
      <c r="S725" t="str">
        <f t="shared" si="12"/>
        <v/>
      </c>
    </row>
    <row r="726" spans="1:19" ht="12.75">
      <c r="A726" s="15" t="str">
        <v/>
      </c>
      <c r="B726" s="15" t="str">
        <v/>
      </c>
      <c r="C726" s="15" t="str" cm="1">
        <f t="array" ref="C726">IFERROR(_xlfn.TEXTJOIN("",TRUE,_xlfn._xlws.FILTER(MID(S726,_xlfn.SEQUENCE(LEN(S726)),1),ISNUMBER(SEARCH(MID(S726,_xlfn.SEQUENCE(LEN(S726)),1),"ABCDEFGHIJKLMNOPQRSTUVWXYZabcdefghijklmnopqrstuvwxyz0123456789,")))),"")</f>
        <v/>
      </c>
      <c r="D726" s="15" t="str">
        <v/>
      </c>
      <c r="E726" s="16" t="str">
        <v/>
      </c>
      <c r="F726" s="15" t="str">
        <v/>
      </c>
      <c r="G726" s="20" t="str" cm="1">
        <f t="array" ref="G726">IF(TRIM(P726)="","",IF(SUM(COUNTIF(P726,{"*NLGD*","*FWG*"}))&gt;0,P726,IF(SUM(COUNTIF(P726,{"*GL*","*DGB*","*DGI*","*GT*","*CS*","*PWU*","*DBI*","*SWU*"}))=0,P726,IF(IFERROR(VALUE(SUBSTITUTE(SUBSTITUTE(O726,"W",""),"""","")),0)&gt;52,P726&amp;"-OVRSIZE-",P726))))</f>
        <v/>
      </c>
      <c r="H726" s="15" t="str">
        <v/>
      </c>
      <c r="I726" s="15" t="str">
        <v/>
      </c>
      <c r="J726" s="15" t="str">
        <v/>
      </c>
      <c r="K726" s="15" t="str">
        <v/>
      </c>
      <c r="L726" s="15" t="str">
        <v/>
      </c>
      <c r="M726" s="10" t="str">
        <v/>
      </c>
      <c r="N726" s="14"/>
      <c r="O726" s="15" t="str" cm="1">
        <f t="array" ref="O726">IFERROR(_xlfn.LET(
_xlpm.clean,TRIM(SUBSTITUTE(SUBSTITUTE(P726,CHAR(160),"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6" s="15"/>
      <c r="R726" t="str">
        <v/>
      </c>
      <c r="S726" t="str">
        <f t="shared" si="12"/>
        <v/>
      </c>
    </row>
    <row r="727" spans="1:19" ht="12.75">
      <c r="A727" s="15" t="str">
        <v/>
      </c>
      <c r="B727" s="15" t="str">
        <v/>
      </c>
      <c r="C727" s="15" t="str" cm="1">
        <f t="array" ref="C727">IFERROR(_xlfn.TEXTJOIN("",TRUE,_xlfn._xlws.FILTER(MID(S727,_xlfn.SEQUENCE(LEN(S727)),1),ISNUMBER(SEARCH(MID(S727,_xlfn.SEQUENCE(LEN(S727)),1),"ABCDEFGHIJKLMNOPQRSTUVWXYZabcdefghijklmnopqrstuvwxyz0123456789,")))),"")</f>
        <v/>
      </c>
      <c r="D727" s="15" t="str">
        <v/>
      </c>
      <c r="E727" s="16" t="str">
        <v/>
      </c>
      <c r="F727" s="15" t="str">
        <v/>
      </c>
      <c r="G727" s="20" t="str" cm="1">
        <f t="array" ref="G727">IF(TRIM(P727)="","",IF(SUM(COUNTIF(P727,{"*NLGD*","*FWG*"}))&gt;0,P727,IF(SUM(COUNTIF(P727,{"*GL*","*DGB*","*DGI*","*GT*","*CS*","*PWU*","*DBI*","*SWU*"}))=0,P727,IF(IFERROR(VALUE(SUBSTITUTE(SUBSTITUTE(O727,"W",""),"""","")),0)&gt;52,P727&amp;"-OVRSIZE-",P727))))</f>
        <v/>
      </c>
      <c r="H727" s="15" t="str">
        <v/>
      </c>
      <c r="I727" s="15" t="str">
        <v/>
      </c>
      <c r="J727" s="15" t="str">
        <v/>
      </c>
      <c r="K727" s="15" t="str">
        <v/>
      </c>
      <c r="L727" s="15" t="str">
        <v/>
      </c>
      <c r="M727" s="10" t="str">
        <v/>
      </c>
      <c r="N727" s="14"/>
      <c r="O727" s="15" t="str" cm="1">
        <f t="array" ref="O727">IFERROR(_xlfn.LET(
_xlpm.clean,TRIM(SUBSTITUTE(SUBSTITUTE(P727,CHAR(160),"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7" s="15"/>
      <c r="R727" t="str">
        <v/>
      </c>
      <c r="S727" t="str">
        <f t="shared" si="12"/>
        <v/>
      </c>
    </row>
    <row r="728" spans="1:19" ht="12.75">
      <c r="A728" s="15" t="str">
        <v/>
      </c>
      <c r="B728" s="15" t="str">
        <v/>
      </c>
      <c r="C728" s="15" t="str" cm="1">
        <f t="array" ref="C728">IFERROR(_xlfn.TEXTJOIN("",TRUE,_xlfn._xlws.FILTER(MID(S728,_xlfn.SEQUENCE(LEN(S728)),1),ISNUMBER(SEARCH(MID(S728,_xlfn.SEQUENCE(LEN(S728)),1),"ABCDEFGHIJKLMNOPQRSTUVWXYZabcdefghijklmnopqrstuvwxyz0123456789,")))),"")</f>
        <v/>
      </c>
      <c r="D728" s="15" t="str">
        <v/>
      </c>
      <c r="E728" s="16" t="str">
        <v/>
      </c>
      <c r="F728" s="15" t="str">
        <v/>
      </c>
      <c r="G728" s="20" t="str" cm="1">
        <f t="array" ref="G728">IF(TRIM(P728)="","",IF(SUM(COUNTIF(P728,{"*NLGD*","*FWG*"}))&gt;0,P728,IF(SUM(COUNTIF(P728,{"*GL*","*DGB*","*DGI*","*GT*","*CS*","*PWU*","*DBI*","*SWU*"}))=0,P728,IF(IFERROR(VALUE(SUBSTITUTE(SUBSTITUTE(O728,"W",""),"""","")),0)&gt;52,P728&amp;"-OVRSIZE-",P728))))</f>
        <v/>
      </c>
      <c r="H728" s="15" t="str">
        <v/>
      </c>
      <c r="I728" s="15" t="str">
        <v/>
      </c>
      <c r="J728" s="15" t="str">
        <v/>
      </c>
      <c r="K728" s="15" t="str">
        <v/>
      </c>
      <c r="L728" s="15" t="str">
        <v/>
      </c>
      <c r="M728" s="10" t="str">
        <v/>
      </c>
      <c r="N728" s="14"/>
      <c r="O728" s="15" t="str" cm="1">
        <f t="array" ref="O728">IFERROR(_xlfn.LET(
_xlpm.clean,TRIM(SUBSTITUTE(SUBSTITUTE(P728,CHAR(160),"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8" s="15"/>
      <c r="R728" t="str">
        <v/>
      </c>
      <c r="S728" t="str">
        <f t="shared" si="12"/>
        <v/>
      </c>
    </row>
    <row r="729" spans="1:19" ht="12.75">
      <c r="A729" s="15" t="str">
        <v/>
      </c>
      <c r="B729" s="15" t="str">
        <v/>
      </c>
      <c r="C729" s="15" t="str" cm="1">
        <f t="array" ref="C729">IFERROR(_xlfn.TEXTJOIN("",TRUE,_xlfn._xlws.FILTER(MID(S729,_xlfn.SEQUENCE(LEN(S729)),1),ISNUMBER(SEARCH(MID(S729,_xlfn.SEQUENCE(LEN(S729)),1),"ABCDEFGHIJKLMNOPQRSTUVWXYZabcdefghijklmnopqrstuvwxyz0123456789,")))),"")</f>
        <v/>
      </c>
      <c r="D729" s="15" t="str">
        <v/>
      </c>
      <c r="E729" s="16" t="str">
        <v/>
      </c>
      <c r="F729" s="15" t="str">
        <v/>
      </c>
      <c r="G729" s="20" t="str" cm="1">
        <f t="array" ref="G729">IF(TRIM(P729)="","",IF(SUM(COUNTIF(P729,{"*NLGD*","*FWG*"}))&gt;0,P729,IF(SUM(COUNTIF(P729,{"*GL*","*DGB*","*DGI*","*GT*","*CS*","*PWU*","*DBI*","*SWU*"}))=0,P729,IF(IFERROR(VALUE(SUBSTITUTE(SUBSTITUTE(O729,"W",""),"""","")),0)&gt;52,P729&amp;"-OVRSIZE-",P729))))</f>
        <v/>
      </c>
      <c r="H729" s="15" t="str">
        <v/>
      </c>
      <c r="I729" s="15" t="str">
        <v/>
      </c>
      <c r="J729" s="15" t="str">
        <v/>
      </c>
      <c r="K729" s="15" t="str">
        <v/>
      </c>
      <c r="L729" s="15" t="str">
        <v/>
      </c>
      <c r="M729" s="10" t="str">
        <v/>
      </c>
      <c r="N729" s="14"/>
      <c r="O729" s="15" t="str" cm="1">
        <f t="array" ref="O729">IFERROR(_xlfn.LET(
_xlpm.clean,TRIM(SUBSTITUTE(SUBSTITUTE(P729,CHAR(160),"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9" s="15"/>
      <c r="R729" t="str">
        <v/>
      </c>
      <c r="S729" t="str">
        <f t="shared" si="12"/>
        <v/>
      </c>
    </row>
    <row r="730" spans="1:19" ht="12.75">
      <c r="A730" s="15" t="str">
        <v/>
      </c>
      <c r="B730" s="15" t="str">
        <v/>
      </c>
      <c r="C730" s="15" t="str" cm="1">
        <f t="array" ref="C730">IFERROR(_xlfn.TEXTJOIN("",TRUE,_xlfn._xlws.FILTER(MID(S730,_xlfn.SEQUENCE(LEN(S730)),1),ISNUMBER(SEARCH(MID(S730,_xlfn.SEQUENCE(LEN(S730)),1),"ABCDEFGHIJKLMNOPQRSTUVWXYZabcdefghijklmnopqrstuvwxyz0123456789,")))),"")</f>
        <v/>
      </c>
      <c r="D730" s="15" t="str">
        <v/>
      </c>
      <c r="E730" s="16" t="str">
        <v/>
      </c>
      <c r="F730" s="15" t="str">
        <v/>
      </c>
      <c r="G730" s="20" t="str" cm="1">
        <f t="array" ref="G730">IF(TRIM(P730)="","",IF(SUM(COUNTIF(P730,{"*NLGD*","*FWG*"}))&gt;0,P730,IF(SUM(COUNTIF(P730,{"*GL*","*DGB*","*DGI*","*GT*","*CS*","*PWU*","*DBI*","*SWU*"}))=0,P730,IF(IFERROR(VALUE(SUBSTITUTE(SUBSTITUTE(O730,"W",""),"""","")),0)&gt;52,P730&amp;"-OVRSIZE-",P730))))</f>
        <v/>
      </c>
      <c r="H730" s="15" t="str">
        <v/>
      </c>
      <c r="I730" s="15" t="str">
        <v/>
      </c>
      <c r="J730" s="15" t="str">
        <v/>
      </c>
      <c r="K730" s="15" t="str">
        <v/>
      </c>
      <c r="L730" s="15" t="str">
        <v/>
      </c>
      <c r="M730" s="10" t="str">
        <v/>
      </c>
      <c r="N730" s="14"/>
      <c r="O730" s="15" t="str" cm="1">
        <f t="array" ref="O730">IFERROR(_xlfn.LET(
_xlpm.clean,TRIM(SUBSTITUTE(SUBSTITUTE(P730,CHAR(160),"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0" s="15"/>
      <c r="R730" t="str">
        <v/>
      </c>
      <c r="S730" t="str">
        <f t="shared" si="12"/>
        <v/>
      </c>
    </row>
    <row r="731" spans="1:19" ht="12.75">
      <c r="A731" s="15" t="str">
        <v/>
      </c>
      <c r="B731" s="15" t="str">
        <v/>
      </c>
      <c r="C731" s="15" t="str" cm="1">
        <f t="array" ref="C731">IFERROR(_xlfn.TEXTJOIN("",TRUE,_xlfn._xlws.FILTER(MID(S731,_xlfn.SEQUENCE(LEN(S731)),1),ISNUMBER(SEARCH(MID(S731,_xlfn.SEQUENCE(LEN(S731)),1),"ABCDEFGHIJKLMNOPQRSTUVWXYZabcdefghijklmnopqrstuvwxyz0123456789,")))),"")</f>
        <v/>
      </c>
      <c r="D731" s="15" t="str">
        <v/>
      </c>
      <c r="E731" s="16" t="str">
        <v/>
      </c>
      <c r="F731" s="15" t="str">
        <v/>
      </c>
      <c r="G731" s="20" t="str" cm="1">
        <f t="array" ref="G731">IF(TRIM(P731)="","",IF(SUM(COUNTIF(P731,{"*NLGD*","*FWG*"}))&gt;0,P731,IF(SUM(COUNTIF(P731,{"*GL*","*DGB*","*DGI*","*GT*","*CS*","*PWU*","*DBI*","*SWU*"}))=0,P731,IF(IFERROR(VALUE(SUBSTITUTE(SUBSTITUTE(O731,"W",""),"""","")),0)&gt;52,P731&amp;"-OVRSIZE-",P731))))</f>
        <v/>
      </c>
      <c r="H731" s="15" t="str">
        <v/>
      </c>
      <c r="I731" s="15" t="str">
        <v/>
      </c>
      <c r="J731" s="15" t="str">
        <v/>
      </c>
      <c r="K731" s="15" t="str">
        <v/>
      </c>
      <c r="L731" s="15" t="str">
        <v/>
      </c>
      <c r="M731" s="10" t="str">
        <v/>
      </c>
      <c r="N731" s="14"/>
      <c r="O731" s="15" t="str" cm="1">
        <f t="array" ref="O731">IFERROR(_xlfn.LET(
_xlpm.clean,TRIM(SUBSTITUTE(SUBSTITUTE(P731,CHAR(160),"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1" s="15"/>
      <c r="R731" t="str">
        <v/>
      </c>
      <c r="S731" t="str">
        <f t="shared" si="12"/>
        <v/>
      </c>
    </row>
    <row r="732" spans="1:19" ht="12.75">
      <c r="A732" s="15" t="str">
        <v/>
      </c>
      <c r="B732" s="15" t="str">
        <v/>
      </c>
      <c r="C732" s="15" t="str" cm="1">
        <f t="array" ref="C732">IFERROR(_xlfn.TEXTJOIN("",TRUE,_xlfn._xlws.FILTER(MID(S732,_xlfn.SEQUENCE(LEN(S732)),1),ISNUMBER(SEARCH(MID(S732,_xlfn.SEQUENCE(LEN(S732)),1),"ABCDEFGHIJKLMNOPQRSTUVWXYZabcdefghijklmnopqrstuvwxyz0123456789,")))),"")</f>
        <v/>
      </c>
      <c r="D732" s="15" t="str">
        <v/>
      </c>
      <c r="E732" s="16" t="str">
        <v/>
      </c>
      <c r="F732" s="15" t="str">
        <v/>
      </c>
      <c r="G732" s="20" t="str" cm="1">
        <f t="array" ref="G732">IF(TRIM(P732)="","",IF(SUM(COUNTIF(P732,{"*NLGD*","*FWG*"}))&gt;0,P732,IF(SUM(COUNTIF(P732,{"*GL*","*DGB*","*DGI*","*GT*","*CS*","*PWU*","*DBI*","*SWU*"}))=0,P732,IF(IFERROR(VALUE(SUBSTITUTE(SUBSTITUTE(O732,"W",""),"""","")),0)&gt;52,P732&amp;"-OVRSIZE-",P732))))</f>
        <v/>
      </c>
      <c r="H732" s="15" t="str">
        <v/>
      </c>
      <c r="I732" s="15" t="str">
        <v/>
      </c>
      <c r="J732" s="15" t="str">
        <v/>
      </c>
      <c r="K732" s="15" t="str">
        <v/>
      </c>
      <c r="L732" s="15" t="str">
        <v/>
      </c>
      <c r="M732" s="10" t="str">
        <v/>
      </c>
      <c r="N732" s="14"/>
      <c r="O732" s="15" t="str" cm="1">
        <f t="array" ref="O732">IFERROR(_xlfn.LET(
_xlpm.clean,TRIM(SUBSTITUTE(SUBSTITUTE(P732,CHAR(160),"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2" s="15"/>
      <c r="R732" t="str">
        <v/>
      </c>
      <c r="S732" t="str">
        <f t="shared" si="12"/>
        <v/>
      </c>
    </row>
    <row r="733" spans="1:19" ht="12.75">
      <c r="A733" s="15" t="str">
        <v/>
      </c>
      <c r="B733" s="15" t="str">
        <v/>
      </c>
      <c r="C733" s="15" t="str" cm="1">
        <f t="array" ref="C733">IFERROR(_xlfn.TEXTJOIN("",TRUE,_xlfn._xlws.FILTER(MID(S733,_xlfn.SEQUENCE(LEN(S733)),1),ISNUMBER(SEARCH(MID(S733,_xlfn.SEQUENCE(LEN(S733)),1),"ABCDEFGHIJKLMNOPQRSTUVWXYZabcdefghijklmnopqrstuvwxyz0123456789,")))),"")</f>
        <v/>
      </c>
      <c r="D733" s="15" t="str">
        <v/>
      </c>
      <c r="E733" s="16" t="str">
        <v/>
      </c>
      <c r="F733" s="15" t="str">
        <v/>
      </c>
      <c r="G733" s="20" t="str" cm="1">
        <f t="array" ref="G733">IF(TRIM(P733)="","",IF(SUM(COUNTIF(P733,{"*NLGD*","*FWG*"}))&gt;0,P733,IF(SUM(COUNTIF(P733,{"*GL*","*DGB*","*DGI*","*GT*","*CS*","*PWU*","*DBI*","*SWU*"}))=0,P733,IF(IFERROR(VALUE(SUBSTITUTE(SUBSTITUTE(O733,"W",""),"""","")),0)&gt;52,P733&amp;"-OVRSIZE-",P733))))</f>
        <v/>
      </c>
      <c r="H733" s="15" t="str">
        <v/>
      </c>
      <c r="I733" s="15" t="str">
        <v/>
      </c>
      <c r="J733" s="15" t="str">
        <v/>
      </c>
      <c r="K733" s="15" t="str">
        <v/>
      </c>
      <c r="L733" s="15" t="str">
        <v/>
      </c>
      <c r="M733" s="10" t="str">
        <v/>
      </c>
      <c r="N733" s="14"/>
      <c r="O733" s="15" t="str" cm="1">
        <f t="array" ref="O733">IFERROR(_xlfn.LET(
_xlpm.clean,TRIM(SUBSTITUTE(SUBSTITUTE(P733,CHAR(160),"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3" s="15"/>
      <c r="R733" t="str">
        <v/>
      </c>
      <c r="S733" t="str">
        <f t="shared" si="12"/>
        <v/>
      </c>
    </row>
    <row r="734" spans="1:19" ht="12.75">
      <c r="A734" s="15" t="str">
        <v/>
      </c>
      <c r="B734" s="15" t="str">
        <v/>
      </c>
      <c r="C734" s="15" t="str" cm="1">
        <f t="array" ref="C734">IFERROR(_xlfn.TEXTJOIN("",TRUE,_xlfn._xlws.FILTER(MID(S734,_xlfn.SEQUENCE(LEN(S734)),1),ISNUMBER(SEARCH(MID(S734,_xlfn.SEQUENCE(LEN(S734)),1),"ABCDEFGHIJKLMNOPQRSTUVWXYZabcdefghijklmnopqrstuvwxyz0123456789,")))),"")</f>
        <v/>
      </c>
      <c r="D734" s="15" t="str">
        <v/>
      </c>
      <c r="E734" s="16" t="str">
        <v/>
      </c>
      <c r="F734" s="15" t="str">
        <v/>
      </c>
      <c r="G734" s="20" t="str" cm="1">
        <f t="array" ref="G734">IF(TRIM(P734)="","",IF(SUM(COUNTIF(P734,{"*NLGD*","*FWG*"}))&gt;0,P734,IF(SUM(COUNTIF(P734,{"*GL*","*DGB*","*DGI*","*GT*","*CS*","*PWU*","*DBI*","*SWU*"}))=0,P734,IF(IFERROR(VALUE(SUBSTITUTE(SUBSTITUTE(O734,"W",""),"""","")),0)&gt;52,P734&amp;"-OVRSIZE-",P734))))</f>
        <v/>
      </c>
      <c r="H734" s="15" t="str">
        <v/>
      </c>
      <c r="I734" s="15" t="str">
        <v/>
      </c>
      <c r="J734" s="15" t="str">
        <v/>
      </c>
      <c r="K734" s="15" t="str">
        <v/>
      </c>
      <c r="L734" s="15" t="str">
        <v/>
      </c>
      <c r="M734" s="10" t="str">
        <v/>
      </c>
      <c r="N734" s="14"/>
      <c r="O734" s="15" t="str" cm="1">
        <f t="array" ref="O734">IFERROR(_xlfn.LET(
_xlpm.clean,TRIM(SUBSTITUTE(SUBSTITUTE(P734,CHAR(160),"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4" s="15"/>
      <c r="R734" t="str">
        <v/>
      </c>
      <c r="S734" t="str">
        <f t="shared" si="12"/>
        <v/>
      </c>
    </row>
    <row r="735" spans="1:19" ht="12.75">
      <c r="A735" s="15" t="str">
        <v/>
      </c>
      <c r="B735" s="15" t="str">
        <v/>
      </c>
      <c r="C735" s="15" t="str" cm="1">
        <f t="array" ref="C735">IFERROR(_xlfn.TEXTJOIN("",TRUE,_xlfn._xlws.FILTER(MID(S735,_xlfn.SEQUENCE(LEN(S735)),1),ISNUMBER(SEARCH(MID(S735,_xlfn.SEQUENCE(LEN(S735)),1),"ABCDEFGHIJKLMNOPQRSTUVWXYZabcdefghijklmnopqrstuvwxyz0123456789,")))),"")</f>
        <v/>
      </c>
      <c r="D735" s="15" t="str">
        <v/>
      </c>
      <c r="E735" s="16" t="str">
        <v/>
      </c>
      <c r="F735" s="15" t="str">
        <v/>
      </c>
      <c r="G735" s="20" t="str" cm="1">
        <f t="array" ref="G735">IF(TRIM(P735)="","",IF(SUM(COUNTIF(P735,{"*NLGD*","*FWG*"}))&gt;0,P735,IF(SUM(COUNTIF(P735,{"*GL*","*DGB*","*DGI*","*GT*","*CS*","*PWU*","*DBI*","*SWU*"}))=0,P735,IF(IFERROR(VALUE(SUBSTITUTE(SUBSTITUTE(O735,"W",""),"""","")),0)&gt;52,P735&amp;"-OVRSIZE-",P735))))</f>
        <v/>
      </c>
      <c r="H735" s="15" t="str">
        <v/>
      </c>
      <c r="I735" s="15" t="str">
        <v/>
      </c>
      <c r="J735" s="15" t="str">
        <v/>
      </c>
      <c r="K735" s="15" t="str">
        <v/>
      </c>
      <c r="L735" s="15" t="str">
        <v/>
      </c>
      <c r="M735" s="10" t="str">
        <v/>
      </c>
      <c r="N735" s="14"/>
      <c r="O735" s="15" t="str" cm="1">
        <f t="array" ref="O735">IFERROR(_xlfn.LET(
_xlpm.clean,TRIM(SUBSTITUTE(SUBSTITUTE(P735,CHAR(160),"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5" s="15"/>
      <c r="R735" t="str">
        <v/>
      </c>
      <c r="S735" t="str">
        <f t="shared" si="12"/>
        <v/>
      </c>
    </row>
    <row r="736" spans="1:19" ht="12.75">
      <c r="A736" s="15" t="str">
        <v/>
      </c>
      <c r="B736" s="15" t="str">
        <v/>
      </c>
      <c r="C736" s="15" t="str" cm="1">
        <f t="array" ref="C736">IFERROR(_xlfn.TEXTJOIN("",TRUE,_xlfn._xlws.FILTER(MID(S736,_xlfn.SEQUENCE(LEN(S736)),1),ISNUMBER(SEARCH(MID(S736,_xlfn.SEQUENCE(LEN(S736)),1),"ABCDEFGHIJKLMNOPQRSTUVWXYZabcdefghijklmnopqrstuvwxyz0123456789,")))),"")</f>
        <v/>
      </c>
      <c r="D736" s="15" t="str">
        <v/>
      </c>
      <c r="E736" s="16" t="str">
        <v/>
      </c>
      <c r="F736" s="15" t="str">
        <v/>
      </c>
      <c r="G736" s="20" t="str" cm="1">
        <f t="array" ref="G736">IF(TRIM(P736)="","",IF(SUM(COUNTIF(P736,{"*NLGD*","*FWG*"}))&gt;0,P736,IF(SUM(COUNTIF(P736,{"*GL*","*DGB*","*DGI*","*GT*","*CS*","*PWU*","*DBI*","*SWU*"}))=0,P736,IF(IFERROR(VALUE(SUBSTITUTE(SUBSTITUTE(O736,"W",""),"""","")),0)&gt;52,P736&amp;"-OVRSIZE-",P736))))</f>
        <v/>
      </c>
      <c r="H736" s="15" t="str">
        <v/>
      </c>
      <c r="I736" s="15" t="str">
        <v/>
      </c>
      <c r="J736" s="15" t="str">
        <v/>
      </c>
      <c r="K736" s="15" t="str">
        <v/>
      </c>
      <c r="L736" s="15" t="str">
        <v/>
      </c>
      <c r="M736" s="10" t="str">
        <v/>
      </c>
      <c r="N736" s="14"/>
      <c r="O736" s="15" t="str" cm="1">
        <f t="array" ref="O736">IFERROR(_xlfn.LET(
_xlpm.clean,TRIM(SUBSTITUTE(SUBSTITUTE(P736,CHAR(160),"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6" s="15"/>
      <c r="R736" t="str">
        <v/>
      </c>
      <c r="S736" t="str">
        <f t="shared" si="12"/>
        <v/>
      </c>
    </row>
    <row r="737" spans="1:19" ht="12.75">
      <c r="A737" s="15" t="str">
        <v/>
      </c>
      <c r="B737" s="15" t="str">
        <v/>
      </c>
      <c r="C737" s="15" t="str" cm="1">
        <f t="array" ref="C737">IFERROR(_xlfn.TEXTJOIN("",TRUE,_xlfn._xlws.FILTER(MID(S737,_xlfn.SEQUENCE(LEN(S737)),1),ISNUMBER(SEARCH(MID(S737,_xlfn.SEQUENCE(LEN(S737)),1),"ABCDEFGHIJKLMNOPQRSTUVWXYZabcdefghijklmnopqrstuvwxyz0123456789,")))),"")</f>
        <v/>
      </c>
      <c r="D737" s="15" t="str">
        <v/>
      </c>
      <c r="E737" s="16" t="str">
        <v/>
      </c>
      <c r="F737" s="15" t="str">
        <v/>
      </c>
      <c r="G737" s="20" t="str" cm="1">
        <f t="array" ref="G737">IF(TRIM(P737)="","",IF(SUM(COUNTIF(P737,{"*NLGD*","*FWG*"}))&gt;0,P737,IF(SUM(COUNTIF(P737,{"*GL*","*DGB*","*DGI*","*GT*","*CS*","*PWU*","*DBI*","*SWU*"}))=0,P737,IF(IFERROR(VALUE(SUBSTITUTE(SUBSTITUTE(O737,"W",""),"""","")),0)&gt;52,P737&amp;"-OVRSIZE-",P737))))</f>
        <v/>
      </c>
      <c r="H737" s="15" t="str">
        <v/>
      </c>
      <c r="I737" s="15" t="str">
        <v/>
      </c>
      <c r="J737" s="15" t="str">
        <v/>
      </c>
      <c r="K737" s="15" t="str">
        <v/>
      </c>
      <c r="L737" s="15" t="str">
        <v/>
      </c>
      <c r="M737" s="10" t="str">
        <v/>
      </c>
      <c r="N737" s="14"/>
      <c r="O737" s="15" t="str" cm="1">
        <f t="array" ref="O737">IFERROR(_xlfn.LET(
_xlpm.clean,TRIM(SUBSTITUTE(SUBSTITUTE(P737,CHAR(160),"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7" s="15"/>
      <c r="R737" t="str">
        <v/>
      </c>
      <c r="S737" t="str">
        <f t="shared" si="12"/>
        <v/>
      </c>
    </row>
    <row r="738" spans="1:19" ht="12.75">
      <c r="A738" s="15" t="str">
        <v/>
      </c>
      <c r="B738" s="15" t="str">
        <v/>
      </c>
      <c r="C738" s="15" t="str" cm="1">
        <f t="array" ref="C738">IFERROR(_xlfn.TEXTJOIN("",TRUE,_xlfn._xlws.FILTER(MID(S738,_xlfn.SEQUENCE(LEN(S738)),1),ISNUMBER(SEARCH(MID(S738,_xlfn.SEQUENCE(LEN(S738)),1),"ABCDEFGHIJKLMNOPQRSTUVWXYZabcdefghijklmnopqrstuvwxyz0123456789,")))),"")</f>
        <v/>
      </c>
      <c r="D738" s="15" t="str">
        <v/>
      </c>
      <c r="E738" s="16" t="str">
        <v/>
      </c>
      <c r="F738" s="15" t="str">
        <v/>
      </c>
      <c r="G738" s="20" t="str" cm="1">
        <f t="array" ref="G738">IF(TRIM(P738)="","",IF(SUM(COUNTIF(P738,{"*NLGD*","*FWG*"}))&gt;0,P738,IF(SUM(COUNTIF(P738,{"*GL*","*DGB*","*DGI*","*GT*","*CS*","*PWU*","*DBI*","*SWU*"}))=0,P738,IF(IFERROR(VALUE(SUBSTITUTE(SUBSTITUTE(O738,"W",""),"""","")),0)&gt;52,P738&amp;"-OVRSIZE-",P738))))</f>
        <v/>
      </c>
      <c r="H738" s="15" t="str">
        <v/>
      </c>
      <c r="I738" s="15" t="str">
        <v/>
      </c>
      <c r="J738" s="15" t="str">
        <v/>
      </c>
      <c r="K738" s="15" t="str">
        <v/>
      </c>
      <c r="L738" s="15" t="str">
        <v/>
      </c>
      <c r="M738" s="10" t="str">
        <v/>
      </c>
      <c r="N738" s="14"/>
      <c r="O738" s="15" t="str" cm="1">
        <f t="array" ref="O738">IFERROR(_xlfn.LET(
_xlpm.clean,TRIM(SUBSTITUTE(SUBSTITUTE(P738,CHAR(160),"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8" s="15"/>
      <c r="R738" t="str">
        <v/>
      </c>
      <c r="S738" t="str">
        <f t="shared" si="12"/>
        <v/>
      </c>
    </row>
    <row r="739" spans="1:19" ht="12.75">
      <c r="A739" s="15" t="str">
        <v/>
      </c>
      <c r="B739" s="15" t="str">
        <v/>
      </c>
      <c r="C739" s="15" t="str" cm="1">
        <f t="array" ref="C739">IFERROR(_xlfn.TEXTJOIN("",TRUE,_xlfn._xlws.FILTER(MID(S739,_xlfn.SEQUENCE(LEN(S739)),1),ISNUMBER(SEARCH(MID(S739,_xlfn.SEQUENCE(LEN(S739)),1),"ABCDEFGHIJKLMNOPQRSTUVWXYZabcdefghijklmnopqrstuvwxyz0123456789,")))),"")</f>
        <v/>
      </c>
      <c r="D739" s="15" t="str">
        <v/>
      </c>
      <c r="E739" s="16" t="str">
        <v/>
      </c>
      <c r="F739" s="15" t="str">
        <v/>
      </c>
      <c r="G739" s="20" t="str" cm="1">
        <f t="array" ref="G739">IF(TRIM(P739)="","",IF(SUM(COUNTIF(P739,{"*NLGD*","*FWG*"}))&gt;0,P739,IF(SUM(COUNTIF(P739,{"*GL*","*DGB*","*DGI*","*GT*","*CS*","*PWU*","*DBI*","*SWU*"}))=0,P739,IF(IFERROR(VALUE(SUBSTITUTE(SUBSTITUTE(O739,"W",""),"""","")),0)&gt;52,P739&amp;"-OVRSIZE-",P739))))</f>
        <v/>
      </c>
      <c r="H739" s="15" t="str">
        <v/>
      </c>
      <c r="I739" s="15" t="str">
        <v/>
      </c>
      <c r="J739" s="15" t="str">
        <v/>
      </c>
      <c r="K739" s="15" t="str">
        <v/>
      </c>
      <c r="L739" s="15" t="str">
        <v/>
      </c>
      <c r="M739" s="10" t="str">
        <v/>
      </c>
      <c r="N739" s="14"/>
      <c r="O739" s="15" t="str" cm="1">
        <f t="array" ref="O739">IFERROR(_xlfn.LET(
_xlpm.clean,TRIM(SUBSTITUTE(SUBSTITUTE(P739,CHAR(160),"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9" s="15"/>
      <c r="R739" t="str">
        <v/>
      </c>
      <c r="S739" t="str">
        <f t="shared" si="12"/>
        <v/>
      </c>
    </row>
    <row r="740" spans="1:19" ht="12.75">
      <c r="A740" s="15" t="str">
        <v/>
      </c>
      <c r="B740" s="15" t="str">
        <v/>
      </c>
      <c r="C740" s="15" t="str" cm="1">
        <f t="array" ref="C740">IFERROR(_xlfn.TEXTJOIN("",TRUE,_xlfn._xlws.FILTER(MID(S740,_xlfn.SEQUENCE(LEN(S740)),1),ISNUMBER(SEARCH(MID(S740,_xlfn.SEQUENCE(LEN(S740)),1),"ABCDEFGHIJKLMNOPQRSTUVWXYZabcdefghijklmnopqrstuvwxyz0123456789,")))),"")</f>
        <v/>
      </c>
      <c r="D740" s="15" t="str">
        <v/>
      </c>
      <c r="E740" s="16" t="str">
        <v/>
      </c>
      <c r="F740" s="15" t="str">
        <v/>
      </c>
      <c r="G740" s="20" t="str" cm="1">
        <f t="array" ref="G740">IF(TRIM(P740)="","",IF(SUM(COUNTIF(P740,{"*NLGD*","*FWG*"}))&gt;0,P740,IF(SUM(COUNTIF(P740,{"*GL*","*DGB*","*DGI*","*GT*","*CS*","*PWU*","*DBI*","*SWU*"}))=0,P740,IF(IFERROR(VALUE(SUBSTITUTE(SUBSTITUTE(O740,"W",""),"""","")),0)&gt;52,P740&amp;"-OVRSIZE-",P740))))</f>
        <v/>
      </c>
      <c r="H740" s="15" t="str">
        <v/>
      </c>
      <c r="I740" s="15" t="str">
        <v/>
      </c>
      <c r="J740" s="15" t="str">
        <v/>
      </c>
      <c r="K740" s="15" t="str">
        <v/>
      </c>
      <c r="L740" s="15" t="str">
        <v/>
      </c>
      <c r="M740" s="10" t="str">
        <v/>
      </c>
      <c r="N740" s="14"/>
      <c r="O740" s="15" t="str" cm="1">
        <f t="array" ref="O740">IFERROR(_xlfn.LET(
_xlpm.clean,TRIM(SUBSTITUTE(SUBSTITUTE(P740,CHAR(160),"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0" s="15"/>
      <c r="R740" t="str">
        <v/>
      </c>
      <c r="S740" t="str">
        <f t="shared" si="12"/>
        <v/>
      </c>
    </row>
    <row r="741" spans="1:19" ht="12.75">
      <c r="A741" s="15" t="str">
        <v/>
      </c>
      <c r="B741" s="15" t="str">
        <v/>
      </c>
      <c r="C741" s="15" t="str" cm="1">
        <f t="array" ref="C741">IFERROR(_xlfn.TEXTJOIN("",TRUE,_xlfn._xlws.FILTER(MID(S741,_xlfn.SEQUENCE(LEN(S741)),1),ISNUMBER(SEARCH(MID(S741,_xlfn.SEQUENCE(LEN(S741)),1),"ABCDEFGHIJKLMNOPQRSTUVWXYZabcdefghijklmnopqrstuvwxyz0123456789,")))),"")</f>
        <v/>
      </c>
      <c r="D741" s="15" t="str">
        <v/>
      </c>
      <c r="E741" s="16" t="str">
        <v/>
      </c>
      <c r="F741" s="15" t="str">
        <v/>
      </c>
      <c r="G741" s="20" t="str" cm="1">
        <f t="array" ref="G741">IF(TRIM(P741)="","",IF(SUM(COUNTIF(P741,{"*NLGD*","*FWG*"}))&gt;0,P741,IF(SUM(COUNTIF(P741,{"*GL*","*DGB*","*DGI*","*GT*","*CS*","*PWU*","*DBI*","*SWU*"}))=0,P741,IF(IFERROR(VALUE(SUBSTITUTE(SUBSTITUTE(O741,"W",""),"""","")),0)&gt;52,P741&amp;"-OVRSIZE-",P741))))</f>
        <v/>
      </c>
      <c r="H741" s="15" t="str">
        <v/>
      </c>
      <c r="I741" s="15" t="str">
        <v/>
      </c>
      <c r="J741" s="15" t="str">
        <v/>
      </c>
      <c r="K741" s="15" t="str">
        <v/>
      </c>
      <c r="L741" s="15" t="str">
        <v/>
      </c>
      <c r="M741" s="10" t="str">
        <v/>
      </c>
      <c r="N741" s="14"/>
      <c r="O741" s="15" t="str" cm="1">
        <f t="array" ref="O741">IFERROR(_xlfn.LET(
_xlpm.clean,TRIM(SUBSTITUTE(SUBSTITUTE(P741,CHAR(160),"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1" s="15"/>
      <c r="R741" t="str">
        <v/>
      </c>
      <c r="S741" t="str">
        <f t="shared" si="12"/>
        <v/>
      </c>
    </row>
    <row r="742" spans="1:19" ht="12.75">
      <c r="A742" s="15" t="str">
        <v/>
      </c>
      <c r="B742" s="15" t="str">
        <v/>
      </c>
      <c r="C742" s="15" t="str" cm="1">
        <f t="array" ref="C742">IFERROR(_xlfn.TEXTJOIN("",TRUE,_xlfn._xlws.FILTER(MID(S742,_xlfn.SEQUENCE(LEN(S742)),1),ISNUMBER(SEARCH(MID(S742,_xlfn.SEQUENCE(LEN(S742)),1),"ABCDEFGHIJKLMNOPQRSTUVWXYZabcdefghijklmnopqrstuvwxyz0123456789,")))),"")</f>
        <v/>
      </c>
      <c r="D742" s="15" t="str">
        <v/>
      </c>
      <c r="E742" s="16" t="str">
        <v/>
      </c>
      <c r="F742" s="15" t="str">
        <v/>
      </c>
      <c r="G742" s="20" t="str" cm="1">
        <f t="array" ref="G742">IF(TRIM(P742)="","",IF(SUM(COUNTIF(P742,{"*NLGD*","*FWG*"}))&gt;0,P742,IF(SUM(COUNTIF(P742,{"*GL*","*DGB*","*DGI*","*GT*","*CS*","*PWU*","*DBI*","*SWU*"}))=0,P742,IF(IFERROR(VALUE(SUBSTITUTE(SUBSTITUTE(O742,"W",""),"""","")),0)&gt;52,P742&amp;"-OVRSIZE-",P742))))</f>
        <v/>
      </c>
      <c r="H742" s="15" t="str">
        <v/>
      </c>
      <c r="I742" s="15" t="str">
        <v/>
      </c>
      <c r="J742" s="15" t="str">
        <v/>
      </c>
      <c r="K742" s="15" t="str">
        <v/>
      </c>
      <c r="L742" s="15" t="str">
        <v/>
      </c>
      <c r="M742" s="10" t="str">
        <v/>
      </c>
      <c r="N742" s="14"/>
      <c r="O742" s="15" t="str" cm="1">
        <f t="array" ref="O742">IFERROR(_xlfn.LET(
_xlpm.clean,TRIM(SUBSTITUTE(SUBSTITUTE(P742,CHAR(160),"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2" s="15"/>
      <c r="R742" t="str">
        <v/>
      </c>
      <c r="S742" t="str">
        <f t="shared" si="12"/>
        <v/>
      </c>
    </row>
    <row r="743" spans="1:19" ht="12.75">
      <c r="A743" s="15" t="str">
        <v/>
      </c>
      <c r="B743" s="15" t="str">
        <v/>
      </c>
      <c r="C743" s="15" t="str" cm="1">
        <f t="array" ref="C743">IFERROR(_xlfn.TEXTJOIN("",TRUE,_xlfn._xlws.FILTER(MID(S743,_xlfn.SEQUENCE(LEN(S743)),1),ISNUMBER(SEARCH(MID(S743,_xlfn.SEQUENCE(LEN(S743)),1),"ABCDEFGHIJKLMNOPQRSTUVWXYZabcdefghijklmnopqrstuvwxyz0123456789,")))),"")</f>
        <v/>
      </c>
      <c r="D743" s="15" t="str">
        <v/>
      </c>
      <c r="E743" s="16" t="str">
        <v/>
      </c>
      <c r="F743" s="15" t="str">
        <v/>
      </c>
      <c r="G743" s="20" t="str" cm="1">
        <f t="array" ref="G743">IF(TRIM(P743)="","",IF(SUM(COUNTIF(P743,{"*NLGD*","*FWG*"}))&gt;0,P743,IF(SUM(COUNTIF(P743,{"*GL*","*DGB*","*DGI*","*GT*","*CS*","*PWU*","*DBI*","*SWU*"}))=0,P743,IF(IFERROR(VALUE(SUBSTITUTE(SUBSTITUTE(O743,"W",""),"""","")),0)&gt;52,P743&amp;"-OVRSIZE-",P743))))</f>
        <v/>
      </c>
      <c r="H743" s="15" t="str">
        <v/>
      </c>
      <c r="I743" s="15" t="str">
        <v/>
      </c>
      <c r="J743" s="15" t="str">
        <v/>
      </c>
      <c r="K743" s="15" t="str">
        <v/>
      </c>
      <c r="L743" s="15" t="str">
        <v/>
      </c>
      <c r="M743" s="10" t="str">
        <v/>
      </c>
      <c r="N743" s="14"/>
      <c r="O743" s="15" t="str" cm="1">
        <f t="array" ref="O743">IFERROR(_xlfn.LET(
_xlpm.clean,TRIM(SUBSTITUTE(SUBSTITUTE(P743,CHAR(160),"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3" s="15"/>
      <c r="R743" t="str">
        <v/>
      </c>
      <c r="S743" t="str">
        <f t="shared" si="12"/>
        <v/>
      </c>
    </row>
    <row r="744" spans="1:19" ht="12.75">
      <c r="A744" s="15" t="str">
        <v/>
      </c>
      <c r="B744" s="15" t="str">
        <v/>
      </c>
      <c r="C744" s="15" t="str" cm="1">
        <f t="array" ref="C744">IFERROR(_xlfn.TEXTJOIN("",TRUE,_xlfn._xlws.FILTER(MID(S744,_xlfn.SEQUENCE(LEN(S744)),1),ISNUMBER(SEARCH(MID(S744,_xlfn.SEQUENCE(LEN(S744)),1),"ABCDEFGHIJKLMNOPQRSTUVWXYZabcdefghijklmnopqrstuvwxyz0123456789,")))),"")</f>
        <v/>
      </c>
      <c r="D744" s="15" t="str">
        <v/>
      </c>
      <c r="E744" s="16" t="str">
        <v/>
      </c>
      <c r="F744" s="15" t="str">
        <v/>
      </c>
      <c r="G744" s="20" t="str" cm="1">
        <f t="array" ref="G744">IF(TRIM(P744)="","",IF(SUM(COUNTIF(P744,{"*NLGD*","*FWG*"}))&gt;0,P744,IF(SUM(COUNTIF(P744,{"*GL*","*DGB*","*DGI*","*GT*","*CS*","*PWU*","*DBI*","*SWU*"}))=0,P744,IF(IFERROR(VALUE(SUBSTITUTE(SUBSTITUTE(O744,"W",""),"""","")),0)&gt;52,P744&amp;"-OVRSIZE-",P744))))</f>
        <v/>
      </c>
      <c r="H744" s="15" t="str">
        <v/>
      </c>
      <c r="I744" s="15" t="str">
        <v/>
      </c>
      <c r="J744" s="15" t="str">
        <v/>
      </c>
      <c r="K744" s="15" t="str">
        <v/>
      </c>
      <c r="L744" s="15" t="str">
        <v/>
      </c>
      <c r="M744" s="10" t="str">
        <v/>
      </c>
      <c r="N744" s="14"/>
      <c r="O744" s="15" t="str" cm="1">
        <f t="array" ref="O744">IFERROR(_xlfn.LET(
_xlpm.clean,TRIM(SUBSTITUTE(SUBSTITUTE(P744,CHAR(160),"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4" s="15"/>
      <c r="R744" t="str">
        <v/>
      </c>
      <c r="S744" t="str">
        <f t="shared" si="12"/>
        <v/>
      </c>
    </row>
    <row r="745" spans="1:19" ht="12.75">
      <c r="A745" s="15" t="str">
        <v/>
      </c>
      <c r="B745" s="15" t="str">
        <v/>
      </c>
      <c r="C745" s="15" t="str" cm="1">
        <f t="array" ref="C745">IFERROR(_xlfn.TEXTJOIN("",TRUE,_xlfn._xlws.FILTER(MID(S745,_xlfn.SEQUENCE(LEN(S745)),1),ISNUMBER(SEARCH(MID(S745,_xlfn.SEQUENCE(LEN(S745)),1),"ABCDEFGHIJKLMNOPQRSTUVWXYZabcdefghijklmnopqrstuvwxyz0123456789,")))),"")</f>
        <v/>
      </c>
      <c r="D745" s="15" t="str">
        <v/>
      </c>
      <c r="E745" s="16" t="str">
        <v/>
      </c>
      <c r="F745" s="15" t="str">
        <v/>
      </c>
      <c r="G745" s="20" t="str" cm="1">
        <f t="array" ref="G745">IF(TRIM(P745)="","",IF(SUM(COUNTIF(P745,{"*NLGD*","*FWG*"}))&gt;0,P745,IF(SUM(COUNTIF(P745,{"*GL*","*DGB*","*DGI*","*GT*","*CS*","*PWU*","*DBI*","*SWU*"}))=0,P745,IF(IFERROR(VALUE(SUBSTITUTE(SUBSTITUTE(O745,"W",""),"""","")),0)&gt;52,P745&amp;"-OVRSIZE-",P745))))</f>
        <v/>
      </c>
      <c r="H745" s="15" t="str">
        <v/>
      </c>
      <c r="I745" s="15" t="str">
        <v/>
      </c>
      <c r="J745" s="15" t="str">
        <v/>
      </c>
      <c r="K745" s="15" t="str">
        <v/>
      </c>
      <c r="L745" s="15" t="str">
        <v/>
      </c>
      <c r="M745" s="10" t="str">
        <v/>
      </c>
      <c r="N745" s="14"/>
      <c r="O745" s="15" t="str" cm="1">
        <f t="array" ref="O745">IFERROR(_xlfn.LET(
_xlpm.clean,TRIM(SUBSTITUTE(SUBSTITUTE(P745,CHAR(160),"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5" s="15"/>
      <c r="R745" t="str">
        <v/>
      </c>
      <c r="S745" t="str">
        <f t="shared" si="12"/>
        <v/>
      </c>
    </row>
    <row r="746" spans="1:19" ht="12.75">
      <c r="A746" s="15" t="str">
        <v/>
      </c>
      <c r="B746" s="15" t="str">
        <v/>
      </c>
      <c r="C746" s="15" t="str" cm="1">
        <f t="array" ref="C746">IFERROR(_xlfn.TEXTJOIN("",TRUE,_xlfn._xlws.FILTER(MID(S746,_xlfn.SEQUENCE(LEN(S746)),1),ISNUMBER(SEARCH(MID(S746,_xlfn.SEQUENCE(LEN(S746)),1),"ABCDEFGHIJKLMNOPQRSTUVWXYZabcdefghijklmnopqrstuvwxyz0123456789,")))),"")</f>
        <v/>
      </c>
      <c r="D746" s="15" t="str">
        <v/>
      </c>
      <c r="E746" s="16" t="str">
        <v/>
      </c>
      <c r="F746" s="15" t="str">
        <v/>
      </c>
      <c r="G746" s="20" t="str" cm="1">
        <f t="array" ref="G746">IF(TRIM(P746)="","",IF(SUM(COUNTIF(P746,{"*NLGD*","*FWG*"}))&gt;0,P746,IF(SUM(COUNTIF(P746,{"*GL*","*DGB*","*DGI*","*GT*","*CS*","*PWU*","*DBI*","*SWU*"}))=0,P746,IF(IFERROR(VALUE(SUBSTITUTE(SUBSTITUTE(O746,"W",""),"""","")),0)&gt;52,P746&amp;"-OVRSIZE-",P746))))</f>
        <v/>
      </c>
      <c r="H746" s="15" t="str">
        <v/>
      </c>
      <c r="I746" s="15" t="str">
        <v/>
      </c>
      <c r="J746" s="15" t="str">
        <v/>
      </c>
      <c r="K746" s="15" t="str">
        <v/>
      </c>
      <c r="L746" s="15" t="str">
        <v/>
      </c>
      <c r="M746" s="10" t="str">
        <v/>
      </c>
      <c r="N746" s="14"/>
      <c r="O746" s="15" t="str" cm="1">
        <f t="array" ref="O746">IFERROR(_xlfn.LET(
_xlpm.clean,TRIM(SUBSTITUTE(SUBSTITUTE(P746,CHAR(160),"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6" s="15"/>
      <c r="R746" t="str">
        <v/>
      </c>
      <c r="S746" t="str">
        <f t="shared" si="12"/>
        <v/>
      </c>
    </row>
    <row r="747" spans="1:19" ht="12.75">
      <c r="A747" s="15" t="str">
        <v/>
      </c>
      <c r="B747" s="15" t="str">
        <v/>
      </c>
      <c r="C747" s="15" t="str" cm="1">
        <f t="array" ref="C747">IFERROR(_xlfn.TEXTJOIN("",TRUE,_xlfn._xlws.FILTER(MID(S747,_xlfn.SEQUENCE(LEN(S747)),1),ISNUMBER(SEARCH(MID(S747,_xlfn.SEQUENCE(LEN(S747)),1),"ABCDEFGHIJKLMNOPQRSTUVWXYZabcdefghijklmnopqrstuvwxyz0123456789,")))),"")</f>
        <v/>
      </c>
      <c r="D747" s="15" t="str">
        <v/>
      </c>
      <c r="E747" s="16" t="str">
        <v/>
      </c>
      <c r="F747" s="15" t="str">
        <v/>
      </c>
      <c r="G747" s="20" t="str" cm="1">
        <f t="array" ref="G747">IF(TRIM(P747)="","",IF(SUM(COUNTIF(P747,{"*NLGD*","*FWG*"}))&gt;0,P747,IF(SUM(COUNTIF(P747,{"*GL*","*DGB*","*DGI*","*GT*","*CS*","*PWU*","*DBI*","*SWU*"}))=0,P747,IF(IFERROR(VALUE(SUBSTITUTE(SUBSTITUTE(O747,"W",""),"""","")),0)&gt;52,P747&amp;"-OVRSIZE-",P747))))</f>
        <v/>
      </c>
      <c r="H747" s="15" t="str">
        <v/>
      </c>
      <c r="I747" s="15" t="str">
        <v/>
      </c>
      <c r="J747" s="15" t="str">
        <v/>
      </c>
      <c r="K747" s="15" t="str">
        <v/>
      </c>
      <c r="L747" s="15" t="str">
        <v/>
      </c>
      <c r="M747" s="10" t="str">
        <v/>
      </c>
      <c r="N747" s="14"/>
      <c r="O747" s="15" t="str" cm="1">
        <f t="array" ref="O747">IFERROR(_xlfn.LET(
_xlpm.clean,TRIM(SUBSTITUTE(SUBSTITUTE(P747,CHAR(160),"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7" s="15"/>
      <c r="R747" t="str">
        <v/>
      </c>
      <c r="S747" t="str">
        <f t="shared" si="12"/>
        <v/>
      </c>
    </row>
    <row r="748" spans="1:19" ht="12.75">
      <c r="A748" s="15" t="str">
        <v/>
      </c>
      <c r="B748" s="15" t="str">
        <v/>
      </c>
      <c r="C748" s="15" t="str" cm="1">
        <f t="array" ref="C748">IFERROR(_xlfn.TEXTJOIN("",TRUE,_xlfn._xlws.FILTER(MID(S748,_xlfn.SEQUENCE(LEN(S748)),1),ISNUMBER(SEARCH(MID(S748,_xlfn.SEQUENCE(LEN(S748)),1),"ABCDEFGHIJKLMNOPQRSTUVWXYZabcdefghijklmnopqrstuvwxyz0123456789,")))),"")</f>
        <v/>
      </c>
      <c r="D748" s="15" t="str">
        <v/>
      </c>
      <c r="E748" s="16" t="str">
        <v/>
      </c>
      <c r="F748" s="15" t="str">
        <v/>
      </c>
      <c r="G748" s="20" t="str" cm="1">
        <f t="array" ref="G748">IF(TRIM(P748)="","",IF(SUM(COUNTIF(P748,{"*NLGD*","*FWG*"}))&gt;0,P748,IF(SUM(COUNTIF(P748,{"*GL*","*DGB*","*DGI*","*GT*","*CS*","*PWU*","*DBI*","*SWU*"}))=0,P748,IF(IFERROR(VALUE(SUBSTITUTE(SUBSTITUTE(O748,"W",""),"""","")),0)&gt;52,P748&amp;"-OVRSIZE-",P748))))</f>
        <v/>
      </c>
      <c r="H748" s="15" t="str">
        <v/>
      </c>
      <c r="I748" s="15" t="str">
        <v/>
      </c>
      <c r="J748" s="15" t="str">
        <v/>
      </c>
      <c r="K748" s="15" t="str">
        <v/>
      </c>
      <c r="L748" s="15" t="str">
        <v/>
      </c>
      <c r="M748" s="10" t="str">
        <v/>
      </c>
      <c r="N748" s="14"/>
      <c r="O748" s="15" t="str" cm="1">
        <f t="array" ref="O748">IFERROR(_xlfn.LET(
_xlpm.clean,TRIM(SUBSTITUTE(SUBSTITUTE(P748,CHAR(160),"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8" s="15"/>
      <c r="R748" t="str">
        <v/>
      </c>
      <c r="S748" t="str">
        <f t="shared" si="12"/>
        <v/>
      </c>
    </row>
    <row r="749" spans="1:19" ht="12.75">
      <c r="A749" s="15" t="str">
        <v/>
      </c>
      <c r="B749" s="15" t="str">
        <v/>
      </c>
      <c r="C749" s="15" t="str" cm="1">
        <f t="array" ref="C749">IFERROR(_xlfn.TEXTJOIN("",TRUE,_xlfn._xlws.FILTER(MID(S749,_xlfn.SEQUENCE(LEN(S749)),1),ISNUMBER(SEARCH(MID(S749,_xlfn.SEQUENCE(LEN(S749)),1),"ABCDEFGHIJKLMNOPQRSTUVWXYZabcdefghijklmnopqrstuvwxyz0123456789,")))),"")</f>
        <v/>
      </c>
      <c r="D749" s="15" t="str">
        <v/>
      </c>
      <c r="E749" s="16" t="str">
        <v/>
      </c>
      <c r="F749" s="15" t="str">
        <v/>
      </c>
      <c r="G749" s="20" t="str" cm="1">
        <f t="array" ref="G749">IF(TRIM(P749)="","",IF(SUM(COUNTIF(P749,{"*NLGD*","*FWG*"}))&gt;0,P749,IF(SUM(COUNTIF(P749,{"*GL*","*DGB*","*DGI*","*GT*","*CS*","*PWU*","*DBI*","*SWU*"}))=0,P749,IF(IFERROR(VALUE(SUBSTITUTE(SUBSTITUTE(O749,"W",""),"""","")),0)&gt;52,P749&amp;"-OVRSIZE-",P749))))</f>
        <v/>
      </c>
      <c r="H749" s="15" t="str">
        <v/>
      </c>
      <c r="I749" s="15" t="str">
        <v/>
      </c>
      <c r="J749" s="15" t="str">
        <v/>
      </c>
      <c r="K749" s="15" t="str">
        <v/>
      </c>
      <c r="L749" s="15" t="str">
        <v/>
      </c>
      <c r="M749" s="10" t="str">
        <v/>
      </c>
      <c r="N749" s="14"/>
      <c r="O749" s="15" t="str" cm="1">
        <f t="array" ref="O749">IFERROR(_xlfn.LET(
_xlpm.clean,TRIM(SUBSTITUTE(SUBSTITUTE(P749,CHAR(160),"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9" s="15"/>
      <c r="R749" t="str">
        <v/>
      </c>
      <c r="S749" t="str">
        <f t="shared" si="12"/>
        <v/>
      </c>
    </row>
    <row r="750" spans="1:19" ht="12.75">
      <c r="A750" s="15" t="str">
        <v/>
      </c>
      <c r="B750" s="15" t="str">
        <v/>
      </c>
      <c r="C750" s="15" t="str" cm="1">
        <f t="array" ref="C750">IFERROR(_xlfn.TEXTJOIN("",TRUE,_xlfn._xlws.FILTER(MID(S750,_xlfn.SEQUENCE(LEN(S750)),1),ISNUMBER(SEARCH(MID(S750,_xlfn.SEQUENCE(LEN(S750)),1),"ABCDEFGHIJKLMNOPQRSTUVWXYZabcdefghijklmnopqrstuvwxyz0123456789,")))),"")</f>
        <v/>
      </c>
      <c r="D750" s="15" t="str">
        <v/>
      </c>
      <c r="E750" s="16" t="str">
        <v/>
      </c>
      <c r="F750" s="15" t="str">
        <v/>
      </c>
      <c r="G750" s="20" t="str" cm="1">
        <f t="array" ref="G750">IF(TRIM(P750)="","",IF(SUM(COUNTIF(P750,{"*NLGD*","*FWG*"}))&gt;0,P750,IF(SUM(COUNTIF(P750,{"*GL*","*DGB*","*DGI*","*GT*","*CS*","*PWU*","*DBI*","*SWU*"}))=0,P750,IF(IFERROR(VALUE(SUBSTITUTE(SUBSTITUTE(O750,"W",""),"""","")),0)&gt;52,P750&amp;"-OVRSIZE-",P750))))</f>
        <v/>
      </c>
      <c r="H750" s="15" t="str">
        <v/>
      </c>
      <c r="I750" s="15" t="str">
        <v/>
      </c>
      <c r="J750" s="15" t="str">
        <v/>
      </c>
      <c r="K750" s="15" t="str">
        <v/>
      </c>
      <c r="L750" s="15" t="str">
        <v/>
      </c>
      <c r="M750" s="10" t="str">
        <v/>
      </c>
      <c r="N750" s="14"/>
      <c r="O750" s="15" t="str" cm="1">
        <f t="array" ref="O750">IFERROR(_xlfn.LET(
_xlpm.clean,TRIM(SUBSTITUTE(SUBSTITUTE(P750,CHAR(160),"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0" s="15"/>
      <c r="R750" t="str">
        <v/>
      </c>
      <c r="S750" t="str">
        <f t="shared" si="12"/>
        <v/>
      </c>
    </row>
    <row r="751" spans="1:19" ht="12.75">
      <c r="A751" s="15" t="str">
        <v/>
      </c>
      <c r="B751" s="15" t="str">
        <v/>
      </c>
      <c r="C751" s="15" t="str" cm="1">
        <f t="array" ref="C751">IFERROR(_xlfn.TEXTJOIN("",TRUE,_xlfn._xlws.FILTER(MID(S751,_xlfn.SEQUENCE(LEN(S751)),1),ISNUMBER(SEARCH(MID(S751,_xlfn.SEQUENCE(LEN(S751)),1),"ABCDEFGHIJKLMNOPQRSTUVWXYZabcdefghijklmnopqrstuvwxyz0123456789,")))),"")</f>
        <v/>
      </c>
      <c r="D751" s="15" t="str">
        <v/>
      </c>
      <c r="E751" s="16" t="str">
        <v/>
      </c>
      <c r="F751" s="15" t="str">
        <v/>
      </c>
      <c r="G751" s="20" t="str" cm="1">
        <f t="array" ref="G751">IF(TRIM(P751)="","",IF(SUM(COUNTIF(P751,{"*NLGD*","*FWG*"}))&gt;0,P751,IF(SUM(COUNTIF(P751,{"*GL*","*DGB*","*DGI*","*GT*","*CS*","*PWU*","*DBI*","*SWU*"}))=0,P751,IF(IFERROR(VALUE(SUBSTITUTE(SUBSTITUTE(O751,"W",""),"""","")),0)&gt;52,P751&amp;"-OVRSIZE-",P751))))</f>
        <v/>
      </c>
      <c r="H751" s="15" t="str">
        <v/>
      </c>
      <c r="I751" s="15" t="str">
        <v/>
      </c>
      <c r="J751" s="15" t="str">
        <v/>
      </c>
      <c r="K751" s="15" t="str">
        <v/>
      </c>
      <c r="L751" s="15" t="str">
        <v/>
      </c>
      <c r="M751" s="10" t="str">
        <v/>
      </c>
      <c r="N751" s="14"/>
      <c r="O751" s="15" t="str" cm="1">
        <f t="array" ref="O751">IFERROR(_xlfn.LET(
_xlpm.clean,TRIM(SUBSTITUTE(SUBSTITUTE(P751,CHAR(160),"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1" s="15"/>
      <c r="R751" t="str">
        <v/>
      </c>
      <c r="S751" t="str">
        <f t="shared" si="12"/>
        <v/>
      </c>
    </row>
    <row r="752" spans="1:19" ht="12.75">
      <c r="A752" s="15" t="str">
        <v/>
      </c>
      <c r="B752" s="15" t="str">
        <v/>
      </c>
      <c r="C752" s="15" t="str" cm="1">
        <f t="array" ref="C752">IFERROR(_xlfn.TEXTJOIN("",TRUE,_xlfn._xlws.FILTER(MID(S752,_xlfn.SEQUENCE(LEN(S752)),1),ISNUMBER(SEARCH(MID(S752,_xlfn.SEQUENCE(LEN(S752)),1),"ABCDEFGHIJKLMNOPQRSTUVWXYZabcdefghijklmnopqrstuvwxyz0123456789,")))),"")</f>
        <v/>
      </c>
      <c r="D752" s="15" t="str">
        <v/>
      </c>
      <c r="E752" s="16" t="str">
        <v/>
      </c>
      <c r="F752" s="15" t="str">
        <v/>
      </c>
      <c r="G752" s="20" t="str" cm="1">
        <f t="array" ref="G752">IF(TRIM(P752)="","",IF(SUM(COUNTIF(P752,{"*NLGD*","*FWG*"}))&gt;0,P752,IF(SUM(COUNTIF(P752,{"*GL*","*DGB*","*DGI*","*GT*","*CS*","*PWU*","*DBI*","*SWU*"}))=0,P752,IF(IFERROR(VALUE(SUBSTITUTE(SUBSTITUTE(O752,"W",""),"""","")),0)&gt;52,P752&amp;"-OVRSIZE-",P752))))</f>
        <v/>
      </c>
      <c r="H752" s="15" t="str">
        <v/>
      </c>
      <c r="I752" s="15" t="str">
        <v/>
      </c>
      <c r="J752" s="15" t="str">
        <v/>
      </c>
      <c r="K752" s="15" t="str">
        <v/>
      </c>
      <c r="L752" s="15" t="str">
        <v/>
      </c>
      <c r="M752" s="10" t="str">
        <v/>
      </c>
      <c r="N752" s="14"/>
      <c r="O752" s="15" t="str" cm="1">
        <f t="array" ref="O752">IFERROR(_xlfn.LET(
_xlpm.clean,TRIM(SUBSTITUTE(SUBSTITUTE(P752,CHAR(160),"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2" s="15"/>
      <c r="R752" t="str">
        <v/>
      </c>
      <c r="S752" t="str">
        <f t="shared" si="12"/>
        <v/>
      </c>
    </row>
    <row r="753" spans="1:19" ht="12.75">
      <c r="A753" s="15" t="str">
        <v/>
      </c>
      <c r="B753" s="15" t="str">
        <v/>
      </c>
      <c r="C753" s="15" t="str" cm="1">
        <f t="array" ref="C753">IFERROR(_xlfn.TEXTJOIN("",TRUE,_xlfn._xlws.FILTER(MID(S753,_xlfn.SEQUENCE(LEN(S753)),1),ISNUMBER(SEARCH(MID(S753,_xlfn.SEQUENCE(LEN(S753)),1),"ABCDEFGHIJKLMNOPQRSTUVWXYZabcdefghijklmnopqrstuvwxyz0123456789,")))),"")</f>
        <v/>
      </c>
      <c r="D753" s="15" t="str">
        <v/>
      </c>
      <c r="E753" s="16" t="str">
        <v/>
      </c>
      <c r="F753" s="15" t="str">
        <v/>
      </c>
      <c r="G753" s="20" t="str" cm="1">
        <f t="array" ref="G753">IF(TRIM(P753)="","",IF(SUM(COUNTIF(P753,{"*NLGD*","*FWG*"}))&gt;0,P753,IF(SUM(COUNTIF(P753,{"*GL*","*DGB*","*DGI*","*GT*","*CS*","*PWU*","*DBI*","*SWU*"}))=0,P753,IF(IFERROR(VALUE(SUBSTITUTE(SUBSTITUTE(O753,"W",""),"""","")),0)&gt;52,P753&amp;"-OVRSIZE-",P753))))</f>
        <v/>
      </c>
      <c r="H753" s="15" t="str">
        <v/>
      </c>
      <c r="I753" s="15" t="str">
        <v/>
      </c>
      <c r="J753" s="15" t="str">
        <v/>
      </c>
      <c r="K753" s="15" t="str">
        <v/>
      </c>
      <c r="L753" s="15" t="str">
        <v/>
      </c>
      <c r="M753" s="10" t="str">
        <v/>
      </c>
      <c r="N753" s="14"/>
      <c r="O753" s="15" t="str" cm="1">
        <f t="array" ref="O753">IFERROR(_xlfn.LET(
_xlpm.clean,TRIM(SUBSTITUTE(SUBSTITUTE(P753,CHAR(160),"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3" s="15"/>
      <c r="R753" t="str">
        <v/>
      </c>
      <c r="S753" t="str">
        <f t="shared" si="12"/>
        <v/>
      </c>
    </row>
    <row r="754" spans="1:19" ht="12.75">
      <c r="A754" s="15" t="str">
        <v/>
      </c>
      <c r="B754" s="15" t="str">
        <v/>
      </c>
      <c r="C754" s="15" t="str" cm="1">
        <f t="array" ref="C754">IFERROR(_xlfn.TEXTJOIN("",TRUE,_xlfn._xlws.FILTER(MID(S754,_xlfn.SEQUENCE(LEN(S754)),1),ISNUMBER(SEARCH(MID(S754,_xlfn.SEQUENCE(LEN(S754)),1),"ABCDEFGHIJKLMNOPQRSTUVWXYZabcdefghijklmnopqrstuvwxyz0123456789,")))),"")</f>
        <v/>
      </c>
      <c r="D754" s="15" t="str">
        <v/>
      </c>
      <c r="E754" s="16" t="str">
        <v/>
      </c>
      <c r="F754" s="15" t="str">
        <v/>
      </c>
      <c r="G754" s="20" t="str" cm="1">
        <f t="array" ref="G754">IF(TRIM(P754)="","",IF(SUM(COUNTIF(P754,{"*NLGD*","*FWG*"}))&gt;0,P754,IF(SUM(COUNTIF(P754,{"*GL*","*DGB*","*DGI*","*GT*","*CS*","*PWU*","*DBI*","*SWU*"}))=0,P754,IF(IFERROR(VALUE(SUBSTITUTE(SUBSTITUTE(O754,"W",""),"""","")),0)&gt;52,P754&amp;"-OVRSIZE-",P754))))</f>
        <v/>
      </c>
      <c r="H754" s="15" t="str">
        <v/>
      </c>
      <c r="I754" s="15" t="str">
        <v/>
      </c>
      <c r="J754" s="15" t="str">
        <v/>
      </c>
      <c r="K754" s="15" t="str">
        <v/>
      </c>
      <c r="L754" s="15" t="str">
        <v/>
      </c>
      <c r="M754" s="10" t="str">
        <v/>
      </c>
      <c r="N754" s="14"/>
      <c r="O754" s="15" t="str" cm="1">
        <f t="array" ref="O754">IFERROR(_xlfn.LET(
_xlpm.clean,TRIM(SUBSTITUTE(SUBSTITUTE(P754,CHAR(160),"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4" s="15"/>
      <c r="R754" t="str">
        <v/>
      </c>
      <c r="S754" t="str">
        <f t="shared" si="12"/>
        <v/>
      </c>
    </row>
    <row r="755" spans="1:19" ht="12.75">
      <c r="A755" s="15" t="str">
        <v/>
      </c>
      <c r="B755" s="15" t="str">
        <v/>
      </c>
      <c r="C755" s="15" t="str" cm="1">
        <f t="array" ref="C755">IFERROR(_xlfn.TEXTJOIN("",TRUE,_xlfn._xlws.FILTER(MID(S755,_xlfn.SEQUENCE(LEN(S755)),1),ISNUMBER(SEARCH(MID(S755,_xlfn.SEQUENCE(LEN(S755)),1),"ABCDEFGHIJKLMNOPQRSTUVWXYZabcdefghijklmnopqrstuvwxyz0123456789,")))),"")</f>
        <v/>
      </c>
      <c r="D755" s="15" t="str">
        <v/>
      </c>
      <c r="E755" s="16" t="str">
        <v/>
      </c>
      <c r="F755" s="15" t="str">
        <v/>
      </c>
      <c r="G755" s="20" t="str" cm="1">
        <f t="array" ref="G755">IF(TRIM(P755)="","",IF(SUM(COUNTIF(P755,{"*NLGD*","*FWG*"}))&gt;0,P755,IF(SUM(COUNTIF(P755,{"*GL*","*DGB*","*DGI*","*GT*","*CS*","*PWU*","*DBI*","*SWU*"}))=0,P755,IF(IFERROR(VALUE(SUBSTITUTE(SUBSTITUTE(O755,"W",""),"""","")),0)&gt;52,P755&amp;"-OVRSIZE-",P755))))</f>
        <v/>
      </c>
      <c r="H755" s="15" t="str">
        <v/>
      </c>
      <c r="I755" s="15" t="str">
        <v/>
      </c>
      <c r="J755" s="15" t="str">
        <v/>
      </c>
      <c r="K755" s="15" t="str">
        <v/>
      </c>
      <c r="L755" s="15" t="str">
        <v/>
      </c>
      <c r="M755" s="10" t="str">
        <v/>
      </c>
      <c r="N755" s="14"/>
      <c r="O755" s="15" t="str" cm="1">
        <f t="array" ref="O755">IFERROR(_xlfn.LET(
_xlpm.clean,TRIM(SUBSTITUTE(SUBSTITUTE(P755,CHAR(160),"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5" s="15"/>
      <c r="R755" t="str">
        <v/>
      </c>
      <c r="S755" t="str">
        <f t="shared" si="12"/>
        <v/>
      </c>
    </row>
    <row r="756" spans="1:19" ht="12.75">
      <c r="A756" s="15" t="str">
        <v/>
      </c>
      <c r="B756" s="15" t="str">
        <v/>
      </c>
      <c r="C756" s="15" t="str" cm="1">
        <f t="array" ref="C756">IFERROR(_xlfn.TEXTJOIN("",TRUE,_xlfn._xlws.FILTER(MID(S756,_xlfn.SEQUENCE(LEN(S756)),1),ISNUMBER(SEARCH(MID(S756,_xlfn.SEQUENCE(LEN(S756)),1),"ABCDEFGHIJKLMNOPQRSTUVWXYZabcdefghijklmnopqrstuvwxyz0123456789,")))),"")</f>
        <v/>
      </c>
      <c r="D756" s="15" t="str">
        <v/>
      </c>
      <c r="E756" s="16" t="str">
        <v/>
      </c>
      <c r="F756" s="15" t="str">
        <v/>
      </c>
      <c r="G756" s="20" t="str" cm="1">
        <f t="array" ref="G756">IF(TRIM(P756)="","",IF(SUM(COUNTIF(P756,{"*NLGD*","*FWG*"}))&gt;0,P756,IF(SUM(COUNTIF(P756,{"*GL*","*DGB*","*DGI*","*GT*","*CS*","*PWU*","*DBI*","*SWU*"}))=0,P756,IF(IFERROR(VALUE(SUBSTITUTE(SUBSTITUTE(O756,"W",""),"""","")),0)&gt;52,P756&amp;"-OVRSIZE-",P756))))</f>
        <v/>
      </c>
      <c r="H756" s="15" t="str">
        <v/>
      </c>
      <c r="I756" s="15" t="str">
        <v/>
      </c>
      <c r="J756" s="15" t="str">
        <v/>
      </c>
      <c r="K756" s="15" t="str">
        <v/>
      </c>
      <c r="L756" s="15" t="str">
        <v/>
      </c>
      <c r="M756" s="10" t="str">
        <v/>
      </c>
      <c r="N756" s="14"/>
      <c r="O756" s="15" t="str" cm="1">
        <f t="array" ref="O756">IFERROR(_xlfn.LET(
_xlpm.clean,TRIM(SUBSTITUTE(SUBSTITUTE(P756,CHAR(160),"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6" s="15"/>
      <c r="R756" t="str">
        <v/>
      </c>
      <c r="S756" t="str">
        <f t="shared" si="12"/>
        <v/>
      </c>
    </row>
    <row r="757" spans="1:19" ht="12.75">
      <c r="A757" s="15" t="str">
        <v/>
      </c>
      <c r="B757" s="15" t="str">
        <v/>
      </c>
      <c r="C757" s="15" t="str" cm="1">
        <f t="array" ref="C757">IFERROR(_xlfn.TEXTJOIN("",TRUE,_xlfn._xlws.FILTER(MID(S757,_xlfn.SEQUENCE(LEN(S757)),1),ISNUMBER(SEARCH(MID(S757,_xlfn.SEQUENCE(LEN(S757)),1),"ABCDEFGHIJKLMNOPQRSTUVWXYZabcdefghijklmnopqrstuvwxyz0123456789,")))),"")</f>
        <v/>
      </c>
      <c r="D757" s="15" t="str">
        <v/>
      </c>
      <c r="E757" s="16" t="str">
        <v/>
      </c>
      <c r="F757" s="15" t="str">
        <v/>
      </c>
      <c r="G757" s="20" t="str" cm="1">
        <f t="array" ref="G757">IF(TRIM(P757)="","",IF(SUM(COUNTIF(P757,{"*NLGD*","*FWG*"}))&gt;0,P757,IF(SUM(COUNTIF(P757,{"*GL*","*DGB*","*DGI*","*GT*","*CS*","*PWU*","*DBI*","*SWU*"}))=0,P757,IF(IFERROR(VALUE(SUBSTITUTE(SUBSTITUTE(O757,"W",""),"""","")),0)&gt;52,P757&amp;"-OVRSIZE-",P757))))</f>
        <v/>
      </c>
      <c r="H757" s="15" t="str">
        <v/>
      </c>
      <c r="I757" s="15" t="str">
        <v/>
      </c>
      <c r="J757" s="15" t="str">
        <v/>
      </c>
      <c r="K757" s="15" t="str">
        <v/>
      </c>
      <c r="L757" s="15" t="str">
        <v/>
      </c>
      <c r="M757" s="10" t="str">
        <v/>
      </c>
      <c r="N757" s="14"/>
      <c r="O757" s="15" t="str" cm="1">
        <f t="array" ref="O757">IFERROR(_xlfn.LET(
_xlpm.clean,TRIM(SUBSTITUTE(SUBSTITUTE(P757,CHAR(160),"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7" s="15"/>
      <c r="R757" t="str">
        <v/>
      </c>
      <c r="S757" t="str">
        <f t="shared" si="12"/>
        <v/>
      </c>
    </row>
    <row r="758" spans="1:19" ht="12.75">
      <c r="A758" s="15" t="str">
        <v/>
      </c>
      <c r="B758" s="15" t="str">
        <v/>
      </c>
      <c r="C758" s="15" t="str" cm="1">
        <f t="array" ref="C758">IFERROR(_xlfn.TEXTJOIN("",TRUE,_xlfn._xlws.FILTER(MID(S758,_xlfn.SEQUENCE(LEN(S758)),1),ISNUMBER(SEARCH(MID(S758,_xlfn.SEQUENCE(LEN(S758)),1),"ABCDEFGHIJKLMNOPQRSTUVWXYZabcdefghijklmnopqrstuvwxyz0123456789,")))),"")</f>
        <v/>
      </c>
      <c r="D758" s="15" t="str">
        <v/>
      </c>
      <c r="E758" s="16" t="str">
        <v/>
      </c>
      <c r="F758" s="15" t="str">
        <v/>
      </c>
      <c r="G758" s="20" t="str" cm="1">
        <f t="array" ref="G758">IF(TRIM(P758)="","",IF(SUM(COUNTIF(P758,{"*NLGD*","*FWG*"}))&gt;0,P758,IF(SUM(COUNTIF(P758,{"*GL*","*DGB*","*DGI*","*GT*","*CS*","*PWU*","*DBI*","*SWU*"}))=0,P758,IF(IFERROR(VALUE(SUBSTITUTE(SUBSTITUTE(O758,"W",""),"""","")),0)&gt;52,P758&amp;"-OVRSIZE-",P758))))</f>
        <v/>
      </c>
      <c r="H758" s="15" t="str">
        <v/>
      </c>
      <c r="I758" s="15" t="str">
        <v/>
      </c>
      <c r="J758" s="15" t="str">
        <v/>
      </c>
      <c r="K758" s="15" t="str">
        <v/>
      </c>
      <c r="L758" s="15" t="str">
        <v/>
      </c>
      <c r="M758" s="10" t="str">
        <v/>
      </c>
      <c r="N758" s="14"/>
      <c r="O758" s="15" t="str" cm="1">
        <f t="array" ref="O758">IFERROR(_xlfn.LET(
_xlpm.clean,TRIM(SUBSTITUTE(SUBSTITUTE(P758,CHAR(160),"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8" s="15"/>
      <c r="R758" t="str">
        <v/>
      </c>
      <c r="S758" t="str">
        <f t="shared" si="12"/>
        <v/>
      </c>
    </row>
    <row r="759" spans="1:19" ht="12.75">
      <c r="A759" s="15" t="str">
        <v/>
      </c>
      <c r="B759" s="15" t="str">
        <v/>
      </c>
      <c r="C759" s="15" t="str" cm="1">
        <f t="array" ref="C759">IFERROR(_xlfn.TEXTJOIN("",TRUE,_xlfn._xlws.FILTER(MID(S759,_xlfn.SEQUENCE(LEN(S759)),1),ISNUMBER(SEARCH(MID(S759,_xlfn.SEQUENCE(LEN(S759)),1),"ABCDEFGHIJKLMNOPQRSTUVWXYZabcdefghijklmnopqrstuvwxyz0123456789,")))),"")</f>
        <v/>
      </c>
      <c r="D759" s="15" t="str">
        <v/>
      </c>
      <c r="E759" s="16" t="str">
        <v/>
      </c>
      <c r="F759" s="15" t="str">
        <v/>
      </c>
      <c r="G759" s="20" t="str" cm="1">
        <f t="array" ref="G759">IF(TRIM(P759)="","",IF(SUM(COUNTIF(P759,{"*NLGD*","*FWG*"}))&gt;0,P759,IF(SUM(COUNTIF(P759,{"*GL*","*DGB*","*DGI*","*GT*","*CS*","*PWU*","*DBI*","*SWU*"}))=0,P759,IF(IFERROR(VALUE(SUBSTITUTE(SUBSTITUTE(O759,"W",""),"""","")),0)&gt;52,P759&amp;"-OVRSIZE-",P759))))</f>
        <v/>
      </c>
      <c r="H759" s="15" t="str">
        <v/>
      </c>
      <c r="I759" s="15" t="str">
        <v/>
      </c>
      <c r="J759" s="15" t="str">
        <v/>
      </c>
      <c r="K759" s="15" t="str">
        <v/>
      </c>
      <c r="L759" s="15" t="str">
        <v/>
      </c>
      <c r="M759" s="10" t="str">
        <v/>
      </c>
      <c r="N759" s="14"/>
      <c r="O759" s="15" t="str" cm="1">
        <f t="array" ref="O759">IFERROR(_xlfn.LET(
_xlpm.clean,TRIM(SUBSTITUTE(SUBSTITUTE(P759,CHAR(160),"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9" s="15"/>
      <c r="R759" t="str">
        <v/>
      </c>
      <c r="S759" t="str">
        <f t="shared" si="12"/>
        <v/>
      </c>
    </row>
    <row r="760" spans="1:19" ht="12.75">
      <c r="A760" s="15" t="str">
        <v/>
      </c>
      <c r="B760" s="15" t="str">
        <v/>
      </c>
      <c r="C760" s="15" t="str" cm="1">
        <f t="array" ref="C760">IFERROR(_xlfn.TEXTJOIN("",TRUE,_xlfn._xlws.FILTER(MID(S760,_xlfn.SEQUENCE(LEN(S760)),1),ISNUMBER(SEARCH(MID(S760,_xlfn.SEQUENCE(LEN(S760)),1),"ABCDEFGHIJKLMNOPQRSTUVWXYZabcdefghijklmnopqrstuvwxyz0123456789,")))),"")</f>
        <v/>
      </c>
      <c r="D760" s="15" t="str">
        <v/>
      </c>
      <c r="E760" s="16" t="str">
        <v/>
      </c>
      <c r="F760" s="15" t="str">
        <v/>
      </c>
      <c r="G760" s="20" t="str" cm="1">
        <f t="array" ref="G760">IF(TRIM(P760)="","",IF(SUM(COUNTIF(P760,{"*NLGD*","*FWG*"}))&gt;0,P760,IF(SUM(COUNTIF(P760,{"*GL*","*DGB*","*DGI*","*GT*","*CS*","*PWU*","*DBI*","*SWU*"}))=0,P760,IF(IFERROR(VALUE(SUBSTITUTE(SUBSTITUTE(O760,"W",""),"""","")),0)&gt;52,P760&amp;"-OVRSIZE-",P760))))</f>
        <v/>
      </c>
      <c r="H760" s="15" t="str">
        <v/>
      </c>
      <c r="I760" s="15" t="str">
        <v/>
      </c>
      <c r="J760" s="15" t="str">
        <v/>
      </c>
      <c r="K760" s="15" t="str">
        <v/>
      </c>
      <c r="L760" s="15" t="str">
        <v/>
      </c>
      <c r="M760" s="10" t="str">
        <v/>
      </c>
      <c r="N760" s="14"/>
      <c r="O760" s="15" t="str" cm="1">
        <f t="array" ref="O760">IFERROR(_xlfn.LET(
_xlpm.clean,TRIM(SUBSTITUTE(SUBSTITUTE(P760,CHAR(160),"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0" s="15"/>
      <c r="R760" t="str">
        <v/>
      </c>
      <c r="S760" t="str">
        <f t="shared" si="12"/>
        <v/>
      </c>
    </row>
    <row r="761" spans="1:19" ht="12.75">
      <c r="A761" s="15" t="str">
        <v/>
      </c>
      <c r="B761" s="15" t="str">
        <v/>
      </c>
      <c r="C761" s="15" t="str" cm="1">
        <f t="array" ref="C761">IFERROR(_xlfn.TEXTJOIN("",TRUE,_xlfn._xlws.FILTER(MID(S761,_xlfn.SEQUENCE(LEN(S761)),1),ISNUMBER(SEARCH(MID(S761,_xlfn.SEQUENCE(LEN(S761)),1),"ABCDEFGHIJKLMNOPQRSTUVWXYZabcdefghijklmnopqrstuvwxyz0123456789,")))),"")</f>
        <v/>
      </c>
      <c r="D761" s="15" t="str">
        <v/>
      </c>
      <c r="E761" s="16" t="str">
        <v/>
      </c>
      <c r="F761" s="15" t="str">
        <v/>
      </c>
      <c r="G761" s="20" t="str" cm="1">
        <f t="array" ref="G761">IF(TRIM(P761)="","",IF(SUM(COUNTIF(P761,{"*NLGD*","*FWG*"}))&gt;0,P761,IF(SUM(COUNTIF(P761,{"*GL*","*DGB*","*DGI*","*GT*","*CS*","*PWU*","*DBI*","*SWU*"}))=0,P761,IF(IFERROR(VALUE(SUBSTITUTE(SUBSTITUTE(O761,"W",""),"""","")),0)&gt;52,P761&amp;"-OVRSIZE-",P761))))</f>
        <v/>
      </c>
      <c r="H761" s="15" t="str">
        <v/>
      </c>
      <c r="I761" s="15" t="str">
        <v/>
      </c>
      <c r="J761" s="15" t="str">
        <v/>
      </c>
      <c r="K761" s="15" t="str">
        <v/>
      </c>
      <c r="L761" s="15" t="str">
        <v/>
      </c>
      <c r="M761" s="10" t="str">
        <v/>
      </c>
      <c r="N761" s="14"/>
      <c r="O761" s="15" t="str" cm="1">
        <f t="array" ref="O761">IFERROR(_xlfn.LET(
_xlpm.clean,TRIM(SUBSTITUTE(SUBSTITUTE(P761,CHAR(160),"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1" s="15"/>
      <c r="R761" t="str">
        <v/>
      </c>
      <c r="S761" t="str">
        <f t="shared" si="12"/>
        <v/>
      </c>
    </row>
    <row r="762" spans="1:19" ht="12.75">
      <c r="A762" s="15" t="str">
        <v/>
      </c>
      <c r="B762" s="15" t="str">
        <v/>
      </c>
      <c r="C762" s="15" t="str" cm="1">
        <f t="array" ref="C762">IFERROR(_xlfn.TEXTJOIN("",TRUE,_xlfn._xlws.FILTER(MID(S762,_xlfn.SEQUENCE(LEN(S762)),1),ISNUMBER(SEARCH(MID(S762,_xlfn.SEQUENCE(LEN(S762)),1),"ABCDEFGHIJKLMNOPQRSTUVWXYZabcdefghijklmnopqrstuvwxyz0123456789,")))),"")</f>
        <v/>
      </c>
      <c r="D762" s="15" t="str">
        <v/>
      </c>
      <c r="E762" s="16" t="str">
        <v/>
      </c>
      <c r="F762" s="15" t="str">
        <v/>
      </c>
      <c r="G762" s="20" t="str" cm="1">
        <f t="array" ref="G762">IF(TRIM(P762)="","",IF(SUM(COUNTIF(P762,{"*NLGD*","*FWG*"}))&gt;0,P762,IF(SUM(COUNTIF(P762,{"*GL*","*DGB*","*DGI*","*GT*","*CS*","*PWU*","*DBI*","*SWU*"}))=0,P762,IF(IFERROR(VALUE(SUBSTITUTE(SUBSTITUTE(O762,"W",""),"""","")),0)&gt;52,P762&amp;"-OVRSIZE-",P762))))</f>
        <v/>
      </c>
      <c r="H762" s="15" t="str">
        <v/>
      </c>
      <c r="I762" s="15" t="str">
        <v/>
      </c>
      <c r="J762" s="15" t="str">
        <v/>
      </c>
      <c r="K762" s="15" t="str">
        <v/>
      </c>
      <c r="L762" s="15" t="str">
        <v/>
      </c>
      <c r="M762" s="10" t="str">
        <v/>
      </c>
      <c r="N762" s="14"/>
      <c r="O762" s="15" t="str" cm="1">
        <f t="array" ref="O762">IFERROR(_xlfn.LET(
_xlpm.clean,TRIM(SUBSTITUTE(SUBSTITUTE(P762,CHAR(160),"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2" s="15"/>
      <c r="R762" t="str">
        <v/>
      </c>
      <c r="S762" t="str">
        <f t="shared" si="12"/>
        <v/>
      </c>
    </row>
    <row r="763" spans="1:19" ht="12.75">
      <c r="A763" s="15" t="str">
        <v/>
      </c>
      <c r="B763" s="15" t="str">
        <v/>
      </c>
      <c r="C763" s="15" t="str" cm="1">
        <f t="array" ref="C763">IFERROR(_xlfn.TEXTJOIN("",TRUE,_xlfn._xlws.FILTER(MID(S763,_xlfn.SEQUENCE(LEN(S763)),1),ISNUMBER(SEARCH(MID(S763,_xlfn.SEQUENCE(LEN(S763)),1),"ABCDEFGHIJKLMNOPQRSTUVWXYZabcdefghijklmnopqrstuvwxyz0123456789,")))),"")</f>
        <v/>
      </c>
      <c r="D763" s="15" t="str">
        <v/>
      </c>
      <c r="E763" s="16" t="str">
        <v/>
      </c>
      <c r="F763" s="15" t="str">
        <v/>
      </c>
      <c r="G763" s="20" t="str" cm="1">
        <f t="array" ref="G763">IF(TRIM(P763)="","",IF(SUM(COUNTIF(P763,{"*NLGD*","*FWG*"}))&gt;0,P763,IF(SUM(COUNTIF(P763,{"*GL*","*DGB*","*DGI*","*GT*","*CS*","*PWU*","*DBI*","*SWU*"}))=0,P763,IF(IFERROR(VALUE(SUBSTITUTE(SUBSTITUTE(O763,"W",""),"""","")),0)&gt;52,P763&amp;"-OVRSIZE-",P763))))</f>
        <v/>
      </c>
      <c r="H763" s="15" t="str">
        <v/>
      </c>
      <c r="I763" s="15" t="str">
        <v/>
      </c>
      <c r="J763" s="15" t="str">
        <v/>
      </c>
      <c r="K763" s="15" t="str">
        <v/>
      </c>
      <c r="L763" s="15" t="str">
        <v/>
      </c>
      <c r="M763" s="10" t="str">
        <v/>
      </c>
      <c r="N763" s="14"/>
      <c r="O763" s="15" t="str" cm="1">
        <f t="array" ref="O763">IFERROR(_xlfn.LET(
_xlpm.clean,TRIM(SUBSTITUTE(SUBSTITUTE(P763,CHAR(160),"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3" s="15"/>
      <c r="R763" t="str">
        <v/>
      </c>
      <c r="S763" t="str">
        <f t="shared" si="12"/>
        <v/>
      </c>
    </row>
    <row r="764" spans="1:19" ht="12.75">
      <c r="A764" s="15" t="str">
        <v/>
      </c>
      <c r="B764" s="15" t="str">
        <v/>
      </c>
      <c r="C764" s="15" t="str" cm="1">
        <f t="array" ref="C764">IFERROR(_xlfn.TEXTJOIN("",TRUE,_xlfn._xlws.FILTER(MID(S764,_xlfn.SEQUENCE(LEN(S764)),1),ISNUMBER(SEARCH(MID(S764,_xlfn.SEQUENCE(LEN(S764)),1),"ABCDEFGHIJKLMNOPQRSTUVWXYZabcdefghijklmnopqrstuvwxyz0123456789,")))),"")</f>
        <v/>
      </c>
      <c r="D764" s="15" t="str">
        <v/>
      </c>
      <c r="E764" s="16" t="str">
        <v/>
      </c>
      <c r="F764" s="15" t="str">
        <v/>
      </c>
      <c r="G764" s="20" t="str" cm="1">
        <f t="array" ref="G764">IF(TRIM(P764)="","",IF(SUM(COUNTIF(P764,{"*NLGD*","*FWG*"}))&gt;0,P764,IF(SUM(COUNTIF(P764,{"*GL*","*DGB*","*DGI*","*GT*","*CS*","*PWU*","*DBI*","*SWU*"}))=0,P764,IF(IFERROR(VALUE(SUBSTITUTE(SUBSTITUTE(O764,"W",""),"""","")),0)&gt;52,P764&amp;"-OVRSIZE-",P764))))</f>
        <v/>
      </c>
      <c r="H764" s="15" t="str">
        <v/>
      </c>
      <c r="I764" s="15" t="str">
        <v/>
      </c>
      <c r="J764" s="15" t="str">
        <v/>
      </c>
      <c r="K764" s="15" t="str">
        <v/>
      </c>
      <c r="L764" s="15" t="str">
        <v/>
      </c>
      <c r="M764" s="10" t="str">
        <v/>
      </c>
      <c r="N764" s="14"/>
      <c r="O764" s="15" t="str" cm="1">
        <f t="array" ref="O764">IFERROR(_xlfn.LET(
_xlpm.clean,TRIM(SUBSTITUTE(SUBSTITUTE(P764,CHAR(160),"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4" s="15"/>
      <c r="R764" t="str">
        <v/>
      </c>
      <c r="S764" t="str">
        <f t="shared" si="12"/>
        <v/>
      </c>
    </row>
    <row r="765" spans="1:19" ht="12.75">
      <c r="A765" s="15" t="str">
        <v/>
      </c>
      <c r="B765" s="15" t="str">
        <v/>
      </c>
      <c r="C765" s="15" t="str" cm="1">
        <f t="array" ref="C765">IFERROR(_xlfn.TEXTJOIN("",TRUE,_xlfn._xlws.FILTER(MID(S765,_xlfn.SEQUENCE(LEN(S765)),1),ISNUMBER(SEARCH(MID(S765,_xlfn.SEQUENCE(LEN(S765)),1),"ABCDEFGHIJKLMNOPQRSTUVWXYZabcdefghijklmnopqrstuvwxyz0123456789,")))),"")</f>
        <v/>
      </c>
      <c r="D765" s="15" t="str">
        <v/>
      </c>
      <c r="E765" s="16" t="str">
        <v/>
      </c>
      <c r="F765" s="15" t="str">
        <v/>
      </c>
      <c r="G765" s="20" t="str" cm="1">
        <f t="array" ref="G765">IF(TRIM(P765)="","",IF(SUM(COUNTIF(P765,{"*NLGD*","*FWG*"}))&gt;0,P765,IF(SUM(COUNTIF(P765,{"*GL*","*DGB*","*DGI*","*GT*","*CS*","*PWU*","*DBI*","*SWU*"}))=0,P765,IF(IFERROR(VALUE(SUBSTITUTE(SUBSTITUTE(O765,"W",""),"""","")),0)&gt;52,P765&amp;"-OVRSIZE-",P765))))</f>
        <v/>
      </c>
      <c r="H765" s="15" t="str">
        <v/>
      </c>
      <c r="I765" s="15" t="str">
        <v/>
      </c>
      <c r="J765" s="15" t="str">
        <v/>
      </c>
      <c r="K765" s="15" t="str">
        <v/>
      </c>
      <c r="L765" s="15" t="str">
        <v/>
      </c>
      <c r="M765" s="10" t="str">
        <v/>
      </c>
      <c r="N765" s="14"/>
      <c r="O765" s="15" t="str" cm="1">
        <f t="array" ref="O765">IFERROR(_xlfn.LET(
_xlpm.clean,TRIM(SUBSTITUTE(SUBSTITUTE(P765,CHAR(160),"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5" s="15"/>
      <c r="R765" t="str">
        <v/>
      </c>
      <c r="S765" t="str">
        <f t="shared" si="12"/>
        <v/>
      </c>
    </row>
    <row r="766" spans="1:19" ht="12.75">
      <c r="A766" s="15" t="str">
        <v/>
      </c>
      <c r="B766" s="15" t="str">
        <v/>
      </c>
      <c r="C766" s="15" t="str" cm="1">
        <f t="array" ref="C766">IFERROR(_xlfn.TEXTJOIN("",TRUE,_xlfn._xlws.FILTER(MID(S766,_xlfn.SEQUENCE(LEN(S766)),1),ISNUMBER(SEARCH(MID(S766,_xlfn.SEQUENCE(LEN(S766)),1),"ABCDEFGHIJKLMNOPQRSTUVWXYZabcdefghijklmnopqrstuvwxyz0123456789,")))),"")</f>
        <v/>
      </c>
      <c r="D766" s="15" t="str">
        <v/>
      </c>
      <c r="E766" s="16" t="str">
        <v/>
      </c>
      <c r="F766" s="15" t="str">
        <v/>
      </c>
      <c r="G766" s="20" t="str" cm="1">
        <f t="array" ref="G766">IF(TRIM(P766)="","",IF(SUM(COUNTIF(P766,{"*NLGD*","*FWG*"}))&gt;0,P766,IF(SUM(COUNTIF(P766,{"*GL*","*DGB*","*DGI*","*GT*","*CS*","*PWU*","*DBI*","*SWU*"}))=0,P766,IF(IFERROR(VALUE(SUBSTITUTE(SUBSTITUTE(O766,"W",""),"""","")),0)&gt;52,P766&amp;"-OVRSIZE-",P766))))</f>
        <v/>
      </c>
      <c r="H766" s="15" t="str">
        <v/>
      </c>
      <c r="I766" s="15" t="str">
        <v/>
      </c>
      <c r="J766" s="15" t="str">
        <v/>
      </c>
      <c r="K766" s="15" t="str">
        <v/>
      </c>
      <c r="L766" s="15" t="str">
        <v/>
      </c>
      <c r="M766" s="10" t="str">
        <v/>
      </c>
      <c r="N766" s="14"/>
      <c r="O766" s="15" t="str" cm="1">
        <f t="array" ref="O766">IFERROR(_xlfn.LET(
_xlpm.clean,TRIM(SUBSTITUTE(SUBSTITUTE(P766,CHAR(160),"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6" s="15"/>
      <c r="R766" t="str">
        <v/>
      </c>
      <c r="S766" t="str">
        <f t="shared" si="12"/>
        <v/>
      </c>
    </row>
    <row r="767" spans="1:19" ht="12.75">
      <c r="A767" s="15" t="str">
        <v/>
      </c>
      <c r="B767" s="15" t="str">
        <v/>
      </c>
      <c r="C767" s="15" t="str" cm="1">
        <f t="array" ref="C767">IFERROR(_xlfn.TEXTJOIN("",TRUE,_xlfn._xlws.FILTER(MID(S767,_xlfn.SEQUENCE(LEN(S767)),1),ISNUMBER(SEARCH(MID(S767,_xlfn.SEQUENCE(LEN(S767)),1),"ABCDEFGHIJKLMNOPQRSTUVWXYZabcdefghijklmnopqrstuvwxyz0123456789,")))),"")</f>
        <v/>
      </c>
      <c r="D767" s="15" t="str">
        <v/>
      </c>
      <c r="E767" s="16" t="str">
        <v/>
      </c>
      <c r="F767" s="15" t="str">
        <v/>
      </c>
      <c r="G767" s="20" t="str" cm="1">
        <f t="array" ref="G767">IF(TRIM(P767)="","",IF(SUM(COUNTIF(P767,{"*NLGD*","*FWG*"}))&gt;0,P767,IF(SUM(COUNTIF(P767,{"*GL*","*DGB*","*DGI*","*GT*","*CS*","*PWU*","*DBI*","*SWU*"}))=0,P767,IF(IFERROR(VALUE(SUBSTITUTE(SUBSTITUTE(O767,"W",""),"""","")),0)&gt;52,P767&amp;"-OVRSIZE-",P767))))</f>
        <v/>
      </c>
      <c r="H767" s="15" t="str">
        <v/>
      </c>
      <c r="I767" s="15" t="str">
        <v/>
      </c>
      <c r="J767" s="15" t="str">
        <v/>
      </c>
      <c r="K767" s="15" t="str">
        <v/>
      </c>
      <c r="L767" s="15" t="str">
        <v/>
      </c>
      <c r="M767" s="10" t="str">
        <v/>
      </c>
      <c r="N767" s="14"/>
      <c r="O767" s="15" t="str" cm="1">
        <f t="array" ref="O767">IFERROR(_xlfn.LET(
_xlpm.clean,TRIM(SUBSTITUTE(SUBSTITUTE(P767,CHAR(160),"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7" s="15"/>
      <c r="R767" t="str">
        <v/>
      </c>
      <c r="S767" t="str">
        <f t="shared" si="12"/>
        <v/>
      </c>
    </row>
    <row r="768" spans="1:19" ht="12.75">
      <c r="A768" s="15" t="str">
        <v/>
      </c>
      <c r="B768" s="15" t="str">
        <v/>
      </c>
      <c r="C768" s="15" t="str" cm="1">
        <f t="array" ref="C768">IFERROR(_xlfn.TEXTJOIN("",TRUE,_xlfn._xlws.FILTER(MID(S768,_xlfn.SEQUENCE(LEN(S768)),1),ISNUMBER(SEARCH(MID(S768,_xlfn.SEQUENCE(LEN(S768)),1),"ABCDEFGHIJKLMNOPQRSTUVWXYZabcdefghijklmnopqrstuvwxyz0123456789,")))),"")</f>
        <v/>
      </c>
      <c r="D768" s="15" t="str">
        <v/>
      </c>
      <c r="E768" s="16" t="str">
        <v/>
      </c>
      <c r="F768" s="15" t="str">
        <v/>
      </c>
      <c r="G768" s="20" t="str" cm="1">
        <f t="array" ref="G768">IF(TRIM(P768)="","",IF(SUM(COUNTIF(P768,{"*NLGD*","*FWG*"}))&gt;0,P768,IF(SUM(COUNTIF(P768,{"*GL*","*DGB*","*DGI*","*GT*","*CS*","*PWU*","*DBI*","*SWU*"}))=0,P768,IF(IFERROR(VALUE(SUBSTITUTE(SUBSTITUTE(O768,"W",""),"""","")),0)&gt;52,P768&amp;"-OVRSIZE-",P768))))</f>
        <v/>
      </c>
      <c r="H768" s="15" t="str">
        <v/>
      </c>
      <c r="I768" s="15" t="str">
        <v/>
      </c>
      <c r="J768" s="15" t="str">
        <v/>
      </c>
      <c r="K768" s="15" t="str">
        <v/>
      </c>
      <c r="L768" s="15" t="str">
        <v/>
      </c>
      <c r="M768" s="10" t="str">
        <v/>
      </c>
      <c r="N768" s="14"/>
      <c r="O768" s="15" t="str" cm="1">
        <f t="array" ref="O768">IFERROR(_xlfn.LET(
_xlpm.clean,TRIM(SUBSTITUTE(SUBSTITUTE(P768,CHAR(160),"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8" s="15"/>
      <c r="R768" t="str">
        <v/>
      </c>
      <c r="S768" t="str">
        <f t="shared" si="12"/>
        <v/>
      </c>
    </row>
    <row r="769" spans="1:19" ht="12.75">
      <c r="A769" s="15" t="str">
        <v/>
      </c>
      <c r="B769" s="15" t="str">
        <v/>
      </c>
      <c r="C769" s="15" t="str" cm="1">
        <f t="array" ref="C769">IFERROR(_xlfn.TEXTJOIN("",TRUE,_xlfn._xlws.FILTER(MID(S769,_xlfn.SEQUENCE(LEN(S769)),1),ISNUMBER(SEARCH(MID(S769,_xlfn.SEQUENCE(LEN(S769)),1),"ABCDEFGHIJKLMNOPQRSTUVWXYZabcdefghijklmnopqrstuvwxyz0123456789,")))),"")</f>
        <v/>
      </c>
      <c r="D769" s="15" t="str">
        <v/>
      </c>
      <c r="E769" s="16" t="str">
        <v/>
      </c>
      <c r="F769" s="15" t="str">
        <v/>
      </c>
      <c r="G769" s="20" t="str" cm="1">
        <f t="array" ref="G769">IF(TRIM(P769)="","",IF(SUM(COUNTIF(P769,{"*NLGD*","*FWG*"}))&gt;0,P769,IF(SUM(COUNTIF(P769,{"*GL*","*DGB*","*DGI*","*GT*","*CS*","*PWU*","*DBI*","*SWU*"}))=0,P769,IF(IFERROR(VALUE(SUBSTITUTE(SUBSTITUTE(O769,"W",""),"""","")),0)&gt;52,P769&amp;"-OVRSIZE-",P769))))</f>
        <v/>
      </c>
      <c r="H769" s="15" t="str">
        <v/>
      </c>
      <c r="I769" s="15" t="str">
        <v/>
      </c>
      <c r="J769" s="15" t="str">
        <v/>
      </c>
      <c r="K769" s="15" t="str">
        <v/>
      </c>
      <c r="L769" s="15" t="str">
        <v/>
      </c>
      <c r="M769" s="10" t="str">
        <v/>
      </c>
      <c r="N769" s="14"/>
      <c r="O769" s="15" t="str" cm="1">
        <f t="array" ref="O769">IFERROR(_xlfn.LET(
_xlpm.clean,TRIM(SUBSTITUTE(SUBSTITUTE(P769,CHAR(160),"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9" s="15"/>
      <c r="R769" t="str">
        <v/>
      </c>
      <c r="S769" t="str">
        <f t="shared" si="12"/>
        <v/>
      </c>
    </row>
    <row r="770" spans="1:19" ht="12.75">
      <c r="A770" s="15" t="str">
        <v/>
      </c>
      <c r="B770" s="15" t="str">
        <v/>
      </c>
      <c r="C770" s="15" t="str" cm="1">
        <f t="array" ref="C770">IFERROR(_xlfn.TEXTJOIN("",TRUE,_xlfn._xlws.FILTER(MID(S770,_xlfn.SEQUENCE(LEN(S770)),1),ISNUMBER(SEARCH(MID(S770,_xlfn.SEQUENCE(LEN(S770)),1),"ABCDEFGHIJKLMNOPQRSTUVWXYZabcdefghijklmnopqrstuvwxyz0123456789,")))),"")</f>
        <v/>
      </c>
      <c r="D770" s="15" t="str">
        <v/>
      </c>
      <c r="E770" s="16" t="str">
        <v/>
      </c>
      <c r="F770" s="15" t="str">
        <v/>
      </c>
      <c r="G770" s="20" t="str" cm="1">
        <f t="array" ref="G770">IF(TRIM(P770)="","",IF(SUM(COUNTIF(P770,{"*NLGD*","*FWG*"}))&gt;0,P770,IF(SUM(COUNTIF(P770,{"*GL*","*DGB*","*DGI*","*GT*","*CS*","*PWU*","*DBI*","*SWU*"}))=0,P770,IF(IFERROR(VALUE(SUBSTITUTE(SUBSTITUTE(O770,"W",""),"""","")),0)&gt;52,P770&amp;"-OVRSIZE-",P770))))</f>
        <v/>
      </c>
      <c r="H770" s="15" t="str">
        <v/>
      </c>
      <c r="I770" s="15" t="str">
        <v/>
      </c>
      <c r="J770" s="15" t="str">
        <v/>
      </c>
      <c r="K770" s="15" t="str">
        <v/>
      </c>
      <c r="L770" s="15" t="str">
        <v/>
      </c>
      <c r="M770" s="10" t="str">
        <v/>
      </c>
      <c r="N770" s="14"/>
      <c r="O770" s="15" t="str" cm="1">
        <f t="array" ref="O770">IFERROR(_xlfn.LET(
_xlpm.clean,TRIM(SUBSTITUTE(SUBSTITUTE(P770,CHAR(160),"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0" s="15"/>
      <c r="R770" t="str">
        <v/>
      </c>
      <c r="S770" t="str">
        <f t="shared" si="12"/>
        <v/>
      </c>
    </row>
    <row r="771" spans="1:19" ht="12.75">
      <c r="A771" s="15" t="str">
        <v/>
      </c>
      <c r="B771" s="15" t="str">
        <v/>
      </c>
      <c r="C771" s="15" t="str" cm="1">
        <f t="array" ref="C771">IFERROR(_xlfn.TEXTJOIN("",TRUE,_xlfn._xlws.FILTER(MID(S771,_xlfn.SEQUENCE(LEN(S771)),1),ISNUMBER(SEARCH(MID(S771,_xlfn.SEQUENCE(LEN(S771)),1),"ABCDEFGHIJKLMNOPQRSTUVWXYZabcdefghijklmnopqrstuvwxyz0123456789,")))),"")</f>
        <v/>
      </c>
      <c r="D771" s="15" t="str">
        <v/>
      </c>
      <c r="E771" s="16" t="str">
        <v/>
      </c>
      <c r="F771" s="15" t="str">
        <v/>
      </c>
      <c r="G771" s="20" t="str" cm="1">
        <f t="array" ref="G771">IF(TRIM(P771)="","",IF(SUM(COUNTIF(P771,{"*NLGD*","*FWG*"}))&gt;0,P771,IF(SUM(COUNTIF(P771,{"*GL*","*DGB*","*DGI*","*GT*","*CS*","*PWU*","*DBI*","*SWU*"}))=0,P771,IF(IFERROR(VALUE(SUBSTITUTE(SUBSTITUTE(O771,"W",""),"""","")),0)&gt;52,P771&amp;"-OVRSIZE-",P771))))</f>
        <v/>
      </c>
      <c r="H771" s="15" t="str">
        <v/>
      </c>
      <c r="I771" s="15" t="str">
        <v/>
      </c>
      <c r="J771" s="15" t="str">
        <v/>
      </c>
      <c r="K771" s="15" t="str">
        <v/>
      </c>
      <c r="L771" s="15" t="str">
        <v/>
      </c>
      <c r="M771" s="10" t="str">
        <v/>
      </c>
      <c r="N771" s="14"/>
      <c r="O771" s="15" t="str" cm="1">
        <f t="array" ref="O771">IFERROR(_xlfn.LET(
_xlpm.clean,TRIM(SUBSTITUTE(SUBSTITUTE(P771,CHAR(160),"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1" s="15"/>
      <c r="R771" t="str">
        <v/>
      </c>
      <c r="S771" t="str">
        <f t="shared" si="12"/>
        <v/>
      </c>
    </row>
    <row r="772" spans="1:19" ht="12.75">
      <c r="A772" s="15" t="str">
        <v/>
      </c>
      <c r="B772" s="15" t="str">
        <v/>
      </c>
      <c r="C772" s="15" t="str" cm="1">
        <f t="array" ref="C772">IFERROR(_xlfn.TEXTJOIN("",TRUE,_xlfn._xlws.FILTER(MID(S772,_xlfn.SEQUENCE(LEN(S772)),1),ISNUMBER(SEARCH(MID(S772,_xlfn.SEQUENCE(LEN(S772)),1),"ABCDEFGHIJKLMNOPQRSTUVWXYZabcdefghijklmnopqrstuvwxyz0123456789,")))),"")</f>
        <v/>
      </c>
      <c r="D772" s="15" t="str">
        <v/>
      </c>
      <c r="E772" s="16" t="str">
        <v/>
      </c>
      <c r="F772" s="15" t="str">
        <v/>
      </c>
      <c r="G772" s="20" t="str" cm="1">
        <f t="array" ref="G772">IF(TRIM(P772)="","",IF(SUM(COUNTIF(P772,{"*NLGD*","*FWG*"}))&gt;0,P772,IF(SUM(COUNTIF(P772,{"*GL*","*DGB*","*DGI*","*GT*","*CS*","*PWU*","*DBI*","*SWU*"}))=0,P772,IF(IFERROR(VALUE(SUBSTITUTE(SUBSTITUTE(O772,"W",""),"""","")),0)&gt;52,P772&amp;"-OVRSIZE-",P772))))</f>
        <v/>
      </c>
      <c r="H772" s="15" t="str">
        <v/>
      </c>
      <c r="I772" s="15" t="str">
        <v/>
      </c>
      <c r="J772" s="15" t="str">
        <v/>
      </c>
      <c r="K772" s="15" t="str">
        <v/>
      </c>
      <c r="L772" s="15" t="str">
        <v/>
      </c>
      <c r="M772" s="10" t="str">
        <v/>
      </c>
      <c r="N772" s="14"/>
      <c r="O772" s="15" t="str" cm="1">
        <f t="array" ref="O772">IFERROR(_xlfn.LET(
_xlpm.clean,TRIM(SUBSTITUTE(SUBSTITUTE(P772,CHAR(160),"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2" s="15"/>
      <c r="R772" t="str">
        <v/>
      </c>
      <c r="S772" t="str">
        <f t="shared" si="12"/>
        <v/>
      </c>
    </row>
    <row r="773" spans="1:19" ht="12.75">
      <c r="A773" s="15" t="str">
        <v/>
      </c>
      <c r="B773" s="15" t="str">
        <v/>
      </c>
      <c r="C773" s="15" t="str" cm="1">
        <f t="array" ref="C773">IFERROR(_xlfn.TEXTJOIN("",TRUE,_xlfn._xlws.FILTER(MID(S773,_xlfn.SEQUENCE(LEN(S773)),1),ISNUMBER(SEARCH(MID(S773,_xlfn.SEQUENCE(LEN(S773)),1),"ABCDEFGHIJKLMNOPQRSTUVWXYZabcdefghijklmnopqrstuvwxyz0123456789,")))),"")</f>
        <v/>
      </c>
      <c r="D773" s="15" t="str">
        <v/>
      </c>
      <c r="E773" s="16" t="str">
        <v/>
      </c>
      <c r="F773" s="15" t="str">
        <v/>
      </c>
      <c r="G773" s="20" t="str" cm="1">
        <f t="array" ref="G773">IF(TRIM(P773)="","",IF(SUM(COUNTIF(P773,{"*NLGD*","*FWG*"}))&gt;0,P773,IF(SUM(COUNTIF(P773,{"*GL*","*DGB*","*DGI*","*GT*","*CS*","*PWU*","*DBI*","*SWU*"}))=0,P773,IF(IFERROR(VALUE(SUBSTITUTE(SUBSTITUTE(O773,"W",""),"""","")),0)&gt;52,P773&amp;"-OVRSIZE-",P773))))</f>
        <v/>
      </c>
      <c r="H773" s="15" t="str">
        <v/>
      </c>
      <c r="I773" s="15" t="str">
        <v/>
      </c>
      <c r="J773" s="15" t="str">
        <v/>
      </c>
      <c r="K773" s="15" t="str">
        <v/>
      </c>
      <c r="L773" s="15" t="str">
        <v/>
      </c>
      <c r="M773" s="10" t="str">
        <v/>
      </c>
      <c r="N773" s="14"/>
      <c r="O773" s="15" t="str" cm="1">
        <f t="array" ref="O773">IFERROR(_xlfn.LET(
_xlpm.clean,TRIM(SUBSTITUTE(SUBSTITUTE(P773,CHAR(160),"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3" s="15"/>
      <c r="R773" t="str">
        <v/>
      </c>
      <c r="S773" t="str">
        <f t="shared" si="12"/>
        <v/>
      </c>
    </row>
    <row r="774" spans="1:19" ht="12.75">
      <c r="A774" s="15" t="str">
        <v/>
      </c>
      <c r="B774" s="15" t="str">
        <v/>
      </c>
      <c r="C774" s="15" t="str" cm="1">
        <f t="array" ref="C774">IFERROR(_xlfn.TEXTJOIN("",TRUE,_xlfn._xlws.FILTER(MID(S774,_xlfn.SEQUENCE(LEN(S774)),1),ISNUMBER(SEARCH(MID(S774,_xlfn.SEQUENCE(LEN(S774)),1),"ABCDEFGHIJKLMNOPQRSTUVWXYZabcdefghijklmnopqrstuvwxyz0123456789,")))),"")</f>
        <v/>
      </c>
      <c r="D774" s="15" t="str">
        <v/>
      </c>
      <c r="E774" s="16" t="str">
        <v/>
      </c>
      <c r="F774" s="15" t="str">
        <v/>
      </c>
      <c r="G774" s="20" t="str" cm="1">
        <f t="array" ref="G774">IF(TRIM(P774)="","",IF(SUM(COUNTIF(P774,{"*NLGD*","*FWG*"}))&gt;0,P774,IF(SUM(COUNTIF(P774,{"*GL*","*DGB*","*DGI*","*GT*","*CS*","*PWU*","*DBI*","*SWU*"}))=0,P774,IF(IFERROR(VALUE(SUBSTITUTE(SUBSTITUTE(O774,"W",""),"""","")),0)&gt;52,P774&amp;"-OVRSIZE-",P774))))</f>
        <v/>
      </c>
      <c r="H774" s="15" t="str">
        <v/>
      </c>
      <c r="I774" s="15" t="str">
        <v/>
      </c>
      <c r="J774" s="15" t="str">
        <v/>
      </c>
      <c r="K774" s="15" t="str">
        <v/>
      </c>
      <c r="L774" s="15" t="str">
        <v/>
      </c>
      <c r="M774" s="10" t="str">
        <v/>
      </c>
      <c r="N774" s="14"/>
      <c r="O774" s="15" t="str" cm="1">
        <f t="array" ref="O774">IFERROR(_xlfn.LET(
_xlpm.clean,TRIM(SUBSTITUTE(SUBSTITUTE(P774,CHAR(160),"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4" s="15"/>
      <c r="R774" t="str">
        <v/>
      </c>
      <c r="S774" t="str">
        <f t="shared" si="12"/>
        <v/>
      </c>
    </row>
    <row r="775" spans="1:19" ht="12.75">
      <c r="A775" s="15" t="str">
        <v/>
      </c>
      <c r="B775" s="15" t="str">
        <v/>
      </c>
      <c r="C775" s="15" t="str" cm="1">
        <f t="array" ref="C775">IFERROR(_xlfn.TEXTJOIN("",TRUE,_xlfn._xlws.FILTER(MID(S775,_xlfn.SEQUENCE(LEN(S775)),1),ISNUMBER(SEARCH(MID(S775,_xlfn.SEQUENCE(LEN(S775)),1),"ABCDEFGHIJKLMNOPQRSTUVWXYZabcdefghijklmnopqrstuvwxyz0123456789,")))),"")</f>
        <v/>
      </c>
      <c r="D775" s="15" t="str">
        <v/>
      </c>
      <c r="E775" s="16" t="str">
        <v/>
      </c>
      <c r="F775" s="15" t="str">
        <v/>
      </c>
      <c r="G775" s="20" t="str" cm="1">
        <f t="array" ref="G775">IF(TRIM(P775)="","",IF(SUM(COUNTIF(P775,{"*NLGD*","*FWG*"}))&gt;0,P775,IF(SUM(COUNTIF(P775,{"*GL*","*DGB*","*DGI*","*GT*","*CS*","*PWU*","*DBI*","*SWU*"}))=0,P775,IF(IFERROR(VALUE(SUBSTITUTE(SUBSTITUTE(O775,"W",""),"""","")),0)&gt;52,P775&amp;"-OVRSIZE-",P775))))</f>
        <v/>
      </c>
      <c r="H775" s="15" t="str">
        <v/>
      </c>
      <c r="I775" s="15" t="str">
        <v/>
      </c>
      <c r="J775" s="15" t="str">
        <v/>
      </c>
      <c r="K775" s="15" t="str">
        <v/>
      </c>
      <c r="L775" s="15" t="str">
        <v/>
      </c>
      <c r="M775" s="10" t="str">
        <v/>
      </c>
      <c r="N775" s="14"/>
      <c r="O775" s="15" t="str" cm="1">
        <f t="array" ref="O775">IFERROR(_xlfn.LET(
_xlpm.clean,TRIM(SUBSTITUTE(SUBSTITUTE(P775,CHAR(160),"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5" s="15"/>
      <c r="R775" t="str">
        <v/>
      </c>
      <c r="S775" t="str">
        <f t="shared" si="12"/>
        <v/>
      </c>
    </row>
    <row r="776" spans="1:19" ht="12.75">
      <c r="A776" s="15" t="str">
        <v/>
      </c>
      <c r="B776" s="15" t="str">
        <v/>
      </c>
      <c r="C776" s="15" t="str" cm="1">
        <f t="array" ref="C776">IFERROR(_xlfn.TEXTJOIN("",TRUE,_xlfn._xlws.FILTER(MID(S776,_xlfn.SEQUENCE(LEN(S776)),1),ISNUMBER(SEARCH(MID(S776,_xlfn.SEQUENCE(LEN(S776)),1),"ABCDEFGHIJKLMNOPQRSTUVWXYZabcdefghijklmnopqrstuvwxyz0123456789,")))),"")</f>
        <v/>
      </c>
      <c r="D776" s="15" t="str">
        <v/>
      </c>
      <c r="E776" s="16" t="str">
        <v/>
      </c>
      <c r="F776" s="15" t="str">
        <v/>
      </c>
      <c r="G776" s="20" t="str" cm="1">
        <f t="array" ref="G776">IF(TRIM(P776)="","",IF(SUM(COUNTIF(P776,{"*NLGD*","*FWG*"}))&gt;0,P776,IF(SUM(COUNTIF(P776,{"*GL*","*DGB*","*DGI*","*GT*","*CS*","*PWU*","*DBI*","*SWU*"}))=0,P776,IF(IFERROR(VALUE(SUBSTITUTE(SUBSTITUTE(O776,"W",""),"""","")),0)&gt;52,P776&amp;"-OVRSIZE-",P776))))</f>
        <v/>
      </c>
      <c r="H776" s="15" t="str">
        <v/>
      </c>
      <c r="I776" s="15" t="str">
        <v/>
      </c>
      <c r="J776" s="15" t="str">
        <v/>
      </c>
      <c r="K776" s="15" t="str">
        <v/>
      </c>
      <c r="L776" s="15" t="str">
        <v/>
      </c>
      <c r="M776" s="10" t="str">
        <v/>
      </c>
      <c r="N776" s="14"/>
      <c r="O776" s="15" t="str" cm="1">
        <f t="array" ref="O776">IFERROR(_xlfn.LET(
_xlpm.clean,TRIM(SUBSTITUTE(SUBSTITUTE(P776,CHAR(160),"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6" s="15"/>
      <c r="R776" t="str">
        <v/>
      </c>
      <c r="S776" t="str">
        <f t="shared" ref="S776:S839" si="13">IF(R776="","",_xlfn.LET(
_xlpm.x,TRIM(SUBSTITUTE(SUBSTITUTE(SUBSTITUTE(SUBSTITUTE(R776,":","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777" spans="1:19" ht="12.75">
      <c r="A777" s="15" t="str">
        <v/>
      </c>
      <c r="B777" s="15" t="str">
        <v/>
      </c>
      <c r="C777" s="15" t="str" cm="1">
        <f t="array" ref="C777">IFERROR(_xlfn.TEXTJOIN("",TRUE,_xlfn._xlws.FILTER(MID(S777,_xlfn.SEQUENCE(LEN(S777)),1),ISNUMBER(SEARCH(MID(S777,_xlfn.SEQUENCE(LEN(S777)),1),"ABCDEFGHIJKLMNOPQRSTUVWXYZabcdefghijklmnopqrstuvwxyz0123456789,")))),"")</f>
        <v/>
      </c>
      <c r="D777" s="15" t="str">
        <v/>
      </c>
      <c r="E777" s="16" t="str">
        <v/>
      </c>
      <c r="F777" s="15" t="str">
        <v/>
      </c>
      <c r="G777" s="20" t="str" cm="1">
        <f t="array" ref="G777">IF(TRIM(P777)="","",IF(SUM(COUNTIF(P777,{"*NLGD*","*FWG*"}))&gt;0,P777,IF(SUM(COUNTIF(P777,{"*GL*","*DGB*","*DGI*","*GT*","*CS*","*PWU*","*DBI*","*SWU*"}))=0,P777,IF(IFERROR(VALUE(SUBSTITUTE(SUBSTITUTE(O777,"W",""),"""","")),0)&gt;52,P777&amp;"-OVRSIZE-",P777))))</f>
        <v/>
      </c>
      <c r="H777" s="15" t="str">
        <v/>
      </c>
      <c r="I777" s="15" t="str">
        <v/>
      </c>
      <c r="J777" s="15" t="str">
        <v/>
      </c>
      <c r="K777" s="15" t="str">
        <v/>
      </c>
      <c r="L777" s="15" t="str">
        <v/>
      </c>
      <c r="M777" s="10" t="str">
        <v/>
      </c>
      <c r="N777" s="14"/>
      <c r="O777" s="15" t="str" cm="1">
        <f t="array" ref="O777">IFERROR(_xlfn.LET(
_xlpm.clean,TRIM(SUBSTITUTE(SUBSTITUTE(P777,CHAR(160),"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7" s="15"/>
      <c r="R777" t="str">
        <v/>
      </c>
      <c r="S777" t="str">
        <f t="shared" si="13"/>
        <v/>
      </c>
    </row>
    <row r="778" spans="1:19" ht="12.75">
      <c r="A778" s="15" t="str">
        <v/>
      </c>
      <c r="B778" s="15" t="str">
        <v/>
      </c>
      <c r="C778" s="15" t="str" cm="1">
        <f t="array" ref="C778">IFERROR(_xlfn.TEXTJOIN("",TRUE,_xlfn._xlws.FILTER(MID(S778,_xlfn.SEQUENCE(LEN(S778)),1),ISNUMBER(SEARCH(MID(S778,_xlfn.SEQUENCE(LEN(S778)),1),"ABCDEFGHIJKLMNOPQRSTUVWXYZabcdefghijklmnopqrstuvwxyz0123456789,")))),"")</f>
        <v/>
      </c>
      <c r="D778" s="15" t="str">
        <v/>
      </c>
      <c r="E778" s="16" t="str">
        <v/>
      </c>
      <c r="F778" s="15" t="str">
        <v/>
      </c>
      <c r="G778" s="20" t="str" cm="1">
        <f t="array" ref="G778">IF(TRIM(P778)="","",IF(SUM(COUNTIF(P778,{"*NLGD*","*FWG*"}))&gt;0,P778,IF(SUM(COUNTIF(P778,{"*GL*","*DGB*","*DGI*","*GT*","*CS*","*PWU*","*DBI*","*SWU*"}))=0,P778,IF(IFERROR(VALUE(SUBSTITUTE(SUBSTITUTE(O778,"W",""),"""","")),0)&gt;52,P778&amp;"-OVRSIZE-",P778))))</f>
        <v/>
      </c>
      <c r="H778" s="15" t="str">
        <v/>
      </c>
      <c r="I778" s="15" t="str">
        <v/>
      </c>
      <c r="J778" s="15" t="str">
        <v/>
      </c>
      <c r="K778" s="15" t="str">
        <v/>
      </c>
      <c r="L778" s="15" t="str">
        <v/>
      </c>
      <c r="M778" s="10" t="str">
        <v/>
      </c>
      <c r="N778" s="14"/>
      <c r="O778" s="15" t="str" cm="1">
        <f t="array" ref="O778">IFERROR(_xlfn.LET(
_xlpm.clean,TRIM(SUBSTITUTE(SUBSTITUTE(P778,CHAR(160),"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8" s="15"/>
      <c r="R778" t="str">
        <v/>
      </c>
      <c r="S778" t="str">
        <f t="shared" si="13"/>
        <v/>
      </c>
    </row>
    <row r="779" spans="1:19" ht="12.75">
      <c r="A779" s="15" t="str">
        <v/>
      </c>
      <c r="B779" s="15" t="str">
        <v/>
      </c>
      <c r="C779" s="15" t="str" cm="1">
        <f t="array" ref="C779">IFERROR(_xlfn.TEXTJOIN("",TRUE,_xlfn._xlws.FILTER(MID(S779,_xlfn.SEQUENCE(LEN(S779)),1),ISNUMBER(SEARCH(MID(S779,_xlfn.SEQUENCE(LEN(S779)),1),"ABCDEFGHIJKLMNOPQRSTUVWXYZabcdefghijklmnopqrstuvwxyz0123456789,")))),"")</f>
        <v/>
      </c>
      <c r="D779" s="15" t="str">
        <v/>
      </c>
      <c r="E779" s="16" t="str">
        <v/>
      </c>
      <c r="F779" s="15" t="str">
        <v/>
      </c>
      <c r="G779" s="20" t="str" cm="1">
        <f t="array" ref="G779">IF(TRIM(P779)="","",IF(SUM(COUNTIF(P779,{"*NLGD*","*FWG*"}))&gt;0,P779,IF(SUM(COUNTIF(P779,{"*GL*","*DGB*","*DGI*","*GT*","*CS*","*PWU*","*DBI*","*SWU*"}))=0,P779,IF(IFERROR(VALUE(SUBSTITUTE(SUBSTITUTE(O779,"W",""),"""","")),0)&gt;52,P779&amp;"-OVRSIZE-",P779))))</f>
        <v/>
      </c>
      <c r="H779" s="15" t="str">
        <v/>
      </c>
      <c r="I779" s="15" t="str">
        <v/>
      </c>
      <c r="J779" s="15" t="str">
        <v/>
      </c>
      <c r="K779" s="15" t="str">
        <v/>
      </c>
      <c r="L779" s="15" t="str">
        <v/>
      </c>
      <c r="M779" s="10" t="str">
        <v/>
      </c>
      <c r="N779" s="14"/>
      <c r="O779" s="15" t="str" cm="1">
        <f t="array" ref="O779">IFERROR(_xlfn.LET(
_xlpm.clean,TRIM(SUBSTITUTE(SUBSTITUTE(P779,CHAR(160),"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9" s="15"/>
      <c r="R779" t="str">
        <v/>
      </c>
      <c r="S779" t="str">
        <f t="shared" si="13"/>
        <v/>
      </c>
    </row>
    <row r="780" spans="1:19" ht="12.75">
      <c r="A780" s="15" t="str">
        <v/>
      </c>
      <c r="B780" s="15" t="str">
        <v/>
      </c>
      <c r="C780" s="15" t="str" cm="1">
        <f t="array" ref="C780">IFERROR(_xlfn.TEXTJOIN("",TRUE,_xlfn._xlws.FILTER(MID(S780,_xlfn.SEQUENCE(LEN(S780)),1),ISNUMBER(SEARCH(MID(S780,_xlfn.SEQUENCE(LEN(S780)),1),"ABCDEFGHIJKLMNOPQRSTUVWXYZabcdefghijklmnopqrstuvwxyz0123456789,")))),"")</f>
        <v/>
      </c>
      <c r="D780" s="15" t="str">
        <v/>
      </c>
      <c r="E780" s="16" t="str">
        <v/>
      </c>
      <c r="F780" s="15" t="str">
        <v/>
      </c>
      <c r="G780" s="20" t="str" cm="1">
        <f t="array" ref="G780">IF(TRIM(P780)="","",IF(SUM(COUNTIF(P780,{"*NLGD*","*FWG*"}))&gt;0,P780,IF(SUM(COUNTIF(P780,{"*GL*","*DGB*","*DGI*","*GT*","*CS*","*PWU*","*DBI*","*SWU*"}))=0,P780,IF(IFERROR(VALUE(SUBSTITUTE(SUBSTITUTE(O780,"W",""),"""","")),0)&gt;52,P780&amp;"-OVRSIZE-",P780))))</f>
        <v/>
      </c>
      <c r="H780" s="15" t="str">
        <v/>
      </c>
      <c r="I780" s="15" t="str">
        <v/>
      </c>
      <c r="J780" s="15" t="str">
        <v/>
      </c>
      <c r="K780" s="15" t="str">
        <v/>
      </c>
      <c r="L780" s="15" t="str">
        <v/>
      </c>
      <c r="M780" s="10" t="str">
        <v/>
      </c>
      <c r="N780" s="14"/>
      <c r="O780" s="15" t="str" cm="1">
        <f t="array" ref="O780">IFERROR(_xlfn.LET(
_xlpm.clean,TRIM(SUBSTITUTE(SUBSTITUTE(P780,CHAR(160),"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0" s="15"/>
      <c r="R780" t="str">
        <v/>
      </c>
      <c r="S780" t="str">
        <f t="shared" si="13"/>
        <v/>
      </c>
    </row>
    <row r="781" spans="1:19" ht="12.75">
      <c r="A781" s="15" t="str">
        <v/>
      </c>
      <c r="B781" s="15" t="str">
        <v/>
      </c>
      <c r="C781" s="15" t="str" cm="1">
        <f t="array" ref="C781">IFERROR(_xlfn.TEXTJOIN("",TRUE,_xlfn._xlws.FILTER(MID(S781,_xlfn.SEQUENCE(LEN(S781)),1),ISNUMBER(SEARCH(MID(S781,_xlfn.SEQUENCE(LEN(S781)),1),"ABCDEFGHIJKLMNOPQRSTUVWXYZabcdefghijklmnopqrstuvwxyz0123456789,")))),"")</f>
        <v/>
      </c>
      <c r="D781" s="15" t="str">
        <v/>
      </c>
      <c r="E781" s="16" t="str">
        <v/>
      </c>
      <c r="F781" s="15" t="str">
        <v/>
      </c>
      <c r="G781" s="20" t="str" cm="1">
        <f t="array" ref="G781">IF(TRIM(P781)="","",IF(SUM(COUNTIF(P781,{"*NLGD*","*FWG*"}))&gt;0,P781,IF(SUM(COUNTIF(P781,{"*GL*","*DGB*","*DGI*","*GT*","*CS*","*PWU*","*DBI*","*SWU*"}))=0,P781,IF(IFERROR(VALUE(SUBSTITUTE(SUBSTITUTE(O781,"W",""),"""","")),0)&gt;52,P781&amp;"-OVRSIZE-",P781))))</f>
        <v/>
      </c>
      <c r="H781" s="15" t="str">
        <v/>
      </c>
      <c r="I781" s="15" t="str">
        <v/>
      </c>
      <c r="J781" s="15" t="str">
        <v/>
      </c>
      <c r="K781" s="15" t="str">
        <v/>
      </c>
      <c r="L781" s="15" t="str">
        <v/>
      </c>
      <c r="M781" s="10" t="str">
        <v/>
      </c>
      <c r="N781" s="14"/>
      <c r="O781" s="15" t="str" cm="1">
        <f t="array" ref="O781">IFERROR(_xlfn.LET(
_xlpm.clean,TRIM(SUBSTITUTE(SUBSTITUTE(P781,CHAR(160),"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1" s="15"/>
      <c r="R781" t="str">
        <v/>
      </c>
      <c r="S781" t="str">
        <f t="shared" si="13"/>
        <v/>
      </c>
    </row>
    <row r="782" spans="1:19" ht="12.75">
      <c r="A782" s="15" t="str">
        <v/>
      </c>
      <c r="B782" s="15" t="str">
        <v/>
      </c>
      <c r="C782" s="15" t="str" cm="1">
        <f t="array" ref="C782">IFERROR(_xlfn.TEXTJOIN("",TRUE,_xlfn._xlws.FILTER(MID(S782,_xlfn.SEQUENCE(LEN(S782)),1),ISNUMBER(SEARCH(MID(S782,_xlfn.SEQUENCE(LEN(S782)),1),"ABCDEFGHIJKLMNOPQRSTUVWXYZabcdefghijklmnopqrstuvwxyz0123456789,")))),"")</f>
        <v/>
      </c>
      <c r="D782" s="15" t="str">
        <v/>
      </c>
      <c r="E782" s="16" t="str">
        <v/>
      </c>
      <c r="F782" s="15" t="str">
        <v/>
      </c>
      <c r="G782" s="20" t="str" cm="1">
        <f t="array" ref="G782">IF(TRIM(P782)="","",IF(SUM(COUNTIF(P782,{"*NLGD*","*FWG*"}))&gt;0,P782,IF(SUM(COUNTIF(P782,{"*GL*","*DGB*","*DGI*","*GT*","*CS*","*PWU*","*DBI*","*SWU*"}))=0,P782,IF(IFERROR(VALUE(SUBSTITUTE(SUBSTITUTE(O782,"W",""),"""","")),0)&gt;52,P782&amp;"-OVRSIZE-",P782))))</f>
        <v/>
      </c>
      <c r="H782" s="15" t="str">
        <v/>
      </c>
      <c r="I782" s="15" t="str">
        <v/>
      </c>
      <c r="J782" s="15" t="str">
        <v/>
      </c>
      <c r="K782" s="15" t="str">
        <v/>
      </c>
      <c r="L782" s="15" t="str">
        <v/>
      </c>
      <c r="M782" s="10" t="str">
        <v/>
      </c>
      <c r="N782" s="14"/>
      <c r="O782" s="15" t="str" cm="1">
        <f t="array" ref="O782">IFERROR(_xlfn.LET(
_xlpm.clean,TRIM(SUBSTITUTE(SUBSTITUTE(P782,CHAR(160),"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2" s="15"/>
      <c r="R782" t="str">
        <v/>
      </c>
      <c r="S782" t="str">
        <f t="shared" si="13"/>
        <v/>
      </c>
    </row>
    <row r="783" spans="1:19" ht="12.75">
      <c r="A783" s="15" t="str">
        <v/>
      </c>
      <c r="B783" s="15" t="str">
        <v/>
      </c>
      <c r="C783" s="15" t="str" cm="1">
        <f t="array" ref="C783">IFERROR(_xlfn.TEXTJOIN("",TRUE,_xlfn._xlws.FILTER(MID(S783,_xlfn.SEQUENCE(LEN(S783)),1),ISNUMBER(SEARCH(MID(S783,_xlfn.SEQUENCE(LEN(S783)),1),"ABCDEFGHIJKLMNOPQRSTUVWXYZabcdefghijklmnopqrstuvwxyz0123456789,")))),"")</f>
        <v/>
      </c>
      <c r="D783" s="15" t="str">
        <v/>
      </c>
      <c r="E783" s="16" t="str">
        <v/>
      </c>
      <c r="F783" s="15" t="str">
        <v/>
      </c>
      <c r="G783" s="20" t="str" cm="1">
        <f t="array" ref="G783">IF(TRIM(P783)="","",IF(SUM(COUNTIF(P783,{"*NLGD*","*FWG*"}))&gt;0,P783,IF(SUM(COUNTIF(P783,{"*GL*","*DGB*","*DGI*","*GT*","*CS*","*PWU*","*DBI*","*SWU*"}))=0,P783,IF(IFERROR(VALUE(SUBSTITUTE(SUBSTITUTE(O783,"W",""),"""","")),0)&gt;52,P783&amp;"-OVRSIZE-",P783))))</f>
        <v/>
      </c>
      <c r="H783" s="15" t="str">
        <v/>
      </c>
      <c r="I783" s="15" t="str">
        <v/>
      </c>
      <c r="J783" s="15" t="str">
        <v/>
      </c>
      <c r="K783" s="15" t="str">
        <v/>
      </c>
      <c r="L783" s="15" t="str">
        <v/>
      </c>
      <c r="M783" s="10" t="str">
        <v/>
      </c>
      <c r="N783" s="14"/>
      <c r="O783" s="15" t="str" cm="1">
        <f t="array" ref="O783">IFERROR(_xlfn.LET(
_xlpm.clean,TRIM(SUBSTITUTE(SUBSTITUTE(P783,CHAR(160),"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3" s="15"/>
      <c r="R783" t="str">
        <v/>
      </c>
      <c r="S783" t="str">
        <f t="shared" si="13"/>
        <v/>
      </c>
    </row>
    <row r="784" spans="1:19" ht="12.75">
      <c r="A784" s="15" t="str">
        <v/>
      </c>
      <c r="B784" s="15" t="str">
        <v/>
      </c>
      <c r="C784" s="15" t="str" cm="1">
        <f t="array" ref="C784">IFERROR(_xlfn.TEXTJOIN("",TRUE,_xlfn._xlws.FILTER(MID(S784,_xlfn.SEQUENCE(LEN(S784)),1),ISNUMBER(SEARCH(MID(S784,_xlfn.SEQUENCE(LEN(S784)),1),"ABCDEFGHIJKLMNOPQRSTUVWXYZabcdefghijklmnopqrstuvwxyz0123456789,")))),"")</f>
        <v/>
      </c>
      <c r="D784" s="15" t="str">
        <v/>
      </c>
      <c r="E784" s="16" t="str">
        <v/>
      </c>
      <c r="F784" s="15" t="str">
        <v/>
      </c>
      <c r="G784" s="20" t="str" cm="1">
        <f t="array" ref="G784">IF(TRIM(P784)="","",IF(SUM(COUNTIF(P784,{"*NLGD*","*FWG*"}))&gt;0,P784,IF(SUM(COUNTIF(P784,{"*GL*","*DGB*","*DGI*","*GT*","*CS*","*PWU*","*DBI*","*SWU*"}))=0,P784,IF(IFERROR(VALUE(SUBSTITUTE(SUBSTITUTE(O784,"W",""),"""","")),0)&gt;52,P784&amp;"-OVRSIZE-",P784))))</f>
        <v/>
      </c>
      <c r="H784" s="15" t="str">
        <v/>
      </c>
      <c r="I784" s="15" t="str">
        <v/>
      </c>
      <c r="J784" s="15" t="str">
        <v/>
      </c>
      <c r="K784" s="15" t="str">
        <v/>
      </c>
      <c r="L784" s="15" t="str">
        <v/>
      </c>
      <c r="M784" s="10" t="str">
        <v/>
      </c>
      <c r="N784" s="14"/>
      <c r="O784" s="15" t="str" cm="1">
        <f t="array" ref="O784">IFERROR(_xlfn.LET(
_xlpm.clean,TRIM(SUBSTITUTE(SUBSTITUTE(P784,CHAR(160),"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4" s="15"/>
      <c r="R784" t="str">
        <v/>
      </c>
      <c r="S784" t="str">
        <f t="shared" si="13"/>
        <v/>
      </c>
    </row>
    <row r="785" spans="1:19" ht="12.75">
      <c r="A785" s="15" t="str">
        <v/>
      </c>
      <c r="B785" s="15" t="str">
        <v/>
      </c>
      <c r="C785" s="15" t="str" cm="1">
        <f t="array" ref="C785">IFERROR(_xlfn.TEXTJOIN("",TRUE,_xlfn._xlws.FILTER(MID(S785,_xlfn.SEQUENCE(LEN(S785)),1),ISNUMBER(SEARCH(MID(S785,_xlfn.SEQUENCE(LEN(S785)),1),"ABCDEFGHIJKLMNOPQRSTUVWXYZabcdefghijklmnopqrstuvwxyz0123456789,")))),"")</f>
        <v/>
      </c>
      <c r="D785" s="15" t="str">
        <v/>
      </c>
      <c r="E785" s="16" t="str">
        <v/>
      </c>
      <c r="F785" s="15" t="str">
        <v/>
      </c>
      <c r="G785" s="20" t="str" cm="1">
        <f t="array" ref="G785">IF(TRIM(P785)="","",IF(SUM(COUNTIF(P785,{"*NLGD*","*FWG*"}))&gt;0,P785,IF(SUM(COUNTIF(P785,{"*GL*","*DGB*","*DGI*","*GT*","*CS*","*PWU*","*DBI*","*SWU*"}))=0,P785,IF(IFERROR(VALUE(SUBSTITUTE(SUBSTITUTE(O785,"W",""),"""","")),0)&gt;52,P785&amp;"-OVRSIZE-",P785))))</f>
        <v/>
      </c>
      <c r="H785" s="15" t="str">
        <v/>
      </c>
      <c r="I785" s="15" t="str">
        <v/>
      </c>
      <c r="J785" s="15" t="str">
        <v/>
      </c>
      <c r="K785" s="15" t="str">
        <v/>
      </c>
      <c r="L785" s="15" t="str">
        <v/>
      </c>
      <c r="M785" s="10" t="str">
        <v/>
      </c>
      <c r="N785" s="14"/>
      <c r="O785" s="15" t="str" cm="1">
        <f t="array" ref="O785">IFERROR(_xlfn.LET(
_xlpm.clean,TRIM(SUBSTITUTE(SUBSTITUTE(P785,CHAR(160),"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5" s="15"/>
      <c r="R785" t="str">
        <v/>
      </c>
      <c r="S785" t="str">
        <f t="shared" si="13"/>
        <v/>
      </c>
    </row>
    <row r="786" spans="1:19" ht="12.75">
      <c r="A786" s="15" t="str">
        <v/>
      </c>
      <c r="B786" s="15" t="str">
        <v/>
      </c>
      <c r="C786" s="15" t="str" cm="1">
        <f t="array" ref="C786">IFERROR(_xlfn.TEXTJOIN("",TRUE,_xlfn._xlws.FILTER(MID(S786,_xlfn.SEQUENCE(LEN(S786)),1),ISNUMBER(SEARCH(MID(S786,_xlfn.SEQUENCE(LEN(S786)),1),"ABCDEFGHIJKLMNOPQRSTUVWXYZabcdefghijklmnopqrstuvwxyz0123456789,")))),"")</f>
        <v/>
      </c>
      <c r="D786" s="15" t="str">
        <v/>
      </c>
      <c r="E786" s="16" t="str">
        <v/>
      </c>
      <c r="F786" s="15" t="str">
        <v/>
      </c>
      <c r="G786" s="20" t="str" cm="1">
        <f t="array" ref="G786">IF(TRIM(P786)="","",IF(SUM(COUNTIF(P786,{"*NLGD*","*FWG*"}))&gt;0,P786,IF(SUM(COUNTIF(P786,{"*GL*","*DGB*","*DGI*","*GT*","*CS*","*PWU*","*DBI*","*SWU*"}))=0,P786,IF(IFERROR(VALUE(SUBSTITUTE(SUBSTITUTE(O786,"W",""),"""","")),0)&gt;52,P786&amp;"-OVRSIZE-",P786))))</f>
        <v/>
      </c>
      <c r="H786" s="15" t="str">
        <v/>
      </c>
      <c r="I786" s="15" t="str">
        <v/>
      </c>
      <c r="J786" s="15" t="str">
        <v/>
      </c>
      <c r="K786" s="15" t="str">
        <v/>
      </c>
      <c r="L786" s="15" t="str">
        <v/>
      </c>
      <c r="M786" s="10" t="str">
        <v/>
      </c>
      <c r="N786" s="14"/>
      <c r="O786" s="15" t="str" cm="1">
        <f t="array" ref="O786">IFERROR(_xlfn.LET(
_xlpm.clean,TRIM(SUBSTITUTE(SUBSTITUTE(P786,CHAR(160),"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6" s="15"/>
      <c r="R786" t="str">
        <v/>
      </c>
      <c r="S786" t="str">
        <f t="shared" si="13"/>
        <v/>
      </c>
    </row>
    <row r="787" spans="1:19" ht="12.75">
      <c r="A787" s="15" t="str">
        <v/>
      </c>
      <c r="B787" s="15" t="str">
        <v/>
      </c>
      <c r="C787" s="15" t="str" cm="1">
        <f t="array" ref="C787">IFERROR(_xlfn.TEXTJOIN("",TRUE,_xlfn._xlws.FILTER(MID(S787,_xlfn.SEQUENCE(LEN(S787)),1),ISNUMBER(SEARCH(MID(S787,_xlfn.SEQUENCE(LEN(S787)),1),"ABCDEFGHIJKLMNOPQRSTUVWXYZabcdefghijklmnopqrstuvwxyz0123456789,")))),"")</f>
        <v/>
      </c>
      <c r="D787" s="15" t="str">
        <v/>
      </c>
      <c r="E787" s="16" t="str">
        <v/>
      </c>
      <c r="F787" s="15" t="str">
        <v/>
      </c>
      <c r="G787" s="20" t="str" cm="1">
        <f t="array" ref="G787">IF(TRIM(P787)="","",IF(SUM(COUNTIF(P787,{"*NLGD*","*FWG*"}))&gt;0,P787,IF(SUM(COUNTIF(P787,{"*GL*","*DGB*","*DGI*","*GT*","*CS*","*PWU*","*DBI*","*SWU*"}))=0,P787,IF(IFERROR(VALUE(SUBSTITUTE(SUBSTITUTE(O787,"W",""),"""","")),0)&gt;52,P787&amp;"-OVRSIZE-",P787))))</f>
        <v/>
      </c>
      <c r="H787" s="15" t="str">
        <v/>
      </c>
      <c r="I787" s="15" t="str">
        <v/>
      </c>
      <c r="J787" s="15" t="str">
        <v/>
      </c>
      <c r="K787" s="15" t="str">
        <v/>
      </c>
      <c r="L787" s="15" t="str">
        <v/>
      </c>
      <c r="M787" s="10" t="str">
        <v/>
      </c>
      <c r="N787" s="14"/>
      <c r="O787" s="15" t="str" cm="1">
        <f t="array" ref="O787">IFERROR(_xlfn.LET(
_xlpm.clean,TRIM(SUBSTITUTE(SUBSTITUTE(P787,CHAR(160),"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7" s="15"/>
      <c r="R787" t="str">
        <v/>
      </c>
      <c r="S787" t="str">
        <f t="shared" si="13"/>
        <v/>
      </c>
    </row>
    <row r="788" spans="1:19" ht="12.75">
      <c r="A788" s="15" t="str">
        <v/>
      </c>
      <c r="B788" s="15" t="str">
        <v/>
      </c>
      <c r="C788" s="15" t="str" cm="1">
        <f t="array" ref="C788">IFERROR(_xlfn.TEXTJOIN("",TRUE,_xlfn._xlws.FILTER(MID(S788,_xlfn.SEQUENCE(LEN(S788)),1),ISNUMBER(SEARCH(MID(S788,_xlfn.SEQUENCE(LEN(S788)),1),"ABCDEFGHIJKLMNOPQRSTUVWXYZabcdefghijklmnopqrstuvwxyz0123456789,")))),"")</f>
        <v/>
      </c>
      <c r="D788" s="15" t="str">
        <v/>
      </c>
      <c r="E788" s="16" t="str">
        <v/>
      </c>
      <c r="F788" s="15" t="str">
        <v/>
      </c>
      <c r="G788" s="20" t="str" cm="1">
        <f t="array" ref="G788">IF(TRIM(P788)="","",IF(SUM(COUNTIF(P788,{"*NLGD*","*FWG*"}))&gt;0,P788,IF(SUM(COUNTIF(P788,{"*GL*","*DGB*","*DGI*","*GT*","*CS*","*PWU*","*DBI*","*SWU*"}))=0,P788,IF(IFERROR(VALUE(SUBSTITUTE(SUBSTITUTE(O788,"W",""),"""","")),0)&gt;52,P788&amp;"-OVRSIZE-",P788))))</f>
        <v/>
      </c>
      <c r="H788" s="15" t="str">
        <v/>
      </c>
      <c r="I788" s="15" t="str">
        <v/>
      </c>
      <c r="J788" s="15" t="str">
        <v/>
      </c>
      <c r="K788" s="15" t="str">
        <v/>
      </c>
      <c r="L788" s="15" t="str">
        <v/>
      </c>
      <c r="M788" s="10" t="str">
        <v/>
      </c>
      <c r="N788" s="14"/>
      <c r="O788" s="15" t="str" cm="1">
        <f t="array" ref="O788">IFERROR(_xlfn.LET(
_xlpm.clean,TRIM(SUBSTITUTE(SUBSTITUTE(P788,CHAR(160),"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8" s="15"/>
      <c r="R788" t="str">
        <v/>
      </c>
      <c r="S788" t="str">
        <f t="shared" si="13"/>
        <v/>
      </c>
    </row>
    <row r="789" spans="1:19" ht="12.75">
      <c r="A789" s="15" t="str">
        <v/>
      </c>
      <c r="B789" s="15" t="str">
        <v/>
      </c>
      <c r="C789" s="15" t="str" cm="1">
        <f t="array" ref="C789">IFERROR(_xlfn.TEXTJOIN("",TRUE,_xlfn._xlws.FILTER(MID(S789,_xlfn.SEQUENCE(LEN(S789)),1),ISNUMBER(SEARCH(MID(S789,_xlfn.SEQUENCE(LEN(S789)),1),"ABCDEFGHIJKLMNOPQRSTUVWXYZabcdefghijklmnopqrstuvwxyz0123456789,")))),"")</f>
        <v/>
      </c>
      <c r="D789" s="15" t="str">
        <v/>
      </c>
      <c r="E789" s="16" t="str">
        <v/>
      </c>
      <c r="F789" s="15" t="str">
        <v/>
      </c>
      <c r="G789" s="20" t="str" cm="1">
        <f t="array" ref="G789">IF(TRIM(P789)="","",IF(SUM(COUNTIF(P789,{"*NLGD*","*FWG*"}))&gt;0,P789,IF(SUM(COUNTIF(P789,{"*GL*","*DGB*","*DGI*","*GT*","*CS*","*PWU*","*DBI*","*SWU*"}))=0,P789,IF(IFERROR(VALUE(SUBSTITUTE(SUBSTITUTE(O789,"W",""),"""","")),0)&gt;52,P789&amp;"-OVRSIZE-",P789))))</f>
        <v/>
      </c>
      <c r="H789" s="15" t="str">
        <v/>
      </c>
      <c r="I789" s="15" t="str">
        <v/>
      </c>
      <c r="J789" s="15" t="str">
        <v/>
      </c>
      <c r="K789" s="15" t="str">
        <v/>
      </c>
      <c r="L789" s="15" t="str">
        <v/>
      </c>
      <c r="M789" s="10" t="str">
        <v/>
      </c>
      <c r="N789" s="14"/>
      <c r="O789" s="15" t="str" cm="1">
        <f t="array" ref="O789">IFERROR(_xlfn.LET(
_xlpm.clean,TRIM(SUBSTITUTE(SUBSTITUTE(P789,CHAR(160),"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9" s="15"/>
      <c r="R789" t="str">
        <v/>
      </c>
      <c r="S789" t="str">
        <f t="shared" si="13"/>
        <v/>
      </c>
    </row>
    <row r="790" spans="1:19" ht="12.75">
      <c r="A790" s="15" t="str">
        <v/>
      </c>
      <c r="B790" s="15" t="str">
        <v/>
      </c>
      <c r="C790" s="15" t="str" cm="1">
        <f t="array" ref="C790">IFERROR(_xlfn.TEXTJOIN("",TRUE,_xlfn._xlws.FILTER(MID(S790,_xlfn.SEQUENCE(LEN(S790)),1),ISNUMBER(SEARCH(MID(S790,_xlfn.SEQUENCE(LEN(S790)),1),"ABCDEFGHIJKLMNOPQRSTUVWXYZabcdefghijklmnopqrstuvwxyz0123456789,")))),"")</f>
        <v/>
      </c>
      <c r="D790" s="15" t="str">
        <v/>
      </c>
      <c r="E790" s="16" t="str">
        <v/>
      </c>
      <c r="F790" s="15" t="str">
        <v/>
      </c>
      <c r="G790" s="20" t="str" cm="1">
        <f t="array" ref="G790">IF(TRIM(P790)="","",IF(SUM(COUNTIF(P790,{"*NLGD*","*FWG*"}))&gt;0,P790,IF(SUM(COUNTIF(P790,{"*GL*","*DGB*","*DGI*","*GT*","*CS*","*PWU*","*DBI*","*SWU*"}))=0,P790,IF(IFERROR(VALUE(SUBSTITUTE(SUBSTITUTE(O790,"W",""),"""","")),0)&gt;52,P790&amp;"-OVRSIZE-",P790))))</f>
        <v/>
      </c>
      <c r="H790" s="15" t="str">
        <v/>
      </c>
      <c r="I790" s="15" t="str">
        <v/>
      </c>
      <c r="J790" s="15" t="str">
        <v/>
      </c>
      <c r="K790" s="15" t="str">
        <v/>
      </c>
      <c r="L790" s="15" t="str">
        <v/>
      </c>
      <c r="M790" s="10" t="str">
        <v/>
      </c>
      <c r="N790" s="14"/>
      <c r="O790" s="15" t="str" cm="1">
        <f t="array" ref="O790">IFERROR(_xlfn.LET(
_xlpm.clean,TRIM(SUBSTITUTE(SUBSTITUTE(P790,CHAR(160),"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0" s="15"/>
      <c r="R790" t="str">
        <v/>
      </c>
      <c r="S790" t="str">
        <f t="shared" si="13"/>
        <v/>
      </c>
    </row>
    <row r="791" spans="1:19" ht="12.75">
      <c r="A791" s="15" t="str">
        <v/>
      </c>
      <c r="B791" s="15" t="str">
        <v/>
      </c>
      <c r="C791" s="15" t="str" cm="1">
        <f t="array" ref="C791">IFERROR(_xlfn.TEXTJOIN("",TRUE,_xlfn._xlws.FILTER(MID(S791,_xlfn.SEQUENCE(LEN(S791)),1),ISNUMBER(SEARCH(MID(S791,_xlfn.SEQUENCE(LEN(S791)),1),"ABCDEFGHIJKLMNOPQRSTUVWXYZabcdefghijklmnopqrstuvwxyz0123456789,")))),"")</f>
        <v/>
      </c>
      <c r="D791" s="15" t="str">
        <v/>
      </c>
      <c r="E791" s="16" t="str">
        <v/>
      </c>
      <c r="F791" s="15" t="str">
        <v/>
      </c>
      <c r="G791" s="20" t="str" cm="1">
        <f t="array" ref="G791">IF(TRIM(P791)="","",IF(SUM(COUNTIF(P791,{"*NLGD*","*FWG*"}))&gt;0,P791,IF(SUM(COUNTIF(P791,{"*GL*","*DGB*","*DGI*","*GT*","*CS*","*PWU*","*DBI*","*SWU*"}))=0,P791,IF(IFERROR(VALUE(SUBSTITUTE(SUBSTITUTE(O791,"W",""),"""","")),0)&gt;52,P791&amp;"-OVRSIZE-",P791))))</f>
        <v/>
      </c>
      <c r="H791" s="15" t="str">
        <v/>
      </c>
      <c r="I791" s="15" t="str">
        <v/>
      </c>
      <c r="J791" s="15" t="str">
        <v/>
      </c>
      <c r="K791" s="15" t="str">
        <v/>
      </c>
      <c r="L791" s="15" t="str">
        <v/>
      </c>
      <c r="M791" s="10" t="str">
        <v/>
      </c>
      <c r="N791" s="14"/>
      <c r="O791" s="15" t="str" cm="1">
        <f t="array" ref="O791">IFERROR(_xlfn.LET(
_xlpm.clean,TRIM(SUBSTITUTE(SUBSTITUTE(P791,CHAR(160),"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1" s="15"/>
      <c r="R791" t="str">
        <v/>
      </c>
      <c r="S791" t="str">
        <f t="shared" si="13"/>
        <v/>
      </c>
    </row>
    <row r="792" spans="1:19" ht="12.75">
      <c r="A792" s="15" t="str">
        <v/>
      </c>
      <c r="B792" s="15" t="str">
        <v/>
      </c>
      <c r="C792" s="15" t="str" cm="1">
        <f t="array" ref="C792">IFERROR(_xlfn.TEXTJOIN("",TRUE,_xlfn._xlws.FILTER(MID(S792,_xlfn.SEQUENCE(LEN(S792)),1),ISNUMBER(SEARCH(MID(S792,_xlfn.SEQUENCE(LEN(S792)),1),"ABCDEFGHIJKLMNOPQRSTUVWXYZabcdefghijklmnopqrstuvwxyz0123456789,")))),"")</f>
        <v/>
      </c>
      <c r="D792" s="15" t="str">
        <v/>
      </c>
      <c r="E792" s="16" t="str">
        <v/>
      </c>
      <c r="F792" s="15" t="str">
        <v/>
      </c>
      <c r="G792" s="20" t="str" cm="1">
        <f t="array" ref="G792">IF(TRIM(P792)="","",IF(SUM(COUNTIF(P792,{"*NLGD*","*FWG*"}))&gt;0,P792,IF(SUM(COUNTIF(P792,{"*GL*","*DGB*","*DGI*","*GT*","*CS*","*PWU*","*DBI*","*SWU*"}))=0,P792,IF(IFERROR(VALUE(SUBSTITUTE(SUBSTITUTE(O792,"W",""),"""","")),0)&gt;52,P792&amp;"-OVRSIZE-",P792))))</f>
        <v/>
      </c>
      <c r="H792" s="15" t="str">
        <v/>
      </c>
      <c r="I792" s="15" t="str">
        <v/>
      </c>
      <c r="J792" s="15" t="str">
        <v/>
      </c>
      <c r="K792" s="15" t="str">
        <v/>
      </c>
      <c r="L792" s="15" t="str">
        <v/>
      </c>
      <c r="M792" s="10" t="str">
        <v/>
      </c>
      <c r="N792" s="14"/>
      <c r="O792" s="15" t="str" cm="1">
        <f t="array" ref="O792">IFERROR(_xlfn.LET(
_xlpm.clean,TRIM(SUBSTITUTE(SUBSTITUTE(P792,CHAR(160),"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2" s="15"/>
      <c r="R792" t="str">
        <v/>
      </c>
      <c r="S792" t="str">
        <f t="shared" si="13"/>
        <v/>
      </c>
    </row>
    <row r="793" spans="1:19" ht="12.75">
      <c r="A793" s="15" t="str">
        <v/>
      </c>
      <c r="B793" s="15" t="str">
        <v/>
      </c>
      <c r="C793" s="15" t="str" cm="1">
        <f t="array" ref="C793">IFERROR(_xlfn.TEXTJOIN("",TRUE,_xlfn._xlws.FILTER(MID(S793,_xlfn.SEQUENCE(LEN(S793)),1),ISNUMBER(SEARCH(MID(S793,_xlfn.SEQUENCE(LEN(S793)),1),"ABCDEFGHIJKLMNOPQRSTUVWXYZabcdefghijklmnopqrstuvwxyz0123456789,")))),"")</f>
        <v/>
      </c>
      <c r="D793" s="15" t="str">
        <v/>
      </c>
      <c r="E793" s="16" t="str">
        <v/>
      </c>
      <c r="F793" s="15" t="str">
        <v/>
      </c>
      <c r="G793" s="20" t="str" cm="1">
        <f t="array" ref="G793">IF(TRIM(P793)="","",IF(SUM(COUNTIF(P793,{"*NLGD*","*FWG*"}))&gt;0,P793,IF(SUM(COUNTIF(P793,{"*GL*","*DGB*","*DGI*","*GT*","*CS*","*PWU*","*DBI*","*SWU*"}))=0,P793,IF(IFERROR(VALUE(SUBSTITUTE(SUBSTITUTE(O793,"W",""),"""","")),0)&gt;52,P793&amp;"-OVRSIZE-",P793))))</f>
        <v/>
      </c>
      <c r="H793" s="15" t="str">
        <v/>
      </c>
      <c r="I793" s="15" t="str">
        <v/>
      </c>
      <c r="J793" s="15" t="str">
        <v/>
      </c>
      <c r="K793" s="15" t="str">
        <v/>
      </c>
      <c r="L793" s="15" t="str">
        <v/>
      </c>
      <c r="M793" s="10" t="str">
        <v/>
      </c>
      <c r="N793" s="14"/>
      <c r="O793" s="15" t="str" cm="1">
        <f t="array" ref="O793">IFERROR(_xlfn.LET(
_xlpm.clean,TRIM(SUBSTITUTE(SUBSTITUTE(P793,CHAR(160),"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3" s="15"/>
      <c r="R793" t="str">
        <v/>
      </c>
      <c r="S793" t="str">
        <f t="shared" si="13"/>
        <v/>
      </c>
    </row>
    <row r="794" spans="1:19" ht="12.75">
      <c r="A794" s="15" t="str">
        <v/>
      </c>
      <c r="B794" s="15" t="str">
        <v/>
      </c>
      <c r="C794" s="15" t="str" cm="1">
        <f t="array" ref="C794">IFERROR(_xlfn.TEXTJOIN("",TRUE,_xlfn._xlws.FILTER(MID(S794,_xlfn.SEQUENCE(LEN(S794)),1),ISNUMBER(SEARCH(MID(S794,_xlfn.SEQUENCE(LEN(S794)),1),"ABCDEFGHIJKLMNOPQRSTUVWXYZabcdefghijklmnopqrstuvwxyz0123456789,")))),"")</f>
        <v/>
      </c>
      <c r="D794" s="15" t="str">
        <v/>
      </c>
      <c r="E794" s="16" t="str">
        <v/>
      </c>
      <c r="F794" s="15" t="str">
        <v/>
      </c>
      <c r="G794" s="20" t="str" cm="1">
        <f t="array" ref="G794">IF(TRIM(P794)="","",IF(SUM(COUNTIF(P794,{"*NLGD*","*FWG*"}))&gt;0,P794,IF(SUM(COUNTIF(P794,{"*GL*","*DGB*","*DGI*","*GT*","*CS*","*PWU*","*DBI*","*SWU*"}))=0,P794,IF(IFERROR(VALUE(SUBSTITUTE(SUBSTITUTE(O794,"W",""),"""","")),0)&gt;52,P794&amp;"-OVRSIZE-",P794))))</f>
        <v/>
      </c>
      <c r="H794" s="15" t="str">
        <v/>
      </c>
      <c r="I794" s="15" t="str">
        <v/>
      </c>
      <c r="J794" s="15" t="str">
        <v/>
      </c>
      <c r="K794" s="15" t="str">
        <v/>
      </c>
      <c r="L794" s="15" t="str">
        <v/>
      </c>
      <c r="M794" s="10" t="str">
        <v/>
      </c>
      <c r="N794" s="14"/>
      <c r="O794" s="15" t="str" cm="1">
        <f t="array" ref="O794">IFERROR(_xlfn.LET(
_xlpm.clean,TRIM(SUBSTITUTE(SUBSTITUTE(P794,CHAR(160),"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4" s="15"/>
      <c r="R794" t="str">
        <v/>
      </c>
      <c r="S794" t="str">
        <f t="shared" si="13"/>
        <v/>
      </c>
    </row>
    <row r="795" spans="1:19" ht="12.75">
      <c r="A795" s="15" t="str">
        <v/>
      </c>
      <c r="B795" s="15" t="str">
        <v/>
      </c>
      <c r="C795" s="15" t="str" cm="1">
        <f t="array" ref="C795">IFERROR(_xlfn.TEXTJOIN("",TRUE,_xlfn._xlws.FILTER(MID(S795,_xlfn.SEQUENCE(LEN(S795)),1),ISNUMBER(SEARCH(MID(S795,_xlfn.SEQUENCE(LEN(S795)),1),"ABCDEFGHIJKLMNOPQRSTUVWXYZabcdefghijklmnopqrstuvwxyz0123456789,")))),"")</f>
        <v/>
      </c>
      <c r="D795" s="15" t="str">
        <v/>
      </c>
      <c r="E795" s="16" t="str">
        <v/>
      </c>
      <c r="F795" s="15" t="str">
        <v/>
      </c>
      <c r="G795" s="20" t="str" cm="1">
        <f t="array" ref="G795">IF(TRIM(P795)="","",IF(SUM(COUNTIF(P795,{"*NLGD*","*FWG*"}))&gt;0,P795,IF(SUM(COUNTIF(P795,{"*GL*","*DGB*","*DGI*","*GT*","*CS*","*PWU*","*DBI*","*SWU*"}))=0,P795,IF(IFERROR(VALUE(SUBSTITUTE(SUBSTITUTE(O795,"W",""),"""","")),0)&gt;52,P795&amp;"-OVRSIZE-",P795))))</f>
        <v/>
      </c>
      <c r="H795" s="15" t="str">
        <v/>
      </c>
      <c r="I795" s="15" t="str">
        <v/>
      </c>
      <c r="J795" s="15" t="str">
        <v/>
      </c>
      <c r="K795" s="15" t="str">
        <v/>
      </c>
      <c r="L795" s="15" t="str">
        <v/>
      </c>
      <c r="M795" s="10" t="str">
        <v/>
      </c>
      <c r="N795" s="14"/>
      <c r="O795" s="15" t="str" cm="1">
        <f t="array" ref="O795">IFERROR(_xlfn.LET(
_xlpm.clean,TRIM(SUBSTITUTE(SUBSTITUTE(P795,CHAR(160),"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5" s="15"/>
      <c r="R795" t="str">
        <v/>
      </c>
      <c r="S795" t="str">
        <f t="shared" si="13"/>
        <v/>
      </c>
    </row>
    <row r="796" spans="1:19" ht="12.75">
      <c r="A796" s="15" t="str">
        <v/>
      </c>
      <c r="B796" s="15" t="str">
        <v/>
      </c>
      <c r="C796" s="15" t="str" cm="1">
        <f t="array" ref="C796">IFERROR(_xlfn.TEXTJOIN("",TRUE,_xlfn._xlws.FILTER(MID(S796,_xlfn.SEQUENCE(LEN(S796)),1),ISNUMBER(SEARCH(MID(S796,_xlfn.SEQUENCE(LEN(S796)),1),"ABCDEFGHIJKLMNOPQRSTUVWXYZabcdefghijklmnopqrstuvwxyz0123456789,")))),"")</f>
        <v/>
      </c>
      <c r="D796" s="15" t="str">
        <v/>
      </c>
      <c r="E796" s="16" t="str">
        <v/>
      </c>
      <c r="F796" s="15" t="str">
        <v/>
      </c>
      <c r="G796" s="20" t="str" cm="1">
        <f t="array" ref="G796">IF(TRIM(P796)="","",IF(SUM(COUNTIF(P796,{"*NLGD*","*FWG*"}))&gt;0,P796,IF(SUM(COUNTIF(P796,{"*GL*","*DGB*","*DGI*","*GT*","*CS*","*PWU*","*DBI*","*SWU*"}))=0,P796,IF(IFERROR(VALUE(SUBSTITUTE(SUBSTITUTE(O796,"W",""),"""","")),0)&gt;52,P796&amp;"-OVRSIZE-",P796))))</f>
        <v/>
      </c>
      <c r="H796" s="15" t="str">
        <v/>
      </c>
      <c r="I796" s="15" t="str">
        <v/>
      </c>
      <c r="J796" s="15" t="str">
        <v/>
      </c>
      <c r="K796" s="15" t="str">
        <v/>
      </c>
      <c r="L796" s="15" t="str">
        <v/>
      </c>
      <c r="M796" s="10" t="str">
        <v/>
      </c>
      <c r="N796" s="14"/>
      <c r="O796" s="15" t="str" cm="1">
        <f t="array" ref="O796">IFERROR(_xlfn.LET(
_xlpm.clean,TRIM(SUBSTITUTE(SUBSTITUTE(P796,CHAR(160),"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6" s="15"/>
      <c r="R796" t="str">
        <v/>
      </c>
      <c r="S796" t="str">
        <f t="shared" si="13"/>
        <v/>
      </c>
    </row>
    <row r="797" spans="1:19" ht="12.75">
      <c r="A797" s="15" t="str">
        <v/>
      </c>
      <c r="B797" s="15" t="str">
        <v/>
      </c>
      <c r="C797" s="15" t="str" cm="1">
        <f t="array" ref="C797">IFERROR(_xlfn.TEXTJOIN("",TRUE,_xlfn._xlws.FILTER(MID(S797,_xlfn.SEQUENCE(LEN(S797)),1),ISNUMBER(SEARCH(MID(S797,_xlfn.SEQUENCE(LEN(S797)),1),"ABCDEFGHIJKLMNOPQRSTUVWXYZabcdefghijklmnopqrstuvwxyz0123456789,")))),"")</f>
        <v/>
      </c>
      <c r="D797" s="15" t="str">
        <v/>
      </c>
      <c r="E797" s="16" t="str">
        <v/>
      </c>
      <c r="F797" s="15" t="str">
        <v/>
      </c>
      <c r="G797" s="20" t="str" cm="1">
        <f t="array" ref="G797">IF(TRIM(P797)="","",IF(SUM(COUNTIF(P797,{"*NLGD*","*FWG*"}))&gt;0,P797,IF(SUM(COUNTIF(P797,{"*GL*","*DGB*","*DGI*","*GT*","*CS*","*PWU*","*DBI*","*SWU*"}))=0,P797,IF(IFERROR(VALUE(SUBSTITUTE(SUBSTITUTE(O797,"W",""),"""","")),0)&gt;52,P797&amp;"-OVRSIZE-",P797))))</f>
        <v/>
      </c>
      <c r="H797" s="15" t="str">
        <v/>
      </c>
      <c r="I797" s="15" t="str">
        <v/>
      </c>
      <c r="J797" s="15" t="str">
        <v/>
      </c>
      <c r="K797" s="15" t="str">
        <v/>
      </c>
      <c r="L797" s="15" t="str">
        <v/>
      </c>
      <c r="M797" s="10" t="str">
        <v/>
      </c>
      <c r="N797" s="14"/>
      <c r="O797" s="15" t="str" cm="1">
        <f t="array" ref="O797">IFERROR(_xlfn.LET(
_xlpm.clean,TRIM(SUBSTITUTE(SUBSTITUTE(P797,CHAR(160),"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7" s="15"/>
      <c r="R797" t="str">
        <v/>
      </c>
      <c r="S797" t="str">
        <f t="shared" si="13"/>
        <v/>
      </c>
    </row>
    <row r="798" spans="1:19" ht="12.75">
      <c r="A798" s="15" t="str">
        <v/>
      </c>
      <c r="B798" s="15" t="str">
        <v/>
      </c>
      <c r="C798" s="15" t="str" cm="1">
        <f t="array" ref="C798">IFERROR(_xlfn.TEXTJOIN("",TRUE,_xlfn._xlws.FILTER(MID(S798,_xlfn.SEQUENCE(LEN(S798)),1),ISNUMBER(SEARCH(MID(S798,_xlfn.SEQUENCE(LEN(S798)),1),"ABCDEFGHIJKLMNOPQRSTUVWXYZabcdefghijklmnopqrstuvwxyz0123456789,")))),"")</f>
        <v/>
      </c>
      <c r="D798" s="15" t="str">
        <v/>
      </c>
      <c r="E798" s="16" t="str">
        <v/>
      </c>
      <c r="F798" s="15" t="str">
        <v/>
      </c>
      <c r="G798" s="20" t="str" cm="1">
        <f t="array" ref="G798">IF(TRIM(P798)="","",IF(SUM(COUNTIF(P798,{"*NLGD*","*FWG*"}))&gt;0,P798,IF(SUM(COUNTIF(P798,{"*GL*","*DGB*","*DGI*","*GT*","*CS*","*PWU*","*DBI*","*SWU*"}))=0,P798,IF(IFERROR(VALUE(SUBSTITUTE(SUBSTITUTE(O798,"W",""),"""","")),0)&gt;52,P798&amp;"-OVRSIZE-",P798))))</f>
        <v/>
      </c>
      <c r="H798" s="15" t="str">
        <v/>
      </c>
      <c r="I798" s="15" t="str">
        <v/>
      </c>
      <c r="J798" s="15" t="str">
        <v/>
      </c>
      <c r="K798" s="15" t="str">
        <v/>
      </c>
      <c r="L798" s="15" t="str">
        <v/>
      </c>
      <c r="M798" s="10" t="str">
        <v/>
      </c>
      <c r="N798" s="14"/>
      <c r="O798" s="15" t="str" cm="1">
        <f t="array" ref="O798">IFERROR(_xlfn.LET(
_xlpm.clean,TRIM(SUBSTITUTE(SUBSTITUTE(P798,CHAR(160),"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8" s="15"/>
      <c r="R798" t="str">
        <v/>
      </c>
      <c r="S798" t="str">
        <f t="shared" si="13"/>
        <v/>
      </c>
    </row>
    <row r="799" spans="1:19" ht="12.75">
      <c r="A799" s="15" t="str">
        <v/>
      </c>
      <c r="B799" s="15" t="str">
        <v/>
      </c>
      <c r="C799" s="15" t="str" cm="1">
        <f t="array" ref="C799">IFERROR(_xlfn.TEXTJOIN("",TRUE,_xlfn._xlws.FILTER(MID(S799,_xlfn.SEQUENCE(LEN(S799)),1),ISNUMBER(SEARCH(MID(S799,_xlfn.SEQUENCE(LEN(S799)),1),"ABCDEFGHIJKLMNOPQRSTUVWXYZabcdefghijklmnopqrstuvwxyz0123456789,")))),"")</f>
        <v/>
      </c>
      <c r="D799" s="15" t="str">
        <v/>
      </c>
      <c r="E799" s="16" t="str">
        <v/>
      </c>
      <c r="F799" s="15" t="str">
        <v/>
      </c>
      <c r="G799" s="20" t="str" cm="1">
        <f t="array" ref="G799">IF(TRIM(P799)="","",IF(SUM(COUNTIF(P799,{"*NLGD*","*FWG*"}))&gt;0,P799,IF(SUM(COUNTIF(P799,{"*GL*","*DGB*","*DGI*","*GT*","*CS*","*PWU*","*DBI*","*SWU*"}))=0,P799,IF(IFERROR(VALUE(SUBSTITUTE(SUBSTITUTE(O799,"W",""),"""","")),0)&gt;52,P799&amp;"-OVRSIZE-",P799))))</f>
        <v/>
      </c>
      <c r="H799" s="15" t="str">
        <v/>
      </c>
      <c r="I799" s="15" t="str">
        <v/>
      </c>
      <c r="J799" s="15" t="str">
        <v/>
      </c>
      <c r="K799" s="15" t="str">
        <v/>
      </c>
      <c r="L799" s="15" t="str">
        <v/>
      </c>
      <c r="M799" s="10" t="str">
        <v/>
      </c>
      <c r="N799" s="14"/>
      <c r="O799" s="15" t="str" cm="1">
        <f t="array" ref="O799">IFERROR(_xlfn.LET(
_xlpm.clean,TRIM(SUBSTITUTE(SUBSTITUTE(P799,CHAR(160),"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9" s="15"/>
      <c r="R799" t="str">
        <v/>
      </c>
      <c r="S799" t="str">
        <f t="shared" si="13"/>
        <v/>
      </c>
    </row>
    <row r="800" spans="1:19" ht="12.75">
      <c r="A800" s="15" t="str">
        <v/>
      </c>
      <c r="B800" s="15" t="str">
        <v/>
      </c>
      <c r="C800" s="15" t="str" cm="1">
        <f t="array" ref="C800">IFERROR(_xlfn.TEXTJOIN("",TRUE,_xlfn._xlws.FILTER(MID(S800,_xlfn.SEQUENCE(LEN(S800)),1),ISNUMBER(SEARCH(MID(S800,_xlfn.SEQUENCE(LEN(S800)),1),"ABCDEFGHIJKLMNOPQRSTUVWXYZabcdefghijklmnopqrstuvwxyz0123456789,")))),"")</f>
        <v/>
      </c>
      <c r="D800" s="15" t="str">
        <v/>
      </c>
      <c r="E800" s="16" t="str">
        <v/>
      </c>
      <c r="F800" s="15" t="str">
        <v/>
      </c>
      <c r="G800" s="20" t="str" cm="1">
        <f t="array" ref="G800">IF(TRIM(P800)="","",IF(SUM(COUNTIF(P800,{"*NLGD*","*FWG*"}))&gt;0,P800,IF(SUM(COUNTIF(P800,{"*GL*","*DGB*","*DGI*","*GT*","*CS*","*PWU*","*DBI*","*SWU*"}))=0,P800,IF(IFERROR(VALUE(SUBSTITUTE(SUBSTITUTE(O800,"W",""),"""","")),0)&gt;52,P800&amp;"-OVRSIZE-",P800))))</f>
        <v/>
      </c>
      <c r="H800" s="15" t="str">
        <v/>
      </c>
      <c r="I800" s="15" t="str">
        <v/>
      </c>
      <c r="J800" s="15" t="str">
        <v/>
      </c>
      <c r="K800" s="15" t="str">
        <v/>
      </c>
      <c r="L800" s="15" t="str">
        <v/>
      </c>
      <c r="M800" s="10" t="str">
        <v/>
      </c>
      <c r="N800" s="14"/>
      <c r="O800" s="15" t="str" cm="1">
        <f t="array" ref="O800">IFERROR(_xlfn.LET(
_xlpm.clean,TRIM(SUBSTITUTE(SUBSTITUTE(P800,CHAR(160),"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0" s="15"/>
      <c r="R800" t="str">
        <v/>
      </c>
      <c r="S800" t="str">
        <f t="shared" si="13"/>
        <v/>
      </c>
    </row>
    <row r="801" spans="1:19" ht="12.75">
      <c r="A801" s="15" t="str">
        <v/>
      </c>
      <c r="B801" s="15" t="str">
        <v/>
      </c>
      <c r="C801" s="15" t="str" cm="1">
        <f t="array" ref="C801">IFERROR(_xlfn.TEXTJOIN("",TRUE,_xlfn._xlws.FILTER(MID(S801,_xlfn.SEQUENCE(LEN(S801)),1),ISNUMBER(SEARCH(MID(S801,_xlfn.SEQUENCE(LEN(S801)),1),"ABCDEFGHIJKLMNOPQRSTUVWXYZabcdefghijklmnopqrstuvwxyz0123456789,")))),"")</f>
        <v/>
      </c>
      <c r="D801" s="15" t="str">
        <v/>
      </c>
      <c r="E801" s="16" t="str">
        <v/>
      </c>
      <c r="F801" s="15" t="str">
        <v/>
      </c>
      <c r="G801" s="20" t="str" cm="1">
        <f t="array" ref="G801">IF(TRIM(P801)="","",IF(SUM(COUNTIF(P801,{"*NLGD*","*FWG*"}))&gt;0,P801,IF(SUM(COUNTIF(P801,{"*GL*","*DGB*","*DGI*","*GT*","*CS*","*PWU*","*DBI*","*SWU*"}))=0,P801,IF(IFERROR(VALUE(SUBSTITUTE(SUBSTITUTE(O801,"W",""),"""","")),0)&gt;52,P801&amp;"-OVRSIZE-",P801))))</f>
        <v/>
      </c>
      <c r="H801" s="15" t="str">
        <v/>
      </c>
      <c r="I801" s="15" t="str">
        <v/>
      </c>
      <c r="J801" s="15" t="str">
        <v/>
      </c>
      <c r="K801" s="15" t="str">
        <v/>
      </c>
      <c r="L801" s="15" t="str">
        <v/>
      </c>
      <c r="M801" s="10" t="str">
        <v/>
      </c>
      <c r="N801" s="14"/>
      <c r="O801" s="15" t="str" cm="1">
        <f t="array" ref="O801">IFERROR(_xlfn.LET(
_xlpm.clean,TRIM(SUBSTITUTE(SUBSTITUTE(P801,CHAR(160),"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1" s="15"/>
      <c r="R801" t="str">
        <v/>
      </c>
      <c r="S801" t="str">
        <f t="shared" si="13"/>
        <v/>
      </c>
    </row>
    <row r="802" spans="1:19" ht="12.75">
      <c r="A802" s="15" t="str">
        <v/>
      </c>
      <c r="B802" s="15" t="str">
        <v/>
      </c>
      <c r="C802" s="15" t="str" cm="1">
        <f t="array" ref="C802">IFERROR(_xlfn.TEXTJOIN("",TRUE,_xlfn._xlws.FILTER(MID(S802,_xlfn.SEQUENCE(LEN(S802)),1),ISNUMBER(SEARCH(MID(S802,_xlfn.SEQUENCE(LEN(S802)),1),"ABCDEFGHIJKLMNOPQRSTUVWXYZabcdefghijklmnopqrstuvwxyz0123456789,")))),"")</f>
        <v/>
      </c>
      <c r="D802" s="15" t="str">
        <v/>
      </c>
      <c r="E802" s="16" t="str">
        <v/>
      </c>
      <c r="F802" s="15" t="str">
        <v/>
      </c>
      <c r="G802" s="20" t="str" cm="1">
        <f t="array" ref="G802">IF(TRIM(P802)="","",IF(SUM(COUNTIF(P802,{"*NLGD*","*FWG*"}))&gt;0,P802,IF(SUM(COUNTIF(P802,{"*GL*","*DGB*","*DGI*","*GT*","*CS*","*PWU*","*DBI*","*SWU*"}))=0,P802,IF(IFERROR(VALUE(SUBSTITUTE(SUBSTITUTE(O802,"W",""),"""","")),0)&gt;52,P802&amp;"-OVRSIZE-",P802))))</f>
        <v/>
      </c>
      <c r="H802" s="15" t="str">
        <v/>
      </c>
      <c r="I802" s="15" t="str">
        <v/>
      </c>
      <c r="J802" s="15" t="str">
        <v/>
      </c>
      <c r="K802" s="15" t="str">
        <v/>
      </c>
      <c r="L802" s="15" t="str">
        <v/>
      </c>
      <c r="M802" s="10" t="str">
        <v/>
      </c>
      <c r="N802" s="14"/>
      <c r="O802" s="15" t="str" cm="1">
        <f t="array" ref="O802">IFERROR(_xlfn.LET(
_xlpm.clean,TRIM(SUBSTITUTE(SUBSTITUTE(P802,CHAR(160),"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2" s="15"/>
      <c r="R802" t="str">
        <v/>
      </c>
      <c r="S802" t="str">
        <f t="shared" si="13"/>
        <v/>
      </c>
    </row>
    <row r="803" spans="1:19" ht="12.75">
      <c r="A803" s="15" t="str">
        <v/>
      </c>
      <c r="B803" s="15" t="str">
        <v/>
      </c>
      <c r="C803" s="15" t="str" cm="1">
        <f t="array" ref="C803">IFERROR(_xlfn.TEXTJOIN("",TRUE,_xlfn._xlws.FILTER(MID(S803,_xlfn.SEQUENCE(LEN(S803)),1),ISNUMBER(SEARCH(MID(S803,_xlfn.SEQUENCE(LEN(S803)),1),"ABCDEFGHIJKLMNOPQRSTUVWXYZabcdefghijklmnopqrstuvwxyz0123456789,")))),"")</f>
        <v/>
      </c>
      <c r="D803" s="15" t="str">
        <v/>
      </c>
      <c r="E803" s="16" t="str">
        <v/>
      </c>
      <c r="F803" s="15" t="str">
        <v/>
      </c>
      <c r="G803" s="20" t="str" cm="1">
        <f t="array" ref="G803">IF(TRIM(P803)="","",IF(SUM(COUNTIF(P803,{"*NLGD*","*FWG*"}))&gt;0,P803,IF(SUM(COUNTIF(P803,{"*GL*","*DGB*","*DGI*","*GT*","*CS*","*PWU*","*DBI*","*SWU*"}))=0,P803,IF(IFERROR(VALUE(SUBSTITUTE(SUBSTITUTE(O803,"W",""),"""","")),0)&gt;52,P803&amp;"-OVRSIZE-",P803))))</f>
        <v/>
      </c>
      <c r="H803" s="15" t="str">
        <v/>
      </c>
      <c r="I803" s="15" t="str">
        <v/>
      </c>
      <c r="J803" s="15" t="str">
        <v/>
      </c>
      <c r="K803" s="15" t="str">
        <v/>
      </c>
      <c r="L803" s="15" t="str">
        <v/>
      </c>
      <c r="M803" s="10" t="str">
        <v/>
      </c>
      <c r="N803" s="14"/>
      <c r="O803" s="15" t="str" cm="1">
        <f t="array" ref="O803">IFERROR(_xlfn.LET(
_xlpm.clean,TRIM(SUBSTITUTE(SUBSTITUTE(P803,CHAR(160),"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3" s="15"/>
      <c r="R803" t="str">
        <v/>
      </c>
      <c r="S803" t="str">
        <f t="shared" si="13"/>
        <v/>
      </c>
    </row>
    <row r="804" spans="1:19" ht="12.75">
      <c r="A804" s="15" t="str">
        <v/>
      </c>
      <c r="B804" s="15" t="str">
        <v/>
      </c>
      <c r="C804" s="15" t="str" cm="1">
        <f t="array" ref="C804">IFERROR(_xlfn.TEXTJOIN("",TRUE,_xlfn._xlws.FILTER(MID(S804,_xlfn.SEQUENCE(LEN(S804)),1),ISNUMBER(SEARCH(MID(S804,_xlfn.SEQUENCE(LEN(S804)),1),"ABCDEFGHIJKLMNOPQRSTUVWXYZabcdefghijklmnopqrstuvwxyz0123456789,")))),"")</f>
        <v/>
      </c>
      <c r="D804" s="15" t="str">
        <v/>
      </c>
      <c r="E804" s="16" t="str">
        <v/>
      </c>
      <c r="F804" s="15" t="str">
        <v/>
      </c>
      <c r="G804" s="20" t="str" cm="1">
        <f t="array" ref="G804">IF(TRIM(P804)="","",IF(SUM(COUNTIF(P804,{"*NLGD*","*FWG*"}))&gt;0,P804,IF(SUM(COUNTIF(P804,{"*GL*","*DGB*","*DGI*","*GT*","*CS*","*PWU*","*DBI*","*SWU*"}))=0,P804,IF(IFERROR(VALUE(SUBSTITUTE(SUBSTITUTE(O804,"W",""),"""","")),0)&gt;52,P804&amp;"-OVRSIZE-",P804))))</f>
        <v/>
      </c>
      <c r="H804" s="15" t="str">
        <v/>
      </c>
      <c r="I804" s="15" t="str">
        <v/>
      </c>
      <c r="J804" s="15" t="str">
        <v/>
      </c>
      <c r="K804" s="15" t="str">
        <v/>
      </c>
      <c r="L804" s="15" t="str">
        <v/>
      </c>
      <c r="M804" s="10" t="str">
        <v/>
      </c>
      <c r="N804" s="14"/>
      <c r="O804" s="15" t="str" cm="1">
        <f t="array" ref="O804">IFERROR(_xlfn.LET(
_xlpm.clean,TRIM(SUBSTITUTE(SUBSTITUTE(P804,CHAR(160),"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4" s="15"/>
      <c r="R804" t="str">
        <v/>
      </c>
      <c r="S804" t="str">
        <f t="shared" si="13"/>
        <v/>
      </c>
    </row>
    <row r="805" spans="1:19" ht="12.75">
      <c r="A805" s="15" t="str">
        <v/>
      </c>
      <c r="B805" s="15" t="str">
        <v/>
      </c>
      <c r="C805" s="15" t="str" cm="1">
        <f t="array" ref="C805">IFERROR(_xlfn.TEXTJOIN("",TRUE,_xlfn._xlws.FILTER(MID(S805,_xlfn.SEQUENCE(LEN(S805)),1),ISNUMBER(SEARCH(MID(S805,_xlfn.SEQUENCE(LEN(S805)),1),"ABCDEFGHIJKLMNOPQRSTUVWXYZabcdefghijklmnopqrstuvwxyz0123456789,")))),"")</f>
        <v/>
      </c>
      <c r="D805" s="15" t="str">
        <v/>
      </c>
      <c r="E805" s="16" t="str">
        <v/>
      </c>
      <c r="F805" s="15" t="str">
        <v/>
      </c>
      <c r="G805" s="20" t="str" cm="1">
        <f t="array" ref="G805">IF(TRIM(P805)="","",IF(SUM(COUNTIF(P805,{"*NLGD*","*FWG*"}))&gt;0,P805,IF(SUM(COUNTIF(P805,{"*GL*","*DGB*","*DGI*","*GT*","*CS*","*PWU*","*DBI*","*SWU*"}))=0,P805,IF(IFERROR(VALUE(SUBSTITUTE(SUBSTITUTE(O805,"W",""),"""","")),0)&gt;52,P805&amp;"-OVRSIZE-",P805))))</f>
        <v/>
      </c>
      <c r="H805" s="15" t="str">
        <v/>
      </c>
      <c r="I805" s="15" t="str">
        <v/>
      </c>
      <c r="J805" s="15" t="str">
        <v/>
      </c>
      <c r="K805" s="15" t="str">
        <v/>
      </c>
      <c r="L805" s="15" t="str">
        <v/>
      </c>
      <c r="M805" s="10" t="str">
        <v/>
      </c>
      <c r="N805" s="14"/>
      <c r="O805" s="15" t="str" cm="1">
        <f t="array" ref="O805">IFERROR(_xlfn.LET(
_xlpm.clean,TRIM(SUBSTITUTE(SUBSTITUTE(P805,CHAR(160),"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5" s="15"/>
      <c r="R805" t="str">
        <v/>
      </c>
      <c r="S805" t="str">
        <f t="shared" si="13"/>
        <v/>
      </c>
    </row>
    <row r="806" spans="1:19" ht="12.75">
      <c r="A806" s="15" t="str">
        <v/>
      </c>
      <c r="B806" s="15" t="str">
        <v/>
      </c>
      <c r="C806" s="15" t="str" cm="1">
        <f t="array" ref="C806">IFERROR(_xlfn.TEXTJOIN("",TRUE,_xlfn._xlws.FILTER(MID(S806,_xlfn.SEQUENCE(LEN(S806)),1),ISNUMBER(SEARCH(MID(S806,_xlfn.SEQUENCE(LEN(S806)),1),"ABCDEFGHIJKLMNOPQRSTUVWXYZabcdefghijklmnopqrstuvwxyz0123456789,")))),"")</f>
        <v/>
      </c>
      <c r="D806" s="15" t="str">
        <v/>
      </c>
      <c r="E806" s="16" t="str">
        <v/>
      </c>
      <c r="F806" s="15" t="str">
        <v/>
      </c>
      <c r="G806" s="20" t="str" cm="1">
        <f t="array" ref="G806">IF(TRIM(P806)="","",IF(SUM(COUNTIF(P806,{"*NLGD*","*FWG*"}))&gt;0,P806,IF(SUM(COUNTIF(P806,{"*GL*","*DGB*","*DGI*","*GT*","*CS*","*PWU*","*DBI*","*SWU*"}))=0,P806,IF(IFERROR(VALUE(SUBSTITUTE(SUBSTITUTE(O806,"W",""),"""","")),0)&gt;52,P806&amp;"-OVRSIZE-",P806))))</f>
        <v/>
      </c>
      <c r="H806" s="15" t="str">
        <v/>
      </c>
      <c r="I806" s="15" t="str">
        <v/>
      </c>
      <c r="J806" s="15" t="str">
        <v/>
      </c>
      <c r="K806" s="15" t="str">
        <v/>
      </c>
      <c r="L806" s="15" t="str">
        <v/>
      </c>
      <c r="M806" s="10" t="str">
        <v/>
      </c>
      <c r="N806" s="14"/>
      <c r="O806" s="15" t="str" cm="1">
        <f t="array" ref="O806">IFERROR(_xlfn.LET(
_xlpm.clean,TRIM(SUBSTITUTE(SUBSTITUTE(P806,CHAR(160),"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6" s="15"/>
      <c r="R806" t="str">
        <v/>
      </c>
      <c r="S806" t="str">
        <f t="shared" si="13"/>
        <v/>
      </c>
    </row>
    <row r="807" spans="1:19" ht="12.75">
      <c r="A807" s="15" t="str">
        <v/>
      </c>
      <c r="B807" s="15" t="str">
        <v/>
      </c>
      <c r="C807" s="15" t="str" cm="1">
        <f t="array" ref="C807">IFERROR(_xlfn.TEXTJOIN("",TRUE,_xlfn._xlws.FILTER(MID(S807,_xlfn.SEQUENCE(LEN(S807)),1),ISNUMBER(SEARCH(MID(S807,_xlfn.SEQUENCE(LEN(S807)),1),"ABCDEFGHIJKLMNOPQRSTUVWXYZabcdefghijklmnopqrstuvwxyz0123456789,")))),"")</f>
        <v/>
      </c>
      <c r="D807" s="15" t="str">
        <v/>
      </c>
      <c r="E807" s="16" t="str">
        <v/>
      </c>
      <c r="F807" s="15" t="str">
        <v/>
      </c>
      <c r="G807" s="20" t="str" cm="1">
        <f t="array" ref="G807">IF(TRIM(P807)="","",IF(SUM(COUNTIF(P807,{"*NLGD*","*FWG*"}))&gt;0,P807,IF(SUM(COUNTIF(P807,{"*GL*","*DGB*","*DGI*","*GT*","*CS*","*PWU*","*DBI*","*SWU*"}))=0,P807,IF(IFERROR(VALUE(SUBSTITUTE(SUBSTITUTE(O807,"W",""),"""","")),0)&gt;52,P807&amp;"-OVRSIZE-",P807))))</f>
        <v/>
      </c>
      <c r="H807" s="15" t="str">
        <v/>
      </c>
      <c r="I807" s="15" t="str">
        <v/>
      </c>
      <c r="J807" s="15" t="str">
        <v/>
      </c>
      <c r="K807" s="15" t="str">
        <v/>
      </c>
      <c r="L807" s="15" t="str">
        <v/>
      </c>
      <c r="M807" s="10" t="str">
        <v/>
      </c>
      <c r="N807" s="14"/>
      <c r="O807" s="15" t="str" cm="1">
        <f t="array" ref="O807">IFERROR(_xlfn.LET(
_xlpm.clean,TRIM(SUBSTITUTE(SUBSTITUTE(P807,CHAR(160),"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7" s="15"/>
      <c r="R807" t="str">
        <v/>
      </c>
      <c r="S807" t="str">
        <f t="shared" si="13"/>
        <v/>
      </c>
    </row>
    <row r="808" spans="1:19" ht="12.75">
      <c r="A808" s="15" t="str">
        <v/>
      </c>
      <c r="B808" s="15" t="str">
        <v/>
      </c>
      <c r="C808" s="15" t="str" cm="1">
        <f t="array" ref="C808">IFERROR(_xlfn.TEXTJOIN("",TRUE,_xlfn._xlws.FILTER(MID(S808,_xlfn.SEQUENCE(LEN(S808)),1),ISNUMBER(SEARCH(MID(S808,_xlfn.SEQUENCE(LEN(S808)),1),"ABCDEFGHIJKLMNOPQRSTUVWXYZabcdefghijklmnopqrstuvwxyz0123456789,")))),"")</f>
        <v/>
      </c>
      <c r="D808" s="15" t="str">
        <v/>
      </c>
      <c r="E808" s="16" t="str">
        <v/>
      </c>
      <c r="F808" s="15" t="str">
        <v/>
      </c>
      <c r="G808" s="20" t="str" cm="1">
        <f t="array" ref="G808">IF(TRIM(P808)="","",IF(SUM(COUNTIF(P808,{"*NLGD*","*FWG*"}))&gt;0,P808,IF(SUM(COUNTIF(P808,{"*GL*","*DGB*","*DGI*","*GT*","*CS*","*PWU*","*DBI*","*SWU*"}))=0,P808,IF(IFERROR(VALUE(SUBSTITUTE(SUBSTITUTE(O808,"W",""),"""","")),0)&gt;52,P808&amp;"-OVRSIZE-",P808))))</f>
        <v/>
      </c>
      <c r="H808" s="15" t="str">
        <v/>
      </c>
      <c r="I808" s="15" t="str">
        <v/>
      </c>
      <c r="J808" s="15" t="str">
        <v/>
      </c>
      <c r="K808" s="15" t="str">
        <v/>
      </c>
      <c r="L808" s="15" t="str">
        <v/>
      </c>
      <c r="M808" s="10" t="str">
        <v/>
      </c>
      <c r="N808" s="14"/>
      <c r="O808" s="15" t="str" cm="1">
        <f t="array" ref="O808">IFERROR(_xlfn.LET(
_xlpm.clean,TRIM(SUBSTITUTE(SUBSTITUTE(P808,CHAR(160),"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8" s="15"/>
      <c r="R808" t="str">
        <v/>
      </c>
      <c r="S808" t="str">
        <f t="shared" si="13"/>
        <v/>
      </c>
    </row>
    <row r="809" spans="1:19" ht="12.75">
      <c r="A809" s="15" t="str">
        <v/>
      </c>
      <c r="B809" s="15" t="str">
        <v/>
      </c>
      <c r="C809" s="15" t="str" cm="1">
        <f t="array" ref="C809">IFERROR(_xlfn.TEXTJOIN("",TRUE,_xlfn._xlws.FILTER(MID(S809,_xlfn.SEQUENCE(LEN(S809)),1),ISNUMBER(SEARCH(MID(S809,_xlfn.SEQUENCE(LEN(S809)),1),"ABCDEFGHIJKLMNOPQRSTUVWXYZabcdefghijklmnopqrstuvwxyz0123456789,")))),"")</f>
        <v/>
      </c>
      <c r="D809" s="15" t="str">
        <v/>
      </c>
      <c r="E809" s="16" t="str">
        <v/>
      </c>
      <c r="F809" s="15" t="str">
        <v/>
      </c>
      <c r="G809" s="20" t="str" cm="1">
        <f t="array" ref="G809">IF(TRIM(P809)="","",IF(SUM(COUNTIF(P809,{"*NLGD*","*FWG*"}))&gt;0,P809,IF(SUM(COUNTIF(P809,{"*GL*","*DGB*","*DGI*","*GT*","*CS*","*PWU*","*DBI*","*SWU*"}))=0,P809,IF(IFERROR(VALUE(SUBSTITUTE(SUBSTITUTE(O809,"W",""),"""","")),0)&gt;52,P809&amp;"-OVRSIZE-",P809))))</f>
        <v/>
      </c>
      <c r="H809" s="15" t="str">
        <v/>
      </c>
      <c r="I809" s="15" t="str">
        <v/>
      </c>
      <c r="J809" s="15" t="str">
        <v/>
      </c>
      <c r="K809" s="15" t="str">
        <v/>
      </c>
      <c r="L809" s="15" t="str">
        <v/>
      </c>
      <c r="M809" s="10" t="str">
        <v/>
      </c>
      <c r="N809" s="14"/>
      <c r="O809" s="15" t="str" cm="1">
        <f t="array" ref="O809">IFERROR(_xlfn.LET(
_xlpm.clean,TRIM(SUBSTITUTE(SUBSTITUTE(P809,CHAR(160),"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9" s="15"/>
      <c r="R809" t="str">
        <v/>
      </c>
      <c r="S809" t="str">
        <f t="shared" si="13"/>
        <v/>
      </c>
    </row>
    <row r="810" spans="1:19" ht="12.75">
      <c r="A810" s="15" t="str">
        <v/>
      </c>
      <c r="B810" s="15" t="str">
        <v/>
      </c>
      <c r="C810" s="15" t="str" cm="1">
        <f t="array" ref="C810">IFERROR(_xlfn.TEXTJOIN("",TRUE,_xlfn._xlws.FILTER(MID(S810,_xlfn.SEQUENCE(LEN(S810)),1),ISNUMBER(SEARCH(MID(S810,_xlfn.SEQUENCE(LEN(S810)),1),"ABCDEFGHIJKLMNOPQRSTUVWXYZabcdefghijklmnopqrstuvwxyz0123456789,")))),"")</f>
        <v/>
      </c>
      <c r="D810" s="15" t="str">
        <v/>
      </c>
      <c r="E810" s="16" t="str">
        <v/>
      </c>
      <c r="F810" s="15" t="str">
        <v/>
      </c>
      <c r="G810" s="20" t="str" cm="1">
        <f t="array" ref="G810">IF(TRIM(P810)="","",IF(SUM(COUNTIF(P810,{"*NLGD*","*FWG*"}))&gt;0,P810,IF(SUM(COUNTIF(P810,{"*GL*","*DGB*","*DGI*","*GT*","*CS*","*PWU*","*DBI*","*SWU*"}))=0,P810,IF(IFERROR(VALUE(SUBSTITUTE(SUBSTITUTE(O810,"W",""),"""","")),0)&gt;52,P810&amp;"-OVRSIZE-",P810))))</f>
        <v/>
      </c>
      <c r="H810" s="15" t="str">
        <v/>
      </c>
      <c r="I810" s="15" t="str">
        <v/>
      </c>
      <c r="J810" s="15" t="str">
        <v/>
      </c>
      <c r="K810" s="15" t="str">
        <v/>
      </c>
      <c r="L810" s="15" t="str">
        <v/>
      </c>
      <c r="M810" s="10" t="str">
        <v/>
      </c>
      <c r="N810" s="14"/>
      <c r="O810" s="15" t="str" cm="1">
        <f t="array" ref="O810">IFERROR(_xlfn.LET(
_xlpm.clean,TRIM(SUBSTITUTE(SUBSTITUTE(P810,CHAR(160),"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0" s="15"/>
      <c r="R810" t="str">
        <v/>
      </c>
      <c r="S810" t="str">
        <f t="shared" si="13"/>
        <v/>
      </c>
    </row>
    <row r="811" spans="1:19" ht="12.75">
      <c r="A811" s="15" t="str">
        <v/>
      </c>
      <c r="B811" s="15" t="str">
        <v/>
      </c>
      <c r="C811" s="15" t="str" cm="1">
        <f t="array" ref="C811">IFERROR(_xlfn.TEXTJOIN("",TRUE,_xlfn._xlws.FILTER(MID(S811,_xlfn.SEQUENCE(LEN(S811)),1),ISNUMBER(SEARCH(MID(S811,_xlfn.SEQUENCE(LEN(S811)),1),"ABCDEFGHIJKLMNOPQRSTUVWXYZabcdefghijklmnopqrstuvwxyz0123456789,")))),"")</f>
        <v/>
      </c>
      <c r="D811" s="15" t="str">
        <v/>
      </c>
      <c r="E811" s="16" t="str">
        <v/>
      </c>
      <c r="F811" s="15" t="str">
        <v/>
      </c>
      <c r="G811" s="20" t="str" cm="1">
        <f t="array" ref="G811">IF(TRIM(P811)="","",IF(SUM(COUNTIF(P811,{"*NLGD*","*FWG*"}))&gt;0,P811,IF(SUM(COUNTIF(P811,{"*GL*","*DGB*","*DGI*","*GT*","*CS*","*PWU*","*DBI*","*SWU*"}))=0,P811,IF(IFERROR(VALUE(SUBSTITUTE(SUBSTITUTE(O811,"W",""),"""","")),0)&gt;52,P811&amp;"-OVRSIZE-",P811))))</f>
        <v/>
      </c>
      <c r="H811" s="15" t="str">
        <v/>
      </c>
      <c r="I811" s="15" t="str">
        <v/>
      </c>
      <c r="J811" s="15" t="str">
        <v/>
      </c>
      <c r="K811" s="15" t="str">
        <v/>
      </c>
      <c r="L811" s="15" t="str">
        <v/>
      </c>
      <c r="M811" s="10" t="str">
        <v/>
      </c>
      <c r="N811" s="14"/>
      <c r="O811" s="15" t="str" cm="1">
        <f t="array" ref="O811">IFERROR(_xlfn.LET(
_xlpm.clean,TRIM(SUBSTITUTE(SUBSTITUTE(P811,CHAR(160),"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1" s="15"/>
      <c r="R811" t="str">
        <v/>
      </c>
      <c r="S811" t="str">
        <f t="shared" si="13"/>
        <v/>
      </c>
    </row>
    <row r="812" spans="1:19" ht="12.75">
      <c r="A812" s="15" t="str">
        <v/>
      </c>
      <c r="B812" s="15" t="str">
        <v/>
      </c>
      <c r="C812" s="15" t="str" cm="1">
        <f t="array" ref="C812">IFERROR(_xlfn.TEXTJOIN("",TRUE,_xlfn._xlws.FILTER(MID(S812,_xlfn.SEQUENCE(LEN(S812)),1),ISNUMBER(SEARCH(MID(S812,_xlfn.SEQUENCE(LEN(S812)),1),"ABCDEFGHIJKLMNOPQRSTUVWXYZabcdefghijklmnopqrstuvwxyz0123456789,")))),"")</f>
        <v/>
      </c>
      <c r="D812" s="15" t="str">
        <v/>
      </c>
      <c r="E812" s="16" t="str">
        <v/>
      </c>
      <c r="F812" s="15" t="str">
        <v/>
      </c>
      <c r="G812" s="20" t="str" cm="1">
        <f t="array" ref="G812">IF(TRIM(P812)="","",IF(SUM(COUNTIF(P812,{"*NLGD*","*FWG*"}))&gt;0,P812,IF(SUM(COUNTIF(P812,{"*GL*","*DGB*","*DGI*","*GT*","*CS*","*PWU*","*DBI*","*SWU*"}))=0,P812,IF(IFERROR(VALUE(SUBSTITUTE(SUBSTITUTE(O812,"W",""),"""","")),0)&gt;52,P812&amp;"-OVRSIZE-",P812))))</f>
        <v/>
      </c>
      <c r="H812" s="15" t="str">
        <v/>
      </c>
      <c r="I812" s="15" t="str">
        <v/>
      </c>
      <c r="J812" s="15" t="str">
        <v/>
      </c>
      <c r="K812" s="15" t="str">
        <v/>
      </c>
      <c r="L812" s="15" t="str">
        <v/>
      </c>
      <c r="M812" s="10" t="str">
        <v/>
      </c>
      <c r="N812" s="14"/>
      <c r="O812" s="15" t="str" cm="1">
        <f t="array" ref="O812">IFERROR(_xlfn.LET(
_xlpm.clean,TRIM(SUBSTITUTE(SUBSTITUTE(P812,CHAR(160),"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2" s="15"/>
      <c r="R812" t="str">
        <v/>
      </c>
      <c r="S812" t="str">
        <f t="shared" si="13"/>
        <v/>
      </c>
    </row>
    <row r="813" spans="1:19" ht="12.75">
      <c r="A813" s="15" t="str">
        <v/>
      </c>
      <c r="B813" s="15" t="str">
        <v/>
      </c>
      <c r="C813" s="15" t="str" cm="1">
        <f t="array" ref="C813">IFERROR(_xlfn.TEXTJOIN("",TRUE,_xlfn._xlws.FILTER(MID(S813,_xlfn.SEQUENCE(LEN(S813)),1),ISNUMBER(SEARCH(MID(S813,_xlfn.SEQUENCE(LEN(S813)),1),"ABCDEFGHIJKLMNOPQRSTUVWXYZabcdefghijklmnopqrstuvwxyz0123456789,")))),"")</f>
        <v/>
      </c>
      <c r="D813" s="15" t="str">
        <v/>
      </c>
      <c r="E813" s="16" t="str">
        <v/>
      </c>
      <c r="F813" s="15" t="str">
        <v/>
      </c>
      <c r="G813" s="20" t="str" cm="1">
        <f t="array" ref="G813">IF(TRIM(P813)="","",IF(SUM(COUNTIF(P813,{"*NLGD*","*FWG*"}))&gt;0,P813,IF(SUM(COUNTIF(P813,{"*GL*","*DGB*","*DGI*","*GT*","*CS*","*PWU*","*DBI*","*SWU*"}))=0,P813,IF(IFERROR(VALUE(SUBSTITUTE(SUBSTITUTE(O813,"W",""),"""","")),0)&gt;52,P813&amp;"-OVRSIZE-",P813))))</f>
        <v/>
      </c>
      <c r="H813" s="15" t="str">
        <v/>
      </c>
      <c r="I813" s="15" t="str">
        <v/>
      </c>
      <c r="J813" s="15" t="str">
        <v/>
      </c>
      <c r="K813" s="15" t="str">
        <v/>
      </c>
      <c r="L813" s="15" t="str">
        <v/>
      </c>
      <c r="M813" s="10" t="str">
        <v/>
      </c>
      <c r="N813" s="14"/>
      <c r="O813" s="15" t="str" cm="1">
        <f t="array" ref="O813">IFERROR(_xlfn.LET(
_xlpm.clean,TRIM(SUBSTITUTE(SUBSTITUTE(P813,CHAR(160),"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3" s="15"/>
      <c r="R813" t="str">
        <v/>
      </c>
      <c r="S813" t="str">
        <f t="shared" si="13"/>
        <v/>
      </c>
    </row>
    <row r="814" spans="1:19" ht="12.75">
      <c r="A814" s="15" t="str">
        <v/>
      </c>
      <c r="B814" s="15" t="str">
        <v/>
      </c>
      <c r="C814" s="15" t="str" cm="1">
        <f t="array" ref="C814">IFERROR(_xlfn.TEXTJOIN("",TRUE,_xlfn._xlws.FILTER(MID(S814,_xlfn.SEQUENCE(LEN(S814)),1),ISNUMBER(SEARCH(MID(S814,_xlfn.SEQUENCE(LEN(S814)),1),"ABCDEFGHIJKLMNOPQRSTUVWXYZabcdefghijklmnopqrstuvwxyz0123456789,")))),"")</f>
        <v/>
      </c>
      <c r="D814" s="15" t="str">
        <v/>
      </c>
      <c r="E814" s="16" t="str">
        <v/>
      </c>
      <c r="F814" s="15" t="str">
        <v/>
      </c>
      <c r="G814" s="20" t="str" cm="1">
        <f t="array" ref="G814">IF(TRIM(P814)="","",IF(SUM(COUNTIF(P814,{"*NLGD*","*FWG*"}))&gt;0,P814,IF(SUM(COUNTIF(P814,{"*GL*","*DGB*","*DGI*","*GT*","*CS*","*PWU*","*DBI*","*SWU*"}))=0,P814,IF(IFERROR(VALUE(SUBSTITUTE(SUBSTITUTE(O814,"W",""),"""","")),0)&gt;52,P814&amp;"-OVRSIZE-",P814))))</f>
        <v/>
      </c>
      <c r="H814" s="15" t="str">
        <v/>
      </c>
      <c r="I814" s="15" t="str">
        <v/>
      </c>
      <c r="J814" s="15" t="str">
        <v/>
      </c>
      <c r="K814" s="15" t="str">
        <v/>
      </c>
      <c r="L814" s="15" t="str">
        <v/>
      </c>
      <c r="M814" s="10" t="str">
        <v/>
      </c>
      <c r="N814" s="14"/>
      <c r="O814" s="15" t="str" cm="1">
        <f t="array" ref="O814">IFERROR(_xlfn.LET(
_xlpm.clean,TRIM(SUBSTITUTE(SUBSTITUTE(P814,CHAR(160),"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4" s="15"/>
      <c r="R814" t="str">
        <v/>
      </c>
      <c r="S814" t="str">
        <f t="shared" si="13"/>
        <v/>
      </c>
    </row>
    <row r="815" spans="1:19" ht="12.75">
      <c r="A815" s="15" t="str">
        <v/>
      </c>
      <c r="B815" s="15" t="str">
        <v/>
      </c>
      <c r="C815" s="15" t="str" cm="1">
        <f t="array" ref="C815">IFERROR(_xlfn.TEXTJOIN("",TRUE,_xlfn._xlws.FILTER(MID(S815,_xlfn.SEQUENCE(LEN(S815)),1),ISNUMBER(SEARCH(MID(S815,_xlfn.SEQUENCE(LEN(S815)),1),"ABCDEFGHIJKLMNOPQRSTUVWXYZabcdefghijklmnopqrstuvwxyz0123456789,")))),"")</f>
        <v/>
      </c>
      <c r="D815" s="15" t="str">
        <v/>
      </c>
      <c r="E815" s="16" t="str">
        <v/>
      </c>
      <c r="F815" s="15" t="str">
        <v/>
      </c>
      <c r="G815" s="20" t="str" cm="1">
        <f t="array" ref="G815">IF(TRIM(P815)="","",IF(SUM(COUNTIF(P815,{"*NLGD*","*FWG*"}))&gt;0,P815,IF(SUM(COUNTIF(P815,{"*GL*","*DGB*","*DGI*","*GT*","*CS*","*PWU*","*DBI*","*SWU*"}))=0,P815,IF(IFERROR(VALUE(SUBSTITUTE(SUBSTITUTE(O815,"W",""),"""","")),0)&gt;52,P815&amp;"-OVRSIZE-",P815))))</f>
        <v/>
      </c>
      <c r="H815" s="15" t="str">
        <v/>
      </c>
      <c r="I815" s="15" t="str">
        <v/>
      </c>
      <c r="J815" s="15" t="str">
        <v/>
      </c>
      <c r="K815" s="15" t="str">
        <v/>
      </c>
      <c r="L815" s="15" t="str">
        <v/>
      </c>
      <c r="M815" s="10" t="str">
        <v/>
      </c>
      <c r="N815" s="14"/>
      <c r="O815" s="15" t="str" cm="1">
        <f t="array" ref="O815">IFERROR(_xlfn.LET(
_xlpm.clean,TRIM(SUBSTITUTE(SUBSTITUTE(P815,CHAR(160),"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5" s="15"/>
      <c r="R815" t="str">
        <v/>
      </c>
      <c r="S815" t="str">
        <f t="shared" si="13"/>
        <v/>
      </c>
    </row>
    <row r="816" spans="1:19" ht="12.75">
      <c r="A816" s="15" t="str">
        <v/>
      </c>
      <c r="B816" s="15" t="str">
        <v/>
      </c>
      <c r="C816" s="15" t="str" cm="1">
        <f t="array" ref="C816">IFERROR(_xlfn.TEXTJOIN("",TRUE,_xlfn._xlws.FILTER(MID(S816,_xlfn.SEQUENCE(LEN(S816)),1),ISNUMBER(SEARCH(MID(S816,_xlfn.SEQUENCE(LEN(S816)),1),"ABCDEFGHIJKLMNOPQRSTUVWXYZabcdefghijklmnopqrstuvwxyz0123456789,")))),"")</f>
        <v/>
      </c>
      <c r="D816" s="15" t="str">
        <v/>
      </c>
      <c r="E816" s="16" t="str">
        <v/>
      </c>
      <c r="F816" s="15" t="str">
        <v/>
      </c>
      <c r="G816" s="20" t="str" cm="1">
        <f t="array" ref="G816">IF(TRIM(P816)="","",IF(SUM(COUNTIF(P816,{"*NLGD*","*FWG*"}))&gt;0,P816,IF(SUM(COUNTIF(P816,{"*GL*","*DGB*","*DGI*","*GT*","*CS*","*PWU*","*DBI*","*SWU*"}))=0,P816,IF(IFERROR(VALUE(SUBSTITUTE(SUBSTITUTE(O816,"W",""),"""","")),0)&gt;52,P816&amp;"-OVRSIZE-",P816))))</f>
        <v/>
      </c>
      <c r="H816" s="15" t="str">
        <v/>
      </c>
      <c r="I816" s="15" t="str">
        <v/>
      </c>
      <c r="J816" s="15" t="str">
        <v/>
      </c>
      <c r="K816" s="15" t="str">
        <v/>
      </c>
      <c r="L816" s="15" t="str">
        <v/>
      </c>
      <c r="M816" s="10" t="str">
        <v/>
      </c>
      <c r="N816" s="14"/>
      <c r="O816" s="15" t="str" cm="1">
        <f t="array" ref="O816">IFERROR(_xlfn.LET(
_xlpm.clean,TRIM(SUBSTITUTE(SUBSTITUTE(P816,CHAR(160),"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6" s="15"/>
      <c r="R816" t="str">
        <v/>
      </c>
      <c r="S816" t="str">
        <f t="shared" si="13"/>
        <v/>
      </c>
    </row>
    <row r="817" spans="1:19" ht="12.75">
      <c r="A817" s="15" t="str">
        <v/>
      </c>
      <c r="B817" s="15" t="str">
        <v/>
      </c>
      <c r="C817" s="15" t="str" cm="1">
        <f t="array" ref="C817">IFERROR(_xlfn.TEXTJOIN("",TRUE,_xlfn._xlws.FILTER(MID(S817,_xlfn.SEQUENCE(LEN(S817)),1),ISNUMBER(SEARCH(MID(S817,_xlfn.SEQUENCE(LEN(S817)),1),"ABCDEFGHIJKLMNOPQRSTUVWXYZabcdefghijklmnopqrstuvwxyz0123456789,")))),"")</f>
        <v/>
      </c>
      <c r="D817" s="15" t="str">
        <v/>
      </c>
      <c r="E817" s="16" t="str">
        <v/>
      </c>
      <c r="F817" s="15" t="str">
        <v/>
      </c>
      <c r="G817" s="20" t="str" cm="1">
        <f t="array" ref="G817">IF(TRIM(P817)="","",IF(SUM(COUNTIF(P817,{"*NLGD*","*FWG*"}))&gt;0,P817,IF(SUM(COUNTIF(P817,{"*GL*","*DGB*","*DGI*","*GT*","*CS*","*PWU*","*DBI*","*SWU*"}))=0,P817,IF(IFERROR(VALUE(SUBSTITUTE(SUBSTITUTE(O817,"W",""),"""","")),0)&gt;52,P817&amp;"-OVRSIZE-",P817))))</f>
        <v/>
      </c>
      <c r="H817" s="15" t="str">
        <v/>
      </c>
      <c r="I817" s="15" t="str">
        <v/>
      </c>
      <c r="J817" s="15" t="str">
        <v/>
      </c>
      <c r="K817" s="15" t="str">
        <v/>
      </c>
      <c r="L817" s="15" t="str">
        <v/>
      </c>
      <c r="M817" s="10" t="str">
        <v/>
      </c>
      <c r="N817" s="14"/>
      <c r="O817" s="15" t="str" cm="1">
        <f t="array" ref="O817">IFERROR(_xlfn.LET(
_xlpm.clean,TRIM(SUBSTITUTE(SUBSTITUTE(P817,CHAR(160),"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7" s="15"/>
      <c r="R817" t="str">
        <v/>
      </c>
      <c r="S817" t="str">
        <f t="shared" si="13"/>
        <v/>
      </c>
    </row>
    <row r="818" spans="1:19" ht="12.75">
      <c r="A818" s="15" t="str">
        <v/>
      </c>
      <c r="B818" s="15" t="str">
        <v/>
      </c>
      <c r="C818" s="15" t="str" cm="1">
        <f t="array" ref="C818">IFERROR(_xlfn.TEXTJOIN("",TRUE,_xlfn._xlws.FILTER(MID(S818,_xlfn.SEQUENCE(LEN(S818)),1),ISNUMBER(SEARCH(MID(S818,_xlfn.SEQUENCE(LEN(S818)),1),"ABCDEFGHIJKLMNOPQRSTUVWXYZabcdefghijklmnopqrstuvwxyz0123456789,")))),"")</f>
        <v/>
      </c>
      <c r="D818" s="15" t="str">
        <v/>
      </c>
      <c r="E818" s="16" t="str">
        <v/>
      </c>
      <c r="F818" s="15" t="str">
        <v/>
      </c>
      <c r="G818" s="20" t="str" cm="1">
        <f t="array" ref="G818">IF(TRIM(P818)="","",IF(SUM(COUNTIF(P818,{"*NLGD*","*FWG*"}))&gt;0,P818,IF(SUM(COUNTIF(P818,{"*GL*","*DGB*","*DGI*","*GT*","*CS*","*PWU*","*DBI*","*SWU*"}))=0,P818,IF(IFERROR(VALUE(SUBSTITUTE(SUBSTITUTE(O818,"W",""),"""","")),0)&gt;52,P818&amp;"-OVRSIZE-",P818))))</f>
        <v/>
      </c>
      <c r="H818" s="15" t="str">
        <v/>
      </c>
      <c r="I818" s="15" t="str">
        <v/>
      </c>
      <c r="J818" s="15" t="str">
        <v/>
      </c>
      <c r="K818" s="15" t="str">
        <v/>
      </c>
      <c r="L818" s="15" t="str">
        <v/>
      </c>
      <c r="M818" s="10" t="str">
        <v/>
      </c>
      <c r="N818" s="14"/>
      <c r="O818" s="15" t="str" cm="1">
        <f t="array" ref="O818">IFERROR(_xlfn.LET(
_xlpm.clean,TRIM(SUBSTITUTE(SUBSTITUTE(P818,CHAR(160),"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8" s="15"/>
      <c r="R818" t="str">
        <v/>
      </c>
      <c r="S818" t="str">
        <f t="shared" si="13"/>
        <v/>
      </c>
    </row>
    <row r="819" spans="1:19" ht="12.75">
      <c r="A819" s="15" t="str">
        <v/>
      </c>
      <c r="B819" s="15" t="str">
        <v/>
      </c>
      <c r="C819" s="15" t="str" cm="1">
        <f t="array" ref="C819">IFERROR(_xlfn.TEXTJOIN("",TRUE,_xlfn._xlws.FILTER(MID(S819,_xlfn.SEQUENCE(LEN(S819)),1),ISNUMBER(SEARCH(MID(S819,_xlfn.SEQUENCE(LEN(S819)),1),"ABCDEFGHIJKLMNOPQRSTUVWXYZabcdefghijklmnopqrstuvwxyz0123456789,")))),"")</f>
        <v/>
      </c>
      <c r="D819" s="15" t="str">
        <v/>
      </c>
      <c r="E819" s="16" t="str">
        <v/>
      </c>
      <c r="F819" s="15" t="str">
        <v/>
      </c>
      <c r="G819" s="20" t="str" cm="1">
        <f t="array" ref="G819">IF(TRIM(P819)="","",IF(SUM(COUNTIF(P819,{"*NLGD*","*FWG*"}))&gt;0,P819,IF(SUM(COUNTIF(P819,{"*GL*","*DGB*","*DGI*","*GT*","*CS*","*PWU*","*DBI*","*SWU*"}))=0,P819,IF(IFERROR(VALUE(SUBSTITUTE(SUBSTITUTE(O819,"W",""),"""","")),0)&gt;52,P819&amp;"-OVRSIZE-",P819))))</f>
        <v/>
      </c>
      <c r="H819" s="15" t="str">
        <v/>
      </c>
      <c r="I819" s="15" t="str">
        <v/>
      </c>
      <c r="J819" s="15" t="str">
        <v/>
      </c>
      <c r="K819" s="15" t="str">
        <v/>
      </c>
      <c r="L819" s="15" t="str">
        <v/>
      </c>
      <c r="M819" s="10" t="str">
        <v/>
      </c>
      <c r="N819" s="14"/>
      <c r="O819" s="15" t="str" cm="1">
        <f t="array" ref="O819">IFERROR(_xlfn.LET(
_xlpm.clean,TRIM(SUBSTITUTE(SUBSTITUTE(P819,CHAR(160),"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9" s="15"/>
      <c r="R819" t="str">
        <v/>
      </c>
      <c r="S819" t="str">
        <f t="shared" si="13"/>
        <v/>
      </c>
    </row>
    <row r="820" spans="1:19" ht="12.75">
      <c r="A820" s="15" t="str">
        <v/>
      </c>
      <c r="B820" s="15" t="str">
        <v/>
      </c>
      <c r="C820" s="15" t="str" cm="1">
        <f t="array" ref="C820">IFERROR(_xlfn.TEXTJOIN("",TRUE,_xlfn._xlws.FILTER(MID(S820,_xlfn.SEQUENCE(LEN(S820)),1),ISNUMBER(SEARCH(MID(S820,_xlfn.SEQUENCE(LEN(S820)),1),"ABCDEFGHIJKLMNOPQRSTUVWXYZabcdefghijklmnopqrstuvwxyz0123456789,")))),"")</f>
        <v/>
      </c>
      <c r="D820" s="15" t="str">
        <v/>
      </c>
      <c r="E820" s="16" t="str">
        <v/>
      </c>
      <c r="F820" s="15" t="str">
        <v/>
      </c>
      <c r="G820" s="20" t="str" cm="1">
        <f t="array" ref="G820">IF(TRIM(P820)="","",IF(SUM(COUNTIF(P820,{"*NLGD*","*FWG*"}))&gt;0,P820,IF(SUM(COUNTIF(P820,{"*GL*","*DGB*","*DGI*","*GT*","*CS*","*PWU*","*DBI*","*SWU*"}))=0,P820,IF(IFERROR(VALUE(SUBSTITUTE(SUBSTITUTE(O820,"W",""),"""","")),0)&gt;52,P820&amp;"-OVRSIZE-",P820))))</f>
        <v/>
      </c>
      <c r="H820" s="15" t="str">
        <v/>
      </c>
      <c r="I820" s="15" t="str">
        <v/>
      </c>
      <c r="J820" s="15" t="str">
        <v/>
      </c>
      <c r="K820" s="15" t="str">
        <v/>
      </c>
      <c r="L820" s="15" t="str">
        <v/>
      </c>
      <c r="M820" s="10" t="str">
        <v/>
      </c>
      <c r="N820" s="14"/>
      <c r="O820" s="15" t="str" cm="1">
        <f t="array" ref="O820">IFERROR(_xlfn.LET(
_xlpm.clean,TRIM(SUBSTITUTE(SUBSTITUTE(P820,CHAR(160),"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0" s="15"/>
      <c r="R820" t="str">
        <v/>
      </c>
      <c r="S820" t="str">
        <f t="shared" si="13"/>
        <v/>
      </c>
    </row>
    <row r="821" spans="1:19" ht="12.75">
      <c r="A821" s="15" t="str">
        <v/>
      </c>
      <c r="B821" s="15" t="str">
        <v/>
      </c>
      <c r="C821" s="15" t="str" cm="1">
        <f t="array" ref="C821">IFERROR(_xlfn.TEXTJOIN("",TRUE,_xlfn._xlws.FILTER(MID(S821,_xlfn.SEQUENCE(LEN(S821)),1),ISNUMBER(SEARCH(MID(S821,_xlfn.SEQUENCE(LEN(S821)),1),"ABCDEFGHIJKLMNOPQRSTUVWXYZabcdefghijklmnopqrstuvwxyz0123456789,")))),"")</f>
        <v/>
      </c>
      <c r="D821" s="15" t="str">
        <v/>
      </c>
      <c r="E821" s="16" t="str">
        <v/>
      </c>
      <c r="F821" s="15" t="str">
        <v/>
      </c>
      <c r="G821" s="20" t="str" cm="1">
        <f t="array" ref="G821">IF(TRIM(P821)="","",IF(SUM(COUNTIF(P821,{"*NLGD*","*FWG*"}))&gt;0,P821,IF(SUM(COUNTIF(P821,{"*GL*","*DGB*","*DGI*","*GT*","*CS*","*PWU*","*DBI*","*SWU*"}))=0,P821,IF(IFERROR(VALUE(SUBSTITUTE(SUBSTITUTE(O821,"W",""),"""","")),0)&gt;52,P821&amp;"-OVRSIZE-",P821))))</f>
        <v/>
      </c>
      <c r="H821" s="15" t="str">
        <v/>
      </c>
      <c r="I821" s="15" t="str">
        <v/>
      </c>
      <c r="J821" s="15" t="str">
        <v/>
      </c>
      <c r="K821" s="15" t="str">
        <v/>
      </c>
      <c r="L821" s="15" t="str">
        <v/>
      </c>
      <c r="M821" s="10" t="str">
        <v/>
      </c>
      <c r="N821" s="14"/>
      <c r="O821" s="15" t="str" cm="1">
        <f t="array" ref="O821">IFERROR(_xlfn.LET(
_xlpm.clean,TRIM(SUBSTITUTE(SUBSTITUTE(P821,CHAR(160),"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1" s="15"/>
      <c r="R821" t="str">
        <v/>
      </c>
      <c r="S821" t="str">
        <f t="shared" si="13"/>
        <v/>
      </c>
    </row>
    <row r="822" spans="1:19" ht="12.75">
      <c r="A822" s="15" t="str">
        <v/>
      </c>
      <c r="B822" s="15" t="str">
        <v/>
      </c>
      <c r="C822" s="15" t="str" cm="1">
        <f t="array" ref="C822">IFERROR(_xlfn.TEXTJOIN("",TRUE,_xlfn._xlws.FILTER(MID(S822,_xlfn.SEQUENCE(LEN(S822)),1),ISNUMBER(SEARCH(MID(S822,_xlfn.SEQUENCE(LEN(S822)),1),"ABCDEFGHIJKLMNOPQRSTUVWXYZabcdefghijklmnopqrstuvwxyz0123456789,")))),"")</f>
        <v/>
      </c>
      <c r="D822" s="15" t="str">
        <v/>
      </c>
      <c r="E822" s="16" t="str">
        <v/>
      </c>
      <c r="F822" s="15" t="str">
        <v/>
      </c>
      <c r="G822" s="20" t="str" cm="1">
        <f t="array" ref="G822">IF(TRIM(P822)="","",IF(SUM(COUNTIF(P822,{"*NLGD*","*FWG*"}))&gt;0,P822,IF(SUM(COUNTIF(P822,{"*GL*","*DGB*","*DGI*","*GT*","*CS*","*PWU*","*DBI*","*SWU*"}))=0,P822,IF(IFERROR(VALUE(SUBSTITUTE(SUBSTITUTE(O822,"W",""),"""","")),0)&gt;52,P822&amp;"-OVRSIZE-",P822))))</f>
        <v/>
      </c>
      <c r="H822" s="15" t="str">
        <v/>
      </c>
      <c r="I822" s="15" t="str">
        <v/>
      </c>
      <c r="J822" s="15" t="str">
        <v/>
      </c>
      <c r="K822" s="15" t="str">
        <v/>
      </c>
      <c r="L822" s="15" t="str">
        <v/>
      </c>
      <c r="M822" s="10" t="str">
        <v/>
      </c>
      <c r="N822" s="14"/>
      <c r="O822" s="15" t="str" cm="1">
        <f t="array" ref="O822">IFERROR(_xlfn.LET(
_xlpm.clean,TRIM(SUBSTITUTE(SUBSTITUTE(P822,CHAR(160),"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2" s="15"/>
      <c r="R822" t="str">
        <v/>
      </c>
      <c r="S822" t="str">
        <f t="shared" si="13"/>
        <v/>
      </c>
    </row>
    <row r="823" spans="1:19" ht="12.75">
      <c r="A823" s="15" t="str">
        <v/>
      </c>
      <c r="B823" s="15" t="str">
        <v/>
      </c>
      <c r="C823" s="15" t="str" cm="1">
        <f t="array" ref="C823">IFERROR(_xlfn.TEXTJOIN("",TRUE,_xlfn._xlws.FILTER(MID(S823,_xlfn.SEQUENCE(LEN(S823)),1),ISNUMBER(SEARCH(MID(S823,_xlfn.SEQUENCE(LEN(S823)),1),"ABCDEFGHIJKLMNOPQRSTUVWXYZabcdefghijklmnopqrstuvwxyz0123456789,")))),"")</f>
        <v/>
      </c>
      <c r="D823" s="15" t="str">
        <v/>
      </c>
      <c r="E823" s="16" t="str">
        <v/>
      </c>
      <c r="F823" s="15" t="str">
        <v/>
      </c>
      <c r="G823" s="20" t="str" cm="1">
        <f t="array" ref="G823">IF(TRIM(P823)="","",IF(SUM(COUNTIF(P823,{"*NLGD*","*FWG*"}))&gt;0,P823,IF(SUM(COUNTIF(P823,{"*GL*","*DGB*","*DGI*","*GT*","*CS*","*PWU*","*DBI*","*SWU*"}))=0,P823,IF(IFERROR(VALUE(SUBSTITUTE(SUBSTITUTE(O823,"W",""),"""","")),0)&gt;52,P823&amp;"-OVRSIZE-",P823))))</f>
        <v/>
      </c>
      <c r="H823" s="15" t="str">
        <v/>
      </c>
      <c r="I823" s="15" t="str">
        <v/>
      </c>
      <c r="J823" s="15" t="str">
        <v/>
      </c>
      <c r="K823" s="15" t="str">
        <v/>
      </c>
      <c r="L823" s="15" t="str">
        <v/>
      </c>
      <c r="M823" s="10" t="str">
        <v/>
      </c>
      <c r="N823" s="14"/>
      <c r="O823" s="15" t="str" cm="1">
        <f t="array" ref="O823">IFERROR(_xlfn.LET(
_xlpm.clean,TRIM(SUBSTITUTE(SUBSTITUTE(P823,CHAR(160),"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3" s="15"/>
      <c r="R823" t="str">
        <v/>
      </c>
      <c r="S823" t="str">
        <f t="shared" si="13"/>
        <v/>
      </c>
    </row>
    <row r="824" spans="1:19" ht="12.75">
      <c r="A824" s="15" t="str">
        <v/>
      </c>
      <c r="B824" s="15" t="str">
        <v/>
      </c>
      <c r="C824" s="15" t="str" cm="1">
        <f t="array" ref="C824">IFERROR(_xlfn.TEXTJOIN("",TRUE,_xlfn._xlws.FILTER(MID(S824,_xlfn.SEQUENCE(LEN(S824)),1),ISNUMBER(SEARCH(MID(S824,_xlfn.SEQUENCE(LEN(S824)),1),"ABCDEFGHIJKLMNOPQRSTUVWXYZabcdefghijklmnopqrstuvwxyz0123456789,")))),"")</f>
        <v/>
      </c>
      <c r="D824" s="15" t="str">
        <v/>
      </c>
      <c r="E824" s="16" t="str">
        <v/>
      </c>
      <c r="F824" s="15" t="str">
        <v/>
      </c>
      <c r="G824" s="20" t="str" cm="1">
        <f t="array" ref="G824">IF(TRIM(P824)="","",IF(SUM(COUNTIF(P824,{"*NLGD*","*FWG*"}))&gt;0,P824,IF(SUM(COUNTIF(P824,{"*GL*","*DGB*","*DGI*","*GT*","*CS*","*PWU*","*DBI*","*SWU*"}))=0,P824,IF(IFERROR(VALUE(SUBSTITUTE(SUBSTITUTE(O824,"W",""),"""","")),0)&gt;52,P824&amp;"-OVRSIZE-",P824))))</f>
        <v/>
      </c>
      <c r="H824" s="15" t="str">
        <v/>
      </c>
      <c r="I824" s="15" t="str">
        <v/>
      </c>
      <c r="J824" s="15" t="str">
        <v/>
      </c>
      <c r="K824" s="15" t="str">
        <v/>
      </c>
      <c r="L824" s="15" t="str">
        <v/>
      </c>
      <c r="M824" s="10" t="str">
        <v/>
      </c>
      <c r="N824" s="14"/>
      <c r="O824" s="15" t="str" cm="1">
        <f t="array" ref="O824">IFERROR(_xlfn.LET(
_xlpm.clean,TRIM(SUBSTITUTE(SUBSTITUTE(P824,CHAR(160),"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4" s="15"/>
      <c r="R824" t="str">
        <v/>
      </c>
      <c r="S824" t="str">
        <f t="shared" si="13"/>
        <v/>
      </c>
    </row>
    <row r="825" spans="1:19" ht="12.75">
      <c r="A825" s="15" t="str">
        <v/>
      </c>
      <c r="B825" s="15" t="str">
        <v/>
      </c>
      <c r="C825" s="15" t="str" cm="1">
        <f t="array" ref="C825">IFERROR(_xlfn.TEXTJOIN("",TRUE,_xlfn._xlws.FILTER(MID(S825,_xlfn.SEQUENCE(LEN(S825)),1),ISNUMBER(SEARCH(MID(S825,_xlfn.SEQUENCE(LEN(S825)),1),"ABCDEFGHIJKLMNOPQRSTUVWXYZabcdefghijklmnopqrstuvwxyz0123456789,")))),"")</f>
        <v/>
      </c>
      <c r="D825" s="15" t="str">
        <v/>
      </c>
      <c r="E825" s="16" t="str">
        <v/>
      </c>
      <c r="F825" s="15" t="str">
        <v/>
      </c>
      <c r="G825" s="20" t="str" cm="1">
        <f t="array" ref="G825">IF(TRIM(P825)="","",IF(SUM(COUNTIF(P825,{"*NLGD*","*FWG*"}))&gt;0,P825,IF(SUM(COUNTIF(P825,{"*GL*","*DGB*","*DGI*","*GT*","*CS*","*PWU*","*DBI*","*SWU*"}))=0,P825,IF(IFERROR(VALUE(SUBSTITUTE(SUBSTITUTE(O825,"W",""),"""","")),0)&gt;52,P825&amp;"-OVRSIZE-",P825))))</f>
        <v/>
      </c>
      <c r="H825" s="15" t="str">
        <v/>
      </c>
      <c r="I825" s="15" t="str">
        <v/>
      </c>
      <c r="J825" s="15" t="str">
        <v/>
      </c>
      <c r="K825" s="15" t="str">
        <v/>
      </c>
      <c r="L825" s="15" t="str">
        <v/>
      </c>
      <c r="M825" s="10" t="str">
        <v/>
      </c>
      <c r="N825" s="14"/>
      <c r="O825" s="15" t="str" cm="1">
        <f t="array" ref="O825">IFERROR(_xlfn.LET(
_xlpm.clean,TRIM(SUBSTITUTE(SUBSTITUTE(P825,CHAR(160),"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5" s="15"/>
      <c r="R825" t="str">
        <v/>
      </c>
      <c r="S825" t="str">
        <f t="shared" si="13"/>
        <v/>
      </c>
    </row>
    <row r="826" spans="1:19" ht="12.75">
      <c r="A826" s="15" t="str">
        <v/>
      </c>
      <c r="B826" s="15" t="str">
        <v/>
      </c>
      <c r="C826" s="15" t="str" cm="1">
        <f t="array" ref="C826">IFERROR(_xlfn.TEXTJOIN("",TRUE,_xlfn._xlws.FILTER(MID(S826,_xlfn.SEQUENCE(LEN(S826)),1),ISNUMBER(SEARCH(MID(S826,_xlfn.SEQUENCE(LEN(S826)),1),"ABCDEFGHIJKLMNOPQRSTUVWXYZabcdefghijklmnopqrstuvwxyz0123456789,")))),"")</f>
        <v/>
      </c>
      <c r="D826" s="15" t="str">
        <v/>
      </c>
      <c r="E826" s="16" t="str">
        <v/>
      </c>
      <c r="F826" s="15" t="str">
        <v/>
      </c>
      <c r="G826" s="20" t="str" cm="1">
        <f t="array" ref="G826">IF(TRIM(P826)="","",IF(SUM(COUNTIF(P826,{"*NLGD*","*FWG*"}))&gt;0,P826,IF(SUM(COUNTIF(P826,{"*GL*","*DGB*","*DGI*","*GT*","*CS*","*PWU*","*DBI*","*SWU*"}))=0,P826,IF(IFERROR(VALUE(SUBSTITUTE(SUBSTITUTE(O826,"W",""),"""","")),0)&gt;52,P826&amp;"-OVRSIZE-",P826))))</f>
        <v/>
      </c>
      <c r="H826" s="15" t="str">
        <v/>
      </c>
      <c r="I826" s="15" t="str">
        <v/>
      </c>
      <c r="J826" s="15" t="str">
        <v/>
      </c>
      <c r="K826" s="15" t="str">
        <v/>
      </c>
      <c r="L826" s="15" t="str">
        <v/>
      </c>
      <c r="M826" s="10" t="str">
        <v/>
      </c>
      <c r="N826" s="14"/>
      <c r="O826" s="15" t="str" cm="1">
        <f t="array" ref="O826">IFERROR(_xlfn.LET(
_xlpm.clean,TRIM(SUBSTITUTE(SUBSTITUTE(P826,CHAR(160),"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6" s="15"/>
      <c r="R826" t="str">
        <v/>
      </c>
      <c r="S826" t="str">
        <f t="shared" si="13"/>
        <v/>
      </c>
    </row>
    <row r="827" spans="1:19" ht="12.75">
      <c r="A827" s="15" t="str">
        <v/>
      </c>
      <c r="B827" s="15" t="str">
        <v/>
      </c>
      <c r="C827" s="15" t="str" cm="1">
        <f t="array" ref="C827">IFERROR(_xlfn.TEXTJOIN("",TRUE,_xlfn._xlws.FILTER(MID(S827,_xlfn.SEQUENCE(LEN(S827)),1),ISNUMBER(SEARCH(MID(S827,_xlfn.SEQUENCE(LEN(S827)),1),"ABCDEFGHIJKLMNOPQRSTUVWXYZabcdefghijklmnopqrstuvwxyz0123456789,")))),"")</f>
        <v/>
      </c>
      <c r="D827" s="15" t="str">
        <v/>
      </c>
      <c r="E827" s="16" t="str">
        <v/>
      </c>
      <c r="F827" s="15" t="str">
        <v/>
      </c>
      <c r="G827" s="20" t="str" cm="1">
        <f t="array" ref="G827">IF(TRIM(P827)="","",IF(SUM(COUNTIF(P827,{"*NLGD*","*FWG*"}))&gt;0,P827,IF(SUM(COUNTIF(P827,{"*GL*","*DGB*","*DGI*","*GT*","*CS*","*PWU*","*DBI*","*SWU*"}))=0,P827,IF(IFERROR(VALUE(SUBSTITUTE(SUBSTITUTE(O827,"W",""),"""","")),0)&gt;52,P827&amp;"-OVRSIZE-",P827))))</f>
        <v/>
      </c>
      <c r="H827" s="15" t="str">
        <v/>
      </c>
      <c r="I827" s="15" t="str">
        <v/>
      </c>
      <c r="J827" s="15" t="str">
        <v/>
      </c>
      <c r="K827" s="15" t="str">
        <v/>
      </c>
      <c r="L827" s="15" t="str">
        <v/>
      </c>
      <c r="M827" s="10" t="str">
        <v/>
      </c>
      <c r="N827" s="14"/>
      <c r="O827" s="15" t="str" cm="1">
        <f t="array" ref="O827">IFERROR(_xlfn.LET(
_xlpm.clean,TRIM(SUBSTITUTE(SUBSTITUTE(P827,CHAR(160),"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7" s="15"/>
      <c r="R827" t="str">
        <v/>
      </c>
      <c r="S827" t="str">
        <f t="shared" si="13"/>
        <v/>
      </c>
    </row>
    <row r="828" spans="1:19" ht="12.75">
      <c r="A828" s="15" t="str">
        <v/>
      </c>
      <c r="B828" s="15" t="str">
        <v/>
      </c>
      <c r="C828" s="15" t="str" cm="1">
        <f t="array" ref="C828">IFERROR(_xlfn.TEXTJOIN("",TRUE,_xlfn._xlws.FILTER(MID(S828,_xlfn.SEQUENCE(LEN(S828)),1),ISNUMBER(SEARCH(MID(S828,_xlfn.SEQUENCE(LEN(S828)),1),"ABCDEFGHIJKLMNOPQRSTUVWXYZabcdefghijklmnopqrstuvwxyz0123456789,")))),"")</f>
        <v/>
      </c>
      <c r="D828" s="15" t="str">
        <v/>
      </c>
      <c r="E828" s="16" t="str">
        <v/>
      </c>
      <c r="F828" s="15" t="str">
        <v/>
      </c>
      <c r="G828" s="20" t="str" cm="1">
        <f t="array" ref="G828">IF(TRIM(P828)="","",IF(SUM(COUNTIF(P828,{"*NLGD*","*FWG*"}))&gt;0,P828,IF(SUM(COUNTIF(P828,{"*GL*","*DGB*","*DGI*","*GT*","*CS*","*PWU*","*DBI*","*SWU*"}))=0,P828,IF(IFERROR(VALUE(SUBSTITUTE(SUBSTITUTE(O828,"W",""),"""","")),0)&gt;52,P828&amp;"-OVRSIZE-",P828))))</f>
        <v/>
      </c>
      <c r="H828" s="15" t="str">
        <v/>
      </c>
      <c r="I828" s="15" t="str">
        <v/>
      </c>
      <c r="J828" s="15" t="str">
        <v/>
      </c>
      <c r="K828" s="15" t="str">
        <v/>
      </c>
      <c r="L828" s="15" t="str">
        <v/>
      </c>
      <c r="M828" s="10" t="str">
        <v/>
      </c>
      <c r="N828" s="14"/>
      <c r="O828" s="15" t="str" cm="1">
        <f t="array" ref="O828">IFERROR(_xlfn.LET(
_xlpm.clean,TRIM(SUBSTITUTE(SUBSTITUTE(P828,CHAR(160),"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8" s="15"/>
      <c r="R828" t="str">
        <v/>
      </c>
      <c r="S828" t="str">
        <f t="shared" si="13"/>
        <v/>
      </c>
    </row>
    <row r="829" spans="1:19" ht="12.75">
      <c r="A829" s="15" t="str">
        <v/>
      </c>
      <c r="B829" s="15" t="str">
        <v/>
      </c>
      <c r="C829" s="15" t="str" cm="1">
        <f t="array" ref="C829">IFERROR(_xlfn.TEXTJOIN("",TRUE,_xlfn._xlws.FILTER(MID(S829,_xlfn.SEQUENCE(LEN(S829)),1),ISNUMBER(SEARCH(MID(S829,_xlfn.SEQUENCE(LEN(S829)),1),"ABCDEFGHIJKLMNOPQRSTUVWXYZabcdefghijklmnopqrstuvwxyz0123456789,")))),"")</f>
        <v/>
      </c>
      <c r="D829" s="15" t="str">
        <v/>
      </c>
      <c r="E829" s="16" t="str">
        <v/>
      </c>
      <c r="F829" s="15" t="str">
        <v/>
      </c>
      <c r="G829" s="20" t="str" cm="1">
        <f t="array" ref="G829">IF(TRIM(P829)="","",IF(SUM(COUNTIF(P829,{"*NLGD*","*FWG*"}))&gt;0,P829,IF(SUM(COUNTIF(P829,{"*GL*","*DGB*","*DGI*","*GT*","*CS*","*PWU*","*DBI*","*SWU*"}))=0,P829,IF(IFERROR(VALUE(SUBSTITUTE(SUBSTITUTE(O829,"W",""),"""","")),0)&gt;52,P829&amp;"-OVRSIZE-",P829))))</f>
        <v/>
      </c>
      <c r="H829" s="15" t="str">
        <v/>
      </c>
      <c r="I829" s="15" t="str">
        <v/>
      </c>
      <c r="J829" s="15" t="str">
        <v/>
      </c>
      <c r="K829" s="15" t="str">
        <v/>
      </c>
      <c r="L829" s="15" t="str">
        <v/>
      </c>
      <c r="M829" s="10" t="str">
        <v/>
      </c>
      <c r="N829" s="14"/>
      <c r="O829" s="15" t="str" cm="1">
        <f t="array" ref="O829">IFERROR(_xlfn.LET(
_xlpm.clean,TRIM(SUBSTITUTE(SUBSTITUTE(P829,CHAR(160),"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9" s="15"/>
      <c r="R829" t="str">
        <v/>
      </c>
      <c r="S829" t="str">
        <f t="shared" si="13"/>
        <v/>
      </c>
    </row>
    <row r="830" spans="1:19" ht="12.75">
      <c r="A830" s="15" t="str">
        <v/>
      </c>
      <c r="B830" s="15" t="str">
        <v/>
      </c>
      <c r="C830" s="15" t="str" cm="1">
        <f t="array" ref="C830">IFERROR(_xlfn.TEXTJOIN("",TRUE,_xlfn._xlws.FILTER(MID(S830,_xlfn.SEQUENCE(LEN(S830)),1),ISNUMBER(SEARCH(MID(S830,_xlfn.SEQUENCE(LEN(S830)),1),"ABCDEFGHIJKLMNOPQRSTUVWXYZabcdefghijklmnopqrstuvwxyz0123456789,")))),"")</f>
        <v/>
      </c>
      <c r="D830" s="15" t="str">
        <v/>
      </c>
      <c r="E830" s="16" t="str">
        <v/>
      </c>
      <c r="F830" s="15" t="str">
        <v/>
      </c>
      <c r="G830" s="20" t="str" cm="1">
        <f t="array" ref="G830">IF(TRIM(P830)="","",IF(SUM(COUNTIF(P830,{"*NLGD*","*FWG*"}))&gt;0,P830,IF(SUM(COUNTIF(P830,{"*GL*","*DGB*","*DGI*","*GT*","*CS*","*PWU*","*DBI*","*SWU*"}))=0,P830,IF(IFERROR(VALUE(SUBSTITUTE(SUBSTITUTE(O830,"W",""),"""","")),0)&gt;52,P830&amp;"-OVRSIZE-",P830))))</f>
        <v/>
      </c>
      <c r="H830" s="15" t="str">
        <v/>
      </c>
      <c r="I830" s="15" t="str">
        <v/>
      </c>
      <c r="J830" s="15" t="str">
        <v/>
      </c>
      <c r="K830" s="15" t="str">
        <v/>
      </c>
      <c r="L830" s="15" t="str">
        <v/>
      </c>
      <c r="M830" s="10" t="str">
        <v/>
      </c>
      <c r="N830" s="14"/>
      <c r="O830" s="15" t="str" cm="1">
        <f t="array" ref="O830">IFERROR(_xlfn.LET(
_xlpm.clean,TRIM(SUBSTITUTE(SUBSTITUTE(P830,CHAR(160),"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0" s="15"/>
      <c r="R830" t="str">
        <v/>
      </c>
      <c r="S830" t="str">
        <f t="shared" si="13"/>
        <v/>
      </c>
    </row>
    <row r="831" spans="1:19" ht="12.75">
      <c r="A831" s="15" t="str">
        <v/>
      </c>
      <c r="B831" s="15" t="str">
        <v/>
      </c>
      <c r="C831" s="15" t="str" cm="1">
        <f t="array" ref="C831">IFERROR(_xlfn.TEXTJOIN("",TRUE,_xlfn._xlws.FILTER(MID(S831,_xlfn.SEQUENCE(LEN(S831)),1),ISNUMBER(SEARCH(MID(S831,_xlfn.SEQUENCE(LEN(S831)),1),"ABCDEFGHIJKLMNOPQRSTUVWXYZabcdefghijklmnopqrstuvwxyz0123456789,")))),"")</f>
        <v/>
      </c>
      <c r="D831" s="15" t="str">
        <v/>
      </c>
      <c r="E831" s="16" t="str">
        <v/>
      </c>
      <c r="F831" s="15" t="str">
        <v/>
      </c>
      <c r="G831" s="20" t="str" cm="1">
        <f t="array" ref="G831">IF(TRIM(P831)="","",IF(SUM(COUNTIF(P831,{"*NLGD*","*FWG*"}))&gt;0,P831,IF(SUM(COUNTIF(P831,{"*GL*","*DGB*","*DGI*","*GT*","*CS*","*PWU*","*DBI*","*SWU*"}))=0,P831,IF(IFERROR(VALUE(SUBSTITUTE(SUBSTITUTE(O831,"W",""),"""","")),0)&gt;52,P831&amp;"-OVRSIZE-",P831))))</f>
        <v/>
      </c>
      <c r="H831" s="15" t="str">
        <v/>
      </c>
      <c r="I831" s="15" t="str">
        <v/>
      </c>
      <c r="J831" s="15" t="str">
        <v/>
      </c>
      <c r="K831" s="15" t="str">
        <v/>
      </c>
      <c r="L831" s="15" t="str">
        <v/>
      </c>
      <c r="M831" s="10" t="str">
        <v/>
      </c>
      <c r="N831" s="14"/>
      <c r="O831" s="15" t="str" cm="1">
        <f t="array" ref="O831">IFERROR(_xlfn.LET(
_xlpm.clean,TRIM(SUBSTITUTE(SUBSTITUTE(P831,CHAR(160),"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1" s="15"/>
      <c r="R831" t="str">
        <v/>
      </c>
      <c r="S831" t="str">
        <f t="shared" si="13"/>
        <v/>
      </c>
    </row>
    <row r="832" spans="1:19" ht="12.75">
      <c r="A832" s="15" t="str">
        <v/>
      </c>
      <c r="B832" s="15" t="str">
        <v/>
      </c>
      <c r="C832" s="15" t="str" cm="1">
        <f t="array" ref="C832">IFERROR(_xlfn.TEXTJOIN("",TRUE,_xlfn._xlws.FILTER(MID(S832,_xlfn.SEQUENCE(LEN(S832)),1),ISNUMBER(SEARCH(MID(S832,_xlfn.SEQUENCE(LEN(S832)),1),"ABCDEFGHIJKLMNOPQRSTUVWXYZabcdefghijklmnopqrstuvwxyz0123456789,")))),"")</f>
        <v/>
      </c>
      <c r="D832" s="15" t="str">
        <v/>
      </c>
      <c r="E832" s="16" t="str">
        <v/>
      </c>
      <c r="F832" s="15" t="str">
        <v/>
      </c>
      <c r="G832" s="20" t="str" cm="1">
        <f t="array" ref="G832">IF(TRIM(P832)="","",IF(SUM(COUNTIF(P832,{"*NLGD*","*FWG*"}))&gt;0,P832,IF(SUM(COUNTIF(P832,{"*GL*","*DGB*","*DGI*","*GT*","*CS*","*PWU*","*DBI*","*SWU*"}))=0,P832,IF(IFERROR(VALUE(SUBSTITUTE(SUBSTITUTE(O832,"W",""),"""","")),0)&gt;52,P832&amp;"-OVRSIZE-",P832))))</f>
        <v/>
      </c>
      <c r="H832" s="15" t="str">
        <v/>
      </c>
      <c r="I832" s="15" t="str">
        <v/>
      </c>
      <c r="J832" s="15" t="str">
        <v/>
      </c>
      <c r="K832" s="15" t="str">
        <v/>
      </c>
      <c r="L832" s="15" t="str">
        <v/>
      </c>
      <c r="M832" s="10" t="str">
        <v/>
      </c>
      <c r="N832" s="14"/>
      <c r="O832" s="15" t="str" cm="1">
        <f t="array" ref="O832">IFERROR(_xlfn.LET(
_xlpm.clean,TRIM(SUBSTITUTE(SUBSTITUTE(P832,CHAR(160),"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2" s="15"/>
      <c r="R832" t="str">
        <v/>
      </c>
      <c r="S832" t="str">
        <f t="shared" si="13"/>
        <v/>
      </c>
    </row>
    <row r="833" spans="1:19" ht="12.75">
      <c r="A833" s="15" t="str">
        <v/>
      </c>
      <c r="B833" s="15" t="str">
        <v/>
      </c>
      <c r="C833" s="15" t="str" cm="1">
        <f t="array" ref="C833">IFERROR(_xlfn.TEXTJOIN("",TRUE,_xlfn._xlws.FILTER(MID(S833,_xlfn.SEQUENCE(LEN(S833)),1),ISNUMBER(SEARCH(MID(S833,_xlfn.SEQUENCE(LEN(S833)),1),"ABCDEFGHIJKLMNOPQRSTUVWXYZabcdefghijklmnopqrstuvwxyz0123456789,")))),"")</f>
        <v/>
      </c>
      <c r="D833" s="15" t="str">
        <v/>
      </c>
      <c r="E833" s="16" t="str">
        <v/>
      </c>
      <c r="F833" s="15" t="str">
        <v/>
      </c>
      <c r="G833" s="20" t="str" cm="1">
        <f t="array" ref="G833">IF(TRIM(P833)="","",IF(SUM(COUNTIF(P833,{"*NLGD*","*FWG*"}))&gt;0,P833,IF(SUM(COUNTIF(P833,{"*GL*","*DGB*","*DGI*","*GT*","*CS*","*PWU*","*DBI*","*SWU*"}))=0,P833,IF(IFERROR(VALUE(SUBSTITUTE(SUBSTITUTE(O833,"W",""),"""","")),0)&gt;52,P833&amp;"-OVRSIZE-",P833))))</f>
        <v/>
      </c>
      <c r="H833" s="15" t="str">
        <v/>
      </c>
      <c r="I833" s="15" t="str">
        <v/>
      </c>
      <c r="J833" s="15" t="str">
        <v/>
      </c>
      <c r="K833" s="15" t="str">
        <v/>
      </c>
      <c r="L833" s="15" t="str">
        <v/>
      </c>
      <c r="M833" s="10" t="str">
        <v/>
      </c>
      <c r="N833" s="14"/>
      <c r="O833" s="15" t="str" cm="1">
        <f t="array" ref="O833">IFERROR(_xlfn.LET(
_xlpm.clean,TRIM(SUBSTITUTE(SUBSTITUTE(P833,CHAR(160),"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3" s="15"/>
      <c r="R833" t="str">
        <v/>
      </c>
      <c r="S833" t="str">
        <f t="shared" si="13"/>
        <v/>
      </c>
    </row>
    <row r="834" spans="1:19" ht="12.75">
      <c r="A834" s="15" t="str">
        <v/>
      </c>
      <c r="B834" s="15" t="str">
        <v/>
      </c>
      <c r="C834" s="15" t="str" cm="1">
        <f t="array" ref="C834">IFERROR(_xlfn.TEXTJOIN("",TRUE,_xlfn._xlws.FILTER(MID(S834,_xlfn.SEQUENCE(LEN(S834)),1),ISNUMBER(SEARCH(MID(S834,_xlfn.SEQUENCE(LEN(S834)),1),"ABCDEFGHIJKLMNOPQRSTUVWXYZabcdefghijklmnopqrstuvwxyz0123456789,")))),"")</f>
        <v/>
      </c>
      <c r="D834" s="15" t="str">
        <v/>
      </c>
      <c r="E834" s="16" t="str">
        <v/>
      </c>
      <c r="F834" s="15" t="str">
        <v/>
      </c>
      <c r="G834" s="20" t="str" cm="1">
        <f t="array" ref="G834">IF(TRIM(P834)="","",IF(SUM(COUNTIF(P834,{"*NLGD*","*FWG*"}))&gt;0,P834,IF(SUM(COUNTIF(P834,{"*GL*","*DGB*","*DGI*","*GT*","*CS*","*PWU*","*DBI*","*SWU*"}))=0,P834,IF(IFERROR(VALUE(SUBSTITUTE(SUBSTITUTE(O834,"W",""),"""","")),0)&gt;52,P834&amp;"-OVRSIZE-",P834))))</f>
        <v/>
      </c>
      <c r="H834" s="15" t="str">
        <v/>
      </c>
      <c r="I834" s="15" t="str">
        <v/>
      </c>
      <c r="J834" s="15" t="str">
        <v/>
      </c>
      <c r="K834" s="15" t="str">
        <v/>
      </c>
      <c r="L834" s="15" t="str">
        <v/>
      </c>
      <c r="M834" s="10" t="str">
        <v/>
      </c>
      <c r="N834" s="14"/>
      <c r="O834" s="15" t="str" cm="1">
        <f t="array" ref="O834">IFERROR(_xlfn.LET(
_xlpm.clean,TRIM(SUBSTITUTE(SUBSTITUTE(P834,CHAR(160),"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4" s="15"/>
      <c r="R834" t="str">
        <v/>
      </c>
      <c r="S834" t="str">
        <f t="shared" si="13"/>
        <v/>
      </c>
    </row>
    <row r="835" spans="1:19" ht="12.75">
      <c r="A835" s="15" t="str">
        <v/>
      </c>
      <c r="B835" s="15" t="str">
        <v/>
      </c>
      <c r="C835" s="15" t="str" cm="1">
        <f t="array" ref="C835">IFERROR(_xlfn.TEXTJOIN("",TRUE,_xlfn._xlws.FILTER(MID(S835,_xlfn.SEQUENCE(LEN(S835)),1),ISNUMBER(SEARCH(MID(S835,_xlfn.SEQUENCE(LEN(S835)),1),"ABCDEFGHIJKLMNOPQRSTUVWXYZabcdefghijklmnopqrstuvwxyz0123456789,")))),"")</f>
        <v/>
      </c>
      <c r="D835" s="15" t="str">
        <v/>
      </c>
      <c r="E835" s="16" t="str">
        <v/>
      </c>
      <c r="F835" s="15" t="str">
        <v/>
      </c>
      <c r="G835" s="20" t="str" cm="1">
        <f t="array" ref="G835">IF(TRIM(P835)="","",IF(SUM(COUNTIF(P835,{"*NLGD*","*FWG*"}))&gt;0,P835,IF(SUM(COUNTIF(P835,{"*GL*","*DGB*","*DGI*","*GT*","*CS*","*PWU*","*DBI*","*SWU*"}))=0,P835,IF(IFERROR(VALUE(SUBSTITUTE(SUBSTITUTE(O835,"W",""),"""","")),0)&gt;52,P835&amp;"-OVRSIZE-",P835))))</f>
        <v/>
      </c>
      <c r="H835" s="15" t="str">
        <v/>
      </c>
      <c r="I835" s="15" t="str">
        <v/>
      </c>
      <c r="J835" s="15" t="str">
        <v/>
      </c>
      <c r="K835" s="15" t="str">
        <v/>
      </c>
      <c r="L835" s="15" t="str">
        <v/>
      </c>
      <c r="M835" s="10" t="str">
        <v/>
      </c>
      <c r="N835" s="14"/>
      <c r="O835" s="15" t="str" cm="1">
        <f t="array" ref="O835">IFERROR(_xlfn.LET(
_xlpm.clean,TRIM(SUBSTITUTE(SUBSTITUTE(P835,CHAR(160),"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5" s="15"/>
      <c r="R835" t="str">
        <v/>
      </c>
      <c r="S835" t="str">
        <f t="shared" si="13"/>
        <v/>
      </c>
    </row>
    <row r="836" spans="1:19" ht="12.75">
      <c r="A836" s="15" t="str">
        <v/>
      </c>
      <c r="B836" s="15" t="str">
        <v/>
      </c>
      <c r="C836" s="15" t="str" cm="1">
        <f t="array" ref="C836">IFERROR(_xlfn.TEXTJOIN("",TRUE,_xlfn._xlws.FILTER(MID(S836,_xlfn.SEQUENCE(LEN(S836)),1),ISNUMBER(SEARCH(MID(S836,_xlfn.SEQUENCE(LEN(S836)),1),"ABCDEFGHIJKLMNOPQRSTUVWXYZabcdefghijklmnopqrstuvwxyz0123456789,")))),"")</f>
        <v/>
      </c>
      <c r="D836" s="15" t="str">
        <v/>
      </c>
      <c r="E836" s="16" t="str">
        <v/>
      </c>
      <c r="F836" s="15" t="str">
        <v/>
      </c>
      <c r="G836" s="20" t="str" cm="1">
        <f t="array" ref="G836">IF(TRIM(P836)="","",IF(SUM(COUNTIF(P836,{"*NLGD*","*FWG*"}))&gt;0,P836,IF(SUM(COUNTIF(P836,{"*GL*","*DGB*","*DGI*","*GT*","*CS*","*PWU*","*DBI*","*SWU*"}))=0,P836,IF(IFERROR(VALUE(SUBSTITUTE(SUBSTITUTE(O836,"W",""),"""","")),0)&gt;52,P836&amp;"-OVRSIZE-",P836))))</f>
        <v/>
      </c>
      <c r="H836" s="15" t="str">
        <v/>
      </c>
      <c r="I836" s="15" t="str">
        <v/>
      </c>
      <c r="J836" s="15" t="str">
        <v/>
      </c>
      <c r="K836" s="15" t="str">
        <v/>
      </c>
      <c r="L836" s="15" t="str">
        <v/>
      </c>
      <c r="M836" s="10" t="str">
        <v/>
      </c>
      <c r="N836" s="14"/>
      <c r="O836" s="15" t="str" cm="1">
        <f t="array" ref="O836">IFERROR(_xlfn.LET(
_xlpm.clean,TRIM(SUBSTITUTE(SUBSTITUTE(P836,CHAR(160),"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6" s="15"/>
      <c r="R836" t="str">
        <v/>
      </c>
      <c r="S836" t="str">
        <f t="shared" si="13"/>
        <v/>
      </c>
    </row>
    <row r="837" spans="1:19" ht="12.75">
      <c r="A837" s="15" t="str">
        <v/>
      </c>
      <c r="B837" s="15" t="str">
        <v/>
      </c>
      <c r="C837" s="15" t="str" cm="1">
        <f t="array" ref="C837">IFERROR(_xlfn.TEXTJOIN("",TRUE,_xlfn._xlws.FILTER(MID(S837,_xlfn.SEQUENCE(LEN(S837)),1),ISNUMBER(SEARCH(MID(S837,_xlfn.SEQUENCE(LEN(S837)),1),"ABCDEFGHIJKLMNOPQRSTUVWXYZabcdefghijklmnopqrstuvwxyz0123456789,")))),"")</f>
        <v/>
      </c>
      <c r="D837" s="15" t="str">
        <v/>
      </c>
      <c r="E837" s="16" t="str">
        <v/>
      </c>
      <c r="F837" s="15" t="str">
        <v/>
      </c>
      <c r="G837" s="20" t="str" cm="1">
        <f t="array" ref="G837">IF(TRIM(P837)="","",IF(SUM(COUNTIF(P837,{"*NLGD*","*FWG*"}))&gt;0,P837,IF(SUM(COUNTIF(P837,{"*GL*","*DGB*","*DGI*","*GT*","*CS*","*PWU*","*DBI*","*SWU*"}))=0,P837,IF(IFERROR(VALUE(SUBSTITUTE(SUBSTITUTE(O837,"W",""),"""","")),0)&gt;52,P837&amp;"-OVRSIZE-",P837))))</f>
        <v/>
      </c>
      <c r="H837" s="15" t="str">
        <v/>
      </c>
      <c r="I837" s="15" t="str">
        <v/>
      </c>
      <c r="J837" s="15" t="str">
        <v/>
      </c>
      <c r="K837" s="15" t="str">
        <v/>
      </c>
      <c r="L837" s="15" t="str">
        <v/>
      </c>
      <c r="M837" s="10" t="str">
        <v/>
      </c>
      <c r="N837" s="14"/>
      <c r="O837" s="15" t="str" cm="1">
        <f t="array" ref="O837">IFERROR(_xlfn.LET(
_xlpm.clean,TRIM(SUBSTITUTE(SUBSTITUTE(P837,CHAR(160),"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7" s="15"/>
      <c r="R837" t="str">
        <v/>
      </c>
      <c r="S837" t="str">
        <f t="shared" si="13"/>
        <v/>
      </c>
    </row>
    <row r="838" spans="1:19" ht="12.75">
      <c r="A838" s="15" t="str">
        <v/>
      </c>
      <c r="B838" s="15" t="str">
        <v/>
      </c>
      <c r="C838" s="15" t="str" cm="1">
        <f t="array" ref="C838">IFERROR(_xlfn.TEXTJOIN("",TRUE,_xlfn._xlws.FILTER(MID(S838,_xlfn.SEQUENCE(LEN(S838)),1),ISNUMBER(SEARCH(MID(S838,_xlfn.SEQUENCE(LEN(S838)),1),"ABCDEFGHIJKLMNOPQRSTUVWXYZabcdefghijklmnopqrstuvwxyz0123456789,")))),"")</f>
        <v/>
      </c>
      <c r="D838" s="15" t="str">
        <v/>
      </c>
      <c r="E838" s="16" t="str">
        <v/>
      </c>
      <c r="F838" s="15" t="str">
        <v/>
      </c>
      <c r="G838" s="20" t="str" cm="1">
        <f t="array" ref="G838">IF(TRIM(P838)="","",IF(SUM(COUNTIF(P838,{"*NLGD*","*FWG*"}))&gt;0,P838,IF(SUM(COUNTIF(P838,{"*GL*","*DGB*","*DGI*","*GT*","*CS*","*PWU*","*DBI*","*SWU*"}))=0,P838,IF(IFERROR(VALUE(SUBSTITUTE(SUBSTITUTE(O838,"W",""),"""","")),0)&gt;52,P838&amp;"-OVRSIZE-",P838))))</f>
        <v/>
      </c>
      <c r="H838" s="15" t="str">
        <v/>
      </c>
      <c r="I838" s="15" t="str">
        <v/>
      </c>
      <c r="J838" s="15" t="str">
        <v/>
      </c>
      <c r="K838" s="15" t="str">
        <v/>
      </c>
      <c r="L838" s="15" t="str">
        <v/>
      </c>
      <c r="M838" s="10" t="str">
        <v/>
      </c>
      <c r="N838" s="14"/>
      <c r="O838" s="15" t="str" cm="1">
        <f t="array" ref="O838">IFERROR(_xlfn.LET(
_xlpm.clean,TRIM(SUBSTITUTE(SUBSTITUTE(P838,CHAR(160),"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8" s="15"/>
      <c r="R838" t="str">
        <v/>
      </c>
      <c r="S838" t="str">
        <f t="shared" si="13"/>
        <v/>
      </c>
    </row>
    <row r="839" spans="1:19" ht="12.75">
      <c r="A839" s="15" t="str">
        <v/>
      </c>
      <c r="B839" s="15" t="str">
        <v/>
      </c>
      <c r="C839" s="15" t="str" cm="1">
        <f t="array" ref="C839">IFERROR(_xlfn.TEXTJOIN("",TRUE,_xlfn._xlws.FILTER(MID(S839,_xlfn.SEQUENCE(LEN(S839)),1),ISNUMBER(SEARCH(MID(S839,_xlfn.SEQUENCE(LEN(S839)),1),"ABCDEFGHIJKLMNOPQRSTUVWXYZabcdefghijklmnopqrstuvwxyz0123456789,")))),"")</f>
        <v/>
      </c>
      <c r="D839" s="15" t="str">
        <v/>
      </c>
      <c r="E839" s="16" t="str">
        <v/>
      </c>
      <c r="F839" s="15" t="str">
        <v/>
      </c>
      <c r="G839" s="20" t="str" cm="1">
        <f t="array" ref="G839">IF(TRIM(P839)="","",IF(SUM(COUNTIF(P839,{"*NLGD*","*FWG*"}))&gt;0,P839,IF(SUM(COUNTIF(P839,{"*GL*","*DGB*","*DGI*","*GT*","*CS*","*PWU*","*DBI*","*SWU*"}))=0,P839,IF(IFERROR(VALUE(SUBSTITUTE(SUBSTITUTE(O839,"W",""),"""","")),0)&gt;52,P839&amp;"-OVRSIZE-",P839))))</f>
        <v/>
      </c>
      <c r="H839" s="15" t="str">
        <v/>
      </c>
      <c r="I839" s="15" t="str">
        <v/>
      </c>
      <c r="J839" s="15" t="str">
        <v/>
      </c>
      <c r="K839" s="15" t="str">
        <v/>
      </c>
      <c r="L839" s="15" t="str">
        <v/>
      </c>
      <c r="M839" s="10" t="str">
        <v/>
      </c>
      <c r="N839" s="14"/>
      <c r="O839" s="15" t="str" cm="1">
        <f t="array" ref="O839">IFERROR(_xlfn.LET(
_xlpm.clean,TRIM(SUBSTITUTE(SUBSTITUTE(P839,CHAR(160),"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9" s="15"/>
      <c r="R839" t="str">
        <v/>
      </c>
      <c r="S839" t="str">
        <f t="shared" si="13"/>
        <v/>
      </c>
    </row>
    <row r="840" spans="1:19" ht="12.75">
      <c r="A840" s="15" t="str">
        <v/>
      </c>
      <c r="B840" s="15" t="str">
        <v/>
      </c>
      <c r="C840" s="15" t="str" cm="1">
        <f t="array" ref="C840">IFERROR(_xlfn.TEXTJOIN("",TRUE,_xlfn._xlws.FILTER(MID(S840,_xlfn.SEQUENCE(LEN(S840)),1),ISNUMBER(SEARCH(MID(S840,_xlfn.SEQUENCE(LEN(S840)),1),"ABCDEFGHIJKLMNOPQRSTUVWXYZabcdefghijklmnopqrstuvwxyz0123456789,")))),"")</f>
        <v/>
      </c>
      <c r="D840" s="15" t="str">
        <v/>
      </c>
      <c r="E840" s="16" t="str">
        <v/>
      </c>
      <c r="F840" s="15" t="str">
        <v/>
      </c>
      <c r="G840" s="20" t="str" cm="1">
        <f t="array" ref="G840">IF(TRIM(P840)="","",IF(SUM(COUNTIF(P840,{"*NLGD*","*FWG*"}))&gt;0,P840,IF(SUM(COUNTIF(P840,{"*GL*","*DGB*","*DGI*","*GT*","*CS*","*PWU*","*DBI*","*SWU*"}))=0,P840,IF(IFERROR(VALUE(SUBSTITUTE(SUBSTITUTE(O840,"W",""),"""","")),0)&gt;52,P840&amp;"-OVRSIZE-",P840))))</f>
        <v/>
      </c>
      <c r="H840" s="15" t="str">
        <v/>
      </c>
      <c r="I840" s="15" t="str">
        <v/>
      </c>
      <c r="J840" s="15" t="str">
        <v/>
      </c>
      <c r="K840" s="15" t="str">
        <v/>
      </c>
      <c r="L840" s="15" t="str">
        <v/>
      </c>
      <c r="M840" s="10" t="str">
        <v/>
      </c>
      <c r="N840" s="14"/>
      <c r="O840" s="15" t="str" cm="1">
        <f t="array" ref="O840">IFERROR(_xlfn.LET(
_xlpm.clean,TRIM(SUBSTITUTE(SUBSTITUTE(P840,CHAR(160),"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0" s="15"/>
      <c r="R840" t="str">
        <v/>
      </c>
      <c r="S840" t="str">
        <f t="shared" ref="S840:S903" si="14">IF(R840="","",_xlfn.LET(
_xlpm.x,TRIM(SUBSTITUTE(SUBSTITUTE(SUBSTITUTE(SUBSTITUTE(R840,":","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841" spans="1:19" ht="12.75">
      <c r="A841" s="15" t="str">
        <v/>
      </c>
      <c r="B841" s="15" t="str">
        <v/>
      </c>
      <c r="C841" s="15" t="str" cm="1">
        <f t="array" ref="C841">IFERROR(_xlfn.TEXTJOIN("",TRUE,_xlfn._xlws.FILTER(MID(S841,_xlfn.SEQUENCE(LEN(S841)),1),ISNUMBER(SEARCH(MID(S841,_xlfn.SEQUENCE(LEN(S841)),1),"ABCDEFGHIJKLMNOPQRSTUVWXYZabcdefghijklmnopqrstuvwxyz0123456789,")))),"")</f>
        <v/>
      </c>
      <c r="D841" s="15" t="str">
        <v/>
      </c>
      <c r="E841" s="16" t="str">
        <v/>
      </c>
      <c r="F841" s="15" t="str">
        <v/>
      </c>
      <c r="G841" s="20" t="str" cm="1">
        <f t="array" ref="G841">IF(TRIM(P841)="","",IF(SUM(COUNTIF(P841,{"*NLGD*","*FWG*"}))&gt;0,P841,IF(SUM(COUNTIF(P841,{"*GL*","*DGB*","*DGI*","*GT*","*CS*","*PWU*","*DBI*","*SWU*"}))=0,P841,IF(IFERROR(VALUE(SUBSTITUTE(SUBSTITUTE(O841,"W",""),"""","")),0)&gt;52,P841&amp;"-OVRSIZE-",P841))))</f>
        <v/>
      </c>
      <c r="H841" s="15" t="str">
        <v/>
      </c>
      <c r="I841" s="15" t="str">
        <v/>
      </c>
      <c r="J841" s="15" t="str">
        <v/>
      </c>
      <c r="K841" s="15" t="str">
        <v/>
      </c>
      <c r="L841" s="15" t="str">
        <v/>
      </c>
      <c r="M841" s="10" t="str">
        <v/>
      </c>
      <c r="N841" s="14"/>
      <c r="O841" s="15" t="str" cm="1">
        <f t="array" ref="O841">IFERROR(_xlfn.LET(
_xlpm.clean,TRIM(SUBSTITUTE(SUBSTITUTE(P841,CHAR(160),"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1" s="15"/>
      <c r="R841" t="str">
        <v/>
      </c>
      <c r="S841" t="str">
        <f t="shared" si="14"/>
        <v/>
      </c>
    </row>
    <row r="842" spans="1:19" ht="12.75">
      <c r="A842" s="15" t="str">
        <v/>
      </c>
      <c r="B842" s="15" t="str">
        <v/>
      </c>
      <c r="C842" s="15" t="str" cm="1">
        <f t="array" ref="C842">IFERROR(_xlfn.TEXTJOIN("",TRUE,_xlfn._xlws.FILTER(MID(S842,_xlfn.SEQUENCE(LEN(S842)),1),ISNUMBER(SEARCH(MID(S842,_xlfn.SEQUENCE(LEN(S842)),1),"ABCDEFGHIJKLMNOPQRSTUVWXYZabcdefghijklmnopqrstuvwxyz0123456789,")))),"")</f>
        <v/>
      </c>
      <c r="D842" s="15" t="str">
        <v/>
      </c>
      <c r="E842" s="16" t="str">
        <v/>
      </c>
      <c r="F842" s="15" t="str">
        <v/>
      </c>
      <c r="G842" s="20" t="str" cm="1">
        <f t="array" ref="G842">IF(TRIM(P842)="","",IF(SUM(COUNTIF(P842,{"*NLGD*","*FWG*"}))&gt;0,P842,IF(SUM(COUNTIF(P842,{"*GL*","*DGB*","*DGI*","*GT*","*CS*","*PWU*","*DBI*","*SWU*"}))=0,P842,IF(IFERROR(VALUE(SUBSTITUTE(SUBSTITUTE(O842,"W",""),"""","")),0)&gt;52,P842&amp;"-OVRSIZE-",P842))))</f>
        <v/>
      </c>
      <c r="H842" s="15" t="str">
        <v/>
      </c>
      <c r="I842" s="15" t="str">
        <v/>
      </c>
      <c r="J842" s="15" t="str">
        <v/>
      </c>
      <c r="K842" s="15" t="str">
        <v/>
      </c>
      <c r="L842" s="15" t="str">
        <v/>
      </c>
      <c r="M842" s="10" t="str">
        <v/>
      </c>
      <c r="N842" s="14"/>
      <c r="O842" s="15" t="str" cm="1">
        <f t="array" ref="O842">IFERROR(_xlfn.LET(
_xlpm.clean,TRIM(SUBSTITUTE(SUBSTITUTE(P842,CHAR(160),"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2" s="15"/>
      <c r="R842" t="str">
        <v/>
      </c>
      <c r="S842" t="str">
        <f t="shared" si="14"/>
        <v/>
      </c>
    </row>
    <row r="843" spans="1:19" ht="12.75">
      <c r="A843" s="15" t="str">
        <v/>
      </c>
      <c r="B843" s="15" t="str">
        <v/>
      </c>
      <c r="C843" s="15" t="str" cm="1">
        <f t="array" ref="C843">IFERROR(_xlfn.TEXTJOIN("",TRUE,_xlfn._xlws.FILTER(MID(S843,_xlfn.SEQUENCE(LEN(S843)),1),ISNUMBER(SEARCH(MID(S843,_xlfn.SEQUENCE(LEN(S843)),1),"ABCDEFGHIJKLMNOPQRSTUVWXYZabcdefghijklmnopqrstuvwxyz0123456789,")))),"")</f>
        <v/>
      </c>
      <c r="D843" s="15" t="str">
        <v/>
      </c>
      <c r="E843" s="16" t="str">
        <v/>
      </c>
      <c r="F843" s="15" t="str">
        <v/>
      </c>
      <c r="G843" s="20" t="str" cm="1">
        <f t="array" ref="G843">IF(TRIM(P843)="","",IF(SUM(COUNTIF(P843,{"*NLGD*","*FWG*"}))&gt;0,P843,IF(SUM(COUNTIF(P843,{"*GL*","*DGB*","*DGI*","*GT*","*CS*","*PWU*","*DBI*","*SWU*"}))=0,P843,IF(IFERROR(VALUE(SUBSTITUTE(SUBSTITUTE(O843,"W",""),"""","")),0)&gt;52,P843&amp;"-OVRSIZE-",P843))))</f>
        <v/>
      </c>
      <c r="H843" s="15" t="str">
        <v/>
      </c>
      <c r="I843" s="15" t="str">
        <v/>
      </c>
      <c r="J843" s="15" t="str">
        <v/>
      </c>
      <c r="K843" s="15" t="str">
        <v/>
      </c>
      <c r="L843" s="15" t="str">
        <v/>
      </c>
      <c r="M843" s="10" t="str">
        <v/>
      </c>
      <c r="N843" s="14"/>
      <c r="O843" s="15" t="str" cm="1">
        <f t="array" ref="O843">IFERROR(_xlfn.LET(
_xlpm.clean,TRIM(SUBSTITUTE(SUBSTITUTE(P843,CHAR(160),"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3" s="15"/>
      <c r="R843" t="str">
        <v/>
      </c>
      <c r="S843" t="str">
        <f t="shared" si="14"/>
        <v/>
      </c>
    </row>
    <row r="844" spans="1:19" ht="12.75">
      <c r="A844" s="15" t="str">
        <v/>
      </c>
      <c r="B844" s="15" t="str">
        <v/>
      </c>
      <c r="C844" s="15" t="str" cm="1">
        <f t="array" ref="C844">IFERROR(_xlfn.TEXTJOIN("",TRUE,_xlfn._xlws.FILTER(MID(S844,_xlfn.SEQUENCE(LEN(S844)),1),ISNUMBER(SEARCH(MID(S844,_xlfn.SEQUENCE(LEN(S844)),1),"ABCDEFGHIJKLMNOPQRSTUVWXYZabcdefghijklmnopqrstuvwxyz0123456789,")))),"")</f>
        <v/>
      </c>
      <c r="D844" s="15" t="str">
        <v/>
      </c>
      <c r="E844" s="16" t="str">
        <v/>
      </c>
      <c r="F844" s="15" t="str">
        <v/>
      </c>
      <c r="G844" s="20" t="str" cm="1">
        <f t="array" ref="G844">IF(TRIM(P844)="","",IF(SUM(COUNTIF(P844,{"*NLGD*","*FWG*"}))&gt;0,P844,IF(SUM(COUNTIF(P844,{"*GL*","*DGB*","*DGI*","*GT*","*CS*","*PWU*","*DBI*","*SWU*"}))=0,P844,IF(IFERROR(VALUE(SUBSTITUTE(SUBSTITUTE(O844,"W",""),"""","")),0)&gt;52,P844&amp;"-OVRSIZE-",P844))))</f>
        <v/>
      </c>
      <c r="H844" s="15" t="str">
        <v/>
      </c>
      <c r="I844" s="15" t="str">
        <v/>
      </c>
      <c r="J844" s="15" t="str">
        <v/>
      </c>
      <c r="K844" s="15" t="str">
        <v/>
      </c>
      <c r="L844" s="15" t="str">
        <v/>
      </c>
      <c r="M844" s="10" t="str">
        <v/>
      </c>
      <c r="N844" s="14"/>
      <c r="O844" s="15" t="str" cm="1">
        <f t="array" ref="O844">IFERROR(_xlfn.LET(
_xlpm.clean,TRIM(SUBSTITUTE(SUBSTITUTE(P844,CHAR(160),"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4" s="15"/>
      <c r="R844" t="str">
        <v/>
      </c>
      <c r="S844" t="str">
        <f t="shared" si="14"/>
        <v/>
      </c>
    </row>
    <row r="845" spans="1:19" ht="12.75">
      <c r="A845" s="15" t="str">
        <v/>
      </c>
      <c r="B845" s="15" t="str">
        <v/>
      </c>
      <c r="C845" s="15" t="str" cm="1">
        <f t="array" ref="C845">IFERROR(_xlfn.TEXTJOIN("",TRUE,_xlfn._xlws.FILTER(MID(S845,_xlfn.SEQUENCE(LEN(S845)),1),ISNUMBER(SEARCH(MID(S845,_xlfn.SEQUENCE(LEN(S845)),1),"ABCDEFGHIJKLMNOPQRSTUVWXYZabcdefghijklmnopqrstuvwxyz0123456789,")))),"")</f>
        <v/>
      </c>
      <c r="D845" s="15" t="str">
        <v/>
      </c>
      <c r="E845" s="16" t="str">
        <v/>
      </c>
      <c r="F845" s="15" t="str">
        <v/>
      </c>
      <c r="G845" s="20" t="str" cm="1">
        <f t="array" ref="G845">IF(TRIM(P845)="","",IF(SUM(COUNTIF(P845,{"*NLGD*","*FWG*"}))&gt;0,P845,IF(SUM(COUNTIF(P845,{"*GL*","*DGB*","*DGI*","*GT*","*CS*","*PWU*","*DBI*","*SWU*"}))=0,P845,IF(IFERROR(VALUE(SUBSTITUTE(SUBSTITUTE(O845,"W",""),"""","")),0)&gt;52,P845&amp;"-OVRSIZE-",P845))))</f>
        <v/>
      </c>
      <c r="H845" s="15" t="str">
        <v/>
      </c>
      <c r="I845" s="15" t="str">
        <v/>
      </c>
      <c r="J845" s="15" t="str">
        <v/>
      </c>
      <c r="K845" s="15" t="str">
        <v/>
      </c>
      <c r="L845" s="15" t="str">
        <v/>
      </c>
      <c r="M845" s="10" t="str">
        <v/>
      </c>
      <c r="N845" s="14"/>
      <c r="O845" s="15" t="str" cm="1">
        <f t="array" ref="O845">IFERROR(_xlfn.LET(
_xlpm.clean,TRIM(SUBSTITUTE(SUBSTITUTE(P845,CHAR(160),"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5" s="15"/>
      <c r="R845" t="str">
        <v/>
      </c>
      <c r="S845" t="str">
        <f t="shared" si="14"/>
        <v/>
      </c>
    </row>
    <row r="846" spans="1:19" ht="12.75">
      <c r="A846" s="15" t="str">
        <v/>
      </c>
      <c r="B846" s="15" t="str">
        <v/>
      </c>
      <c r="C846" s="15" t="str" cm="1">
        <f t="array" ref="C846">IFERROR(_xlfn.TEXTJOIN("",TRUE,_xlfn._xlws.FILTER(MID(S846,_xlfn.SEQUENCE(LEN(S846)),1),ISNUMBER(SEARCH(MID(S846,_xlfn.SEQUENCE(LEN(S846)),1),"ABCDEFGHIJKLMNOPQRSTUVWXYZabcdefghijklmnopqrstuvwxyz0123456789,")))),"")</f>
        <v/>
      </c>
      <c r="D846" s="15" t="str">
        <v/>
      </c>
      <c r="E846" s="16" t="str">
        <v/>
      </c>
      <c r="F846" s="15" t="str">
        <v/>
      </c>
      <c r="G846" s="20" t="str" cm="1">
        <f t="array" ref="G846">IF(TRIM(P846)="","",IF(SUM(COUNTIF(P846,{"*NLGD*","*FWG*"}))&gt;0,P846,IF(SUM(COUNTIF(P846,{"*GL*","*DGB*","*DGI*","*GT*","*CS*","*PWU*","*DBI*","*SWU*"}))=0,P846,IF(IFERROR(VALUE(SUBSTITUTE(SUBSTITUTE(O846,"W",""),"""","")),0)&gt;52,P846&amp;"-OVRSIZE-",P846))))</f>
        <v/>
      </c>
      <c r="H846" s="15" t="str">
        <v/>
      </c>
      <c r="I846" s="15" t="str">
        <v/>
      </c>
      <c r="J846" s="15" t="str">
        <v/>
      </c>
      <c r="K846" s="15" t="str">
        <v/>
      </c>
      <c r="L846" s="15" t="str">
        <v/>
      </c>
      <c r="M846" s="10" t="str">
        <v/>
      </c>
      <c r="N846" s="14"/>
      <c r="O846" s="15" t="str" cm="1">
        <f t="array" ref="O846">IFERROR(_xlfn.LET(
_xlpm.clean,TRIM(SUBSTITUTE(SUBSTITUTE(P846,CHAR(160),"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6" s="15"/>
      <c r="R846" t="str">
        <v/>
      </c>
      <c r="S846" t="str">
        <f t="shared" si="14"/>
        <v/>
      </c>
    </row>
    <row r="847" spans="1:19" ht="12.75">
      <c r="A847" s="15" t="str">
        <v/>
      </c>
      <c r="B847" s="15" t="str">
        <v/>
      </c>
      <c r="C847" s="15" t="str" cm="1">
        <f t="array" ref="C847">IFERROR(_xlfn.TEXTJOIN("",TRUE,_xlfn._xlws.FILTER(MID(S847,_xlfn.SEQUENCE(LEN(S847)),1),ISNUMBER(SEARCH(MID(S847,_xlfn.SEQUENCE(LEN(S847)),1),"ABCDEFGHIJKLMNOPQRSTUVWXYZabcdefghijklmnopqrstuvwxyz0123456789,")))),"")</f>
        <v/>
      </c>
      <c r="D847" s="15" t="str">
        <v/>
      </c>
      <c r="E847" s="16" t="str">
        <v/>
      </c>
      <c r="F847" s="15" t="str">
        <v/>
      </c>
      <c r="G847" s="20" t="str" cm="1">
        <f t="array" ref="G847">IF(TRIM(P847)="","",IF(SUM(COUNTIF(P847,{"*NLGD*","*FWG*"}))&gt;0,P847,IF(SUM(COUNTIF(P847,{"*GL*","*DGB*","*DGI*","*GT*","*CS*","*PWU*","*DBI*","*SWU*"}))=0,P847,IF(IFERROR(VALUE(SUBSTITUTE(SUBSTITUTE(O847,"W",""),"""","")),0)&gt;52,P847&amp;"-OVRSIZE-",P847))))</f>
        <v/>
      </c>
      <c r="H847" s="15" t="str">
        <v/>
      </c>
      <c r="I847" s="15" t="str">
        <v/>
      </c>
      <c r="J847" s="15" t="str">
        <v/>
      </c>
      <c r="K847" s="15" t="str">
        <v/>
      </c>
      <c r="L847" s="15" t="str">
        <v/>
      </c>
      <c r="M847" s="10" t="str">
        <v/>
      </c>
      <c r="N847" s="14"/>
      <c r="O847" s="15" t="str" cm="1">
        <f t="array" ref="O847">IFERROR(_xlfn.LET(
_xlpm.clean,TRIM(SUBSTITUTE(SUBSTITUTE(P847,CHAR(160),"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7" s="15"/>
      <c r="R847" t="str">
        <v/>
      </c>
      <c r="S847" t="str">
        <f t="shared" si="14"/>
        <v/>
      </c>
    </row>
    <row r="848" spans="1:19" ht="12.75">
      <c r="A848" s="15" t="str">
        <v/>
      </c>
      <c r="B848" s="15" t="str">
        <v/>
      </c>
      <c r="C848" s="15" t="str" cm="1">
        <f t="array" ref="C848">IFERROR(_xlfn.TEXTJOIN("",TRUE,_xlfn._xlws.FILTER(MID(S848,_xlfn.SEQUENCE(LEN(S848)),1),ISNUMBER(SEARCH(MID(S848,_xlfn.SEQUENCE(LEN(S848)),1),"ABCDEFGHIJKLMNOPQRSTUVWXYZabcdefghijklmnopqrstuvwxyz0123456789,")))),"")</f>
        <v/>
      </c>
      <c r="D848" s="15" t="str">
        <v/>
      </c>
      <c r="E848" s="16" t="str">
        <v/>
      </c>
      <c r="F848" s="15" t="str">
        <v/>
      </c>
      <c r="G848" s="20" t="str" cm="1">
        <f t="array" ref="G848">IF(TRIM(P848)="","",IF(SUM(COUNTIF(P848,{"*NLGD*","*FWG*"}))&gt;0,P848,IF(SUM(COUNTIF(P848,{"*GL*","*DGB*","*DGI*","*GT*","*CS*","*PWU*","*DBI*","*SWU*"}))=0,P848,IF(IFERROR(VALUE(SUBSTITUTE(SUBSTITUTE(O848,"W",""),"""","")),0)&gt;52,P848&amp;"-OVRSIZE-",P848))))</f>
        <v/>
      </c>
      <c r="H848" s="15" t="str">
        <v/>
      </c>
      <c r="I848" s="15" t="str">
        <v/>
      </c>
      <c r="J848" s="15" t="str">
        <v/>
      </c>
      <c r="K848" s="15" t="str">
        <v/>
      </c>
      <c r="L848" s="15" t="str">
        <v/>
      </c>
      <c r="M848" s="10" t="str">
        <v/>
      </c>
      <c r="N848" s="14"/>
      <c r="O848" s="15" t="str" cm="1">
        <f t="array" ref="O848">IFERROR(_xlfn.LET(
_xlpm.clean,TRIM(SUBSTITUTE(SUBSTITUTE(P848,CHAR(160),"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8" s="15"/>
      <c r="R848" t="str">
        <v/>
      </c>
      <c r="S848" t="str">
        <f t="shared" si="14"/>
        <v/>
      </c>
    </row>
    <row r="849" spans="1:19" ht="12.75">
      <c r="A849" s="15" t="str">
        <v/>
      </c>
      <c r="B849" s="15" t="str">
        <v/>
      </c>
      <c r="C849" s="15" t="str" cm="1">
        <f t="array" ref="C849">IFERROR(_xlfn.TEXTJOIN("",TRUE,_xlfn._xlws.FILTER(MID(S849,_xlfn.SEQUENCE(LEN(S849)),1),ISNUMBER(SEARCH(MID(S849,_xlfn.SEQUENCE(LEN(S849)),1),"ABCDEFGHIJKLMNOPQRSTUVWXYZabcdefghijklmnopqrstuvwxyz0123456789,")))),"")</f>
        <v/>
      </c>
      <c r="D849" s="15" t="str">
        <v/>
      </c>
      <c r="E849" s="16" t="str">
        <v/>
      </c>
      <c r="F849" s="15" t="str">
        <v/>
      </c>
      <c r="G849" s="20" t="str" cm="1">
        <f t="array" ref="G849">IF(TRIM(P849)="","",IF(SUM(COUNTIF(P849,{"*NLGD*","*FWG*"}))&gt;0,P849,IF(SUM(COUNTIF(P849,{"*GL*","*DGB*","*DGI*","*GT*","*CS*","*PWU*","*DBI*","*SWU*"}))=0,P849,IF(IFERROR(VALUE(SUBSTITUTE(SUBSTITUTE(O849,"W",""),"""","")),0)&gt;52,P849&amp;"-OVRSIZE-",P849))))</f>
        <v/>
      </c>
      <c r="H849" s="15" t="str">
        <v/>
      </c>
      <c r="I849" s="15" t="str">
        <v/>
      </c>
      <c r="J849" s="15" t="str">
        <v/>
      </c>
      <c r="K849" s="15" t="str">
        <v/>
      </c>
      <c r="L849" s="15" t="str">
        <v/>
      </c>
      <c r="M849" s="10" t="str">
        <v/>
      </c>
      <c r="N849" s="14"/>
      <c r="O849" s="15" t="str" cm="1">
        <f t="array" ref="O849">IFERROR(_xlfn.LET(
_xlpm.clean,TRIM(SUBSTITUTE(SUBSTITUTE(P849,CHAR(160),"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9" s="15"/>
      <c r="R849" t="str">
        <v/>
      </c>
      <c r="S849" t="str">
        <f t="shared" si="14"/>
        <v/>
      </c>
    </row>
    <row r="850" spans="1:19" ht="12.75">
      <c r="A850" s="15" t="str">
        <v/>
      </c>
      <c r="B850" s="15" t="str">
        <v/>
      </c>
      <c r="C850" s="15" t="str" cm="1">
        <f t="array" ref="C850">IFERROR(_xlfn.TEXTJOIN("",TRUE,_xlfn._xlws.FILTER(MID(S850,_xlfn.SEQUENCE(LEN(S850)),1),ISNUMBER(SEARCH(MID(S850,_xlfn.SEQUENCE(LEN(S850)),1),"ABCDEFGHIJKLMNOPQRSTUVWXYZabcdefghijklmnopqrstuvwxyz0123456789,")))),"")</f>
        <v/>
      </c>
      <c r="D850" s="15" t="str">
        <v/>
      </c>
      <c r="E850" s="16" t="str">
        <v/>
      </c>
      <c r="F850" s="15" t="str">
        <v/>
      </c>
      <c r="G850" s="20" t="str" cm="1">
        <f t="array" ref="G850">IF(TRIM(P850)="","",IF(SUM(COUNTIF(P850,{"*NLGD*","*FWG*"}))&gt;0,P850,IF(SUM(COUNTIF(P850,{"*GL*","*DGB*","*DGI*","*GT*","*CS*","*PWU*","*DBI*","*SWU*"}))=0,P850,IF(IFERROR(VALUE(SUBSTITUTE(SUBSTITUTE(O850,"W",""),"""","")),0)&gt;52,P850&amp;"-OVRSIZE-",P850))))</f>
        <v/>
      </c>
      <c r="H850" s="15" t="str">
        <v/>
      </c>
      <c r="I850" s="15" t="str">
        <v/>
      </c>
      <c r="J850" s="15" t="str">
        <v/>
      </c>
      <c r="K850" s="15" t="str">
        <v/>
      </c>
      <c r="L850" s="15" t="str">
        <v/>
      </c>
      <c r="M850" s="10" t="str">
        <v/>
      </c>
      <c r="N850" s="14"/>
      <c r="O850" s="15" t="str" cm="1">
        <f t="array" ref="O850">IFERROR(_xlfn.LET(
_xlpm.clean,TRIM(SUBSTITUTE(SUBSTITUTE(P850,CHAR(160),"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0" s="15"/>
      <c r="R850" t="str">
        <v/>
      </c>
      <c r="S850" t="str">
        <f t="shared" si="14"/>
        <v/>
      </c>
    </row>
    <row r="851" spans="1:19" ht="12.75">
      <c r="A851" s="15" t="str">
        <v/>
      </c>
      <c r="B851" s="15" t="str">
        <v/>
      </c>
      <c r="C851" s="15" t="str" cm="1">
        <f t="array" ref="C851">IFERROR(_xlfn.TEXTJOIN("",TRUE,_xlfn._xlws.FILTER(MID(S851,_xlfn.SEQUENCE(LEN(S851)),1),ISNUMBER(SEARCH(MID(S851,_xlfn.SEQUENCE(LEN(S851)),1),"ABCDEFGHIJKLMNOPQRSTUVWXYZabcdefghijklmnopqrstuvwxyz0123456789,")))),"")</f>
        <v/>
      </c>
      <c r="D851" s="15" t="str">
        <v/>
      </c>
      <c r="E851" s="16" t="str">
        <v/>
      </c>
      <c r="F851" s="15" t="str">
        <v/>
      </c>
      <c r="G851" s="20" t="str" cm="1">
        <f t="array" ref="G851">IF(TRIM(P851)="","",IF(SUM(COUNTIF(P851,{"*NLGD*","*FWG*"}))&gt;0,P851,IF(SUM(COUNTIF(P851,{"*GL*","*DGB*","*DGI*","*GT*","*CS*","*PWU*","*DBI*","*SWU*"}))=0,P851,IF(IFERROR(VALUE(SUBSTITUTE(SUBSTITUTE(O851,"W",""),"""","")),0)&gt;52,P851&amp;"-OVRSIZE-",P851))))</f>
        <v/>
      </c>
      <c r="H851" s="15" t="str">
        <v/>
      </c>
      <c r="I851" s="15" t="str">
        <v/>
      </c>
      <c r="J851" s="15" t="str">
        <v/>
      </c>
      <c r="K851" s="15" t="str">
        <v/>
      </c>
      <c r="L851" s="15" t="str">
        <v/>
      </c>
      <c r="M851" s="10" t="str">
        <v/>
      </c>
      <c r="N851" s="14"/>
      <c r="O851" s="15" t="str" cm="1">
        <f t="array" ref="O851">IFERROR(_xlfn.LET(
_xlpm.clean,TRIM(SUBSTITUTE(SUBSTITUTE(P851,CHAR(160),"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1" s="15"/>
      <c r="R851" t="str">
        <v/>
      </c>
      <c r="S851" t="str">
        <f t="shared" si="14"/>
        <v/>
      </c>
    </row>
    <row r="852" spans="1:19" ht="12.75">
      <c r="A852" s="15" t="str">
        <v/>
      </c>
      <c r="B852" s="15" t="str">
        <v/>
      </c>
      <c r="C852" s="15" t="str" cm="1">
        <f t="array" ref="C852">IFERROR(_xlfn.TEXTJOIN("",TRUE,_xlfn._xlws.FILTER(MID(S852,_xlfn.SEQUENCE(LEN(S852)),1),ISNUMBER(SEARCH(MID(S852,_xlfn.SEQUENCE(LEN(S852)),1),"ABCDEFGHIJKLMNOPQRSTUVWXYZabcdefghijklmnopqrstuvwxyz0123456789,")))),"")</f>
        <v/>
      </c>
      <c r="D852" s="15" t="str">
        <v/>
      </c>
      <c r="E852" s="16" t="str">
        <v/>
      </c>
      <c r="F852" s="15" t="str">
        <v/>
      </c>
      <c r="G852" s="20" t="str" cm="1">
        <f t="array" ref="G852">IF(TRIM(P852)="","",IF(SUM(COUNTIF(P852,{"*NLGD*","*FWG*"}))&gt;0,P852,IF(SUM(COUNTIF(P852,{"*GL*","*DGB*","*DGI*","*GT*","*CS*","*PWU*","*DBI*","*SWU*"}))=0,P852,IF(IFERROR(VALUE(SUBSTITUTE(SUBSTITUTE(O852,"W",""),"""","")),0)&gt;52,P852&amp;"-OVRSIZE-",P852))))</f>
        <v/>
      </c>
      <c r="H852" s="15" t="str">
        <v/>
      </c>
      <c r="I852" s="15" t="str">
        <v/>
      </c>
      <c r="J852" s="15" t="str">
        <v/>
      </c>
      <c r="K852" s="15" t="str">
        <v/>
      </c>
      <c r="L852" s="15" t="str">
        <v/>
      </c>
      <c r="M852" s="10" t="str">
        <v/>
      </c>
      <c r="N852" s="14"/>
      <c r="O852" s="15" t="str" cm="1">
        <f t="array" ref="O852">IFERROR(_xlfn.LET(
_xlpm.clean,TRIM(SUBSTITUTE(SUBSTITUTE(P852,CHAR(160),"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2" s="15"/>
      <c r="R852" t="str">
        <v/>
      </c>
      <c r="S852" t="str">
        <f t="shared" si="14"/>
        <v/>
      </c>
    </row>
    <row r="853" spans="1:19" ht="12.75">
      <c r="A853" s="15" t="str">
        <v/>
      </c>
      <c r="B853" s="15" t="str">
        <v/>
      </c>
      <c r="C853" s="15" t="str" cm="1">
        <f t="array" ref="C853">IFERROR(_xlfn.TEXTJOIN("",TRUE,_xlfn._xlws.FILTER(MID(S853,_xlfn.SEQUENCE(LEN(S853)),1),ISNUMBER(SEARCH(MID(S853,_xlfn.SEQUENCE(LEN(S853)),1),"ABCDEFGHIJKLMNOPQRSTUVWXYZabcdefghijklmnopqrstuvwxyz0123456789,")))),"")</f>
        <v/>
      </c>
      <c r="D853" s="15" t="str">
        <v/>
      </c>
      <c r="E853" s="16" t="str">
        <v/>
      </c>
      <c r="F853" s="15" t="str">
        <v/>
      </c>
      <c r="G853" s="20" t="str" cm="1">
        <f t="array" ref="G853">IF(TRIM(P853)="","",IF(SUM(COUNTIF(P853,{"*NLGD*","*FWG*"}))&gt;0,P853,IF(SUM(COUNTIF(P853,{"*GL*","*DGB*","*DGI*","*GT*","*CS*","*PWU*","*DBI*","*SWU*"}))=0,P853,IF(IFERROR(VALUE(SUBSTITUTE(SUBSTITUTE(O853,"W",""),"""","")),0)&gt;52,P853&amp;"-OVRSIZE-",P853))))</f>
        <v/>
      </c>
      <c r="H853" s="15" t="str">
        <v/>
      </c>
      <c r="I853" s="15" t="str">
        <v/>
      </c>
      <c r="J853" s="15" t="str">
        <v/>
      </c>
      <c r="K853" s="15" t="str">
        <v/>
      </c>
      <c r="L853" s="15" t="str">
        <v/>
      </c>
      <c r="M853" s="10" t="str">
        <v/>
      </c>
      <c r="N853" s="14"/>
      <c r="O853" s="15" t="str" cm="1">
        <f t="array" ref="O853">IFERROR(_xlfn.LET(
_xlpm.clean,TRIM(SUBSTITUTE(SUBSTITUTE(P853,CHAR(160),"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3" s="15"/>
      <c r="R853" t="str">
        <v/>
      </c>
      <c r="S853" t="str">
        <f t="shared" si="14"/>
        <v/>
      </c>
    </row>
    <row r="854" spans="1:19" ht="12.75">
      <c r="A854" s="15" t="str">
        <v/>
      </c>
      <c r="B854" s="15" t="str">
        <v/>
      </c>
      <c r="C854" s="15" t="str" cm="1">
        <f t="array" ref="C854">IFERROR(_xlfn.TEXTJOIN("",TRUE,_xlfn._xlws.FILTER(MID(S854,_xlfn.SEQUENCE(LEN(S854)),1),ISNUMBER(SEARCH(MID(S854,_xlfn.SEQUENCE(LEN(S854)),1),"ABCDEFGHIJKLMNOPQRSTUVWXYZabcdefghijklmnopqrstuvwxyz0123456789,")))),"")</f>
        <v/>
      </c>
      <c r="D854" s="15" t="str">
        <v/>
      </c>
      <c r="E854" s="16" t="str">
        <v/>
      </c>
      <c r="F854" s="15" t="str">
        <v/>
      </c>
      <c r="G854" s="20" t="str" cm="1">
        <f t="array" ref="G854">IF(TRIM(P854)="","",IF(SUM(COUNTIF(P854,{"*NLGD*","*FWG*"}))&gt;0,P854,IF(SUM(COUNTIF(P854,{"*GL*","*DGB*","*DGI*","*GT*","*CS*","*PWU*","*DBI*","*SWU*"}))=0,P854,IF(IFERROR(VALUE(SUBSTITUTE(SUBSTITUTE(O854,"W",""),"""","")),0)&gt;52,P854&amp;"-OVRSIZE-",P854))))</f>
        <v/>
      </c>
      <c r="H854" s="15" t="str">
        <v/>
      </c>
      <c r="I854" s="15" t="str">
        <v/>
      </c>
      <c r="J854" s="15" t="str">
        <v/>
      </c>
      <c r="K854" s="15" t="str">
        <v/>
      </c>
      <c r="L854" s="15" t="str">
        <v/>
      </c>
      <c r="M854" s="10" t="str">
        <v/>
      </c>
      <c r="N854" s="14"/>
      <c r="O854" s="15" t="str" cm="1">
        <f t="array" ref="O854">IFERROR(_xlfn.LET(
_xlpm.clean,TRIM(SUBSTITUTE(SUBSTITUTE(P854,CHAR(160),"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4" s="15"/>
      <c r="R854" t="str">
        <v/>
      </c>
      <c r="S854" t="str">
        <f t="shared" si="14"/>
        <v/>
      </c>
    </row>
    <row r="855" spans="1:19" ht="12.75">
      <c r="A855" s="15" t="str">
        <v/>
      </c>
      <c r="B855" s="15" t="str">
        <v/>
      </c>
      <c r="C855" s="15" t="str" cm="1">
        <f t="array" ref="C855">IFERROR(_xlfn.TEXTJOIN("",TRUE,_xlfn._xlws.FILTER(MID(S855,_xlfn.SEQUENCE(LEN(S855)),1),ISNUMBER(SEARCH(MID(S855,_xlfn.SEQUENCE(LEN(S855)),1),"ABCDEFGHIJKLMNOPQRSTUVWXYZabcdefghijklmnopqrstuvwxyz0123456789,")))),"")</f>
        <v/>
      </c>
      <c r="D855" s="15" t="str">
        <v/>
      </c>
      <c r="E855" s="16" t="str">
        <v/>
      </c>
      <c r="F855" s="15" t="str">
        <v/>
      </c>
      <c r="G855" s="20" t="str" cm="1">
        <f t="array" ref="G855">IF(TRIM(P855)="","",IF(SUM(COUNTIF(P855,{"*NLGD*","*FWG*"}))&gt;0,P855,IF(SUM(COUNTIF(P855,{"*GL*","*DGB*","*DGI*","*GT*","*CS*","*PWU*","*DBI*","*SWU*"}))=0,P855,IF(IFERROR(VALUE(SUBSTITUTE(SUBSTITUTE(O855,"W",""),"""","")),0)&gt;52,P855&amp;"-OVRSIZE-",P855))))</f>
        <v/>
      </c>
      <c r="H855" s="15" t="str">
        <v/>
      </c>
      <c r="I855" s="15" t="str">
        <v/>
      </c>
      <c r="J855" s="15" t="str">
        <v/>
      </c>
      <c r="K855" s="15" t="str">
        <v/>
      </c>
      <c r="L855" s="15" t="str">
        <v/>
      </c>
      <c r="M855" s="10" t="str">
        <v/>
      </c>
      <c r="N855" s="14"/>
      <c r="O855" s="15" t="str" cm="1">
        <f t="array" ref="O855">IFERROR(_xlfn.LET(
_xlpm.clean,TRIM(SUBSTITUTE(SUBSTITUTE(P855,CHAR(160),"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5" s="15"/>
      <c r="R855" t="str">
        <v/>
      </c>
      <c r="S855" t="str">
        <f t="shared" si="14"/>
        <v/>
      </c>
    </row>
    <row r="856" spans="1:19" ht="12.75">
      <c r="A856" s="15" t="str">
        <v/>
      </c>
      <c r="B856" s="15" t="str">
        <v/>
      </c>
      <c r="C856" s="15" t="str" cm="1">
        <f t="array" ref="C856">IFERROR(_xlfn.TEXTJOIN("",TRUE,_xlfn._xlws.FILTER(MID(S856,_xlfn.SEQUENCE(LEN(S856)),1),ISNUMBER(SEARCH(MID(S856,_xlfn.SEQUENCE(LEN(S856)),1),"ABCDEFGHIJKLMNOPQRSTUVWXYZabcdefghijklmnopqrstuvwxyz0123456789,")))),"")</f>
        <v/>
      </c>
      <c r="D856" s="15" t="str">
        <v/>
      </c>
      <c r="E856" s="16" t="str">
        <v/>
      </c>
      <c r="F856" s="15" t="str">
        <v/>
      </c>
      <c r="G856" s="20" t="str" cm="1">
        <f t="array" ref="G856">IF(TRIM(P856)="","",IF(SUM(COUNTIF(P856,{"*NLGD*","*FWG*"}))&gt;0,P856,IF(SUM(COUNTIF(P856,{"*GL*","*DGB*","*DGI*","*GT*","*CS*","*PWU*","*DBI*","*SWU*"}))=0,P856,IF(IFERROR(VALUE(SUBSTITUTE(SUBSTITUTE(O856,"W",""),"""","")),0)&gt;52,P856&amp;"-OVRSIZE-",P856))))</f>
        <v/>
      </c>
      <c r="H856" s="15" t="str">
        <v/>
      </c>
      <c r="I856" s="15" t="str">
        <v/>
      </c>
      <c r="J856" s="15" t="str">
        <v/>
      </c>
      <c r="K856" s="15" t="str">
        <v/>
      </c>
      <c r="L856" s="15" t="str">
        <v/>
      </c>
      <c r="M856" s="10" t="str">
        <v/>
      </c>
      <c r="N856" s="14"/>
      <c r="O856" s="15" t="str" cm="1">
        <f t="array" ref="O856">IFERROR(_xlfn.LET(
_xlpm.clean,TRIM(SUBSTITUTE(SUBSTITUTE(P856,CHAR(160),"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6" s="15"/>
      <c r="R856" t="str">
        <v/>
      </c>
      <c r="S856" t="str">
        <f t="shared" si="14"/>
        <v/>
      </c>
    </row>
    <row r="857" spans="1:19" ht="12.75">
      <c r="A857" s="15" t="str">
        <v/>
      </c>
      <c r="B857" s="15" t="str">
        <v/>
      </c>
      <c r="C857" s="15" t="str" cm="1">
        <f t="array" ref="C857">IFERROR(_xlfn.TEXTJOIN("",TRUE,_xlfn._xlws.FILTER(MID(S857,_xlfn.SEQUENCE(LEN(S857)),1),ISNUMBER(SEARCH(MID(S857,_xlfn.SEQUENCE(LEN(S857)),1),"ABCDEFGHIJKLMNOPQRSTUVWXYZabcdefghijklmnopqrstuvwxyz0123456789,")))),"")</f>
        <v/>
      </c>
      <c r="D857" s="15" t="str">
        <v/>
      </c>
      <c r="E857" s="16" t="str">
        <v/>
      </c>
      <c r="F857" s="15" t="str">
        <v/>
      </c>
      <c r="G857" s="20" t="str" cm="1">
        <f t="array" ref="G857">IF(TRIM(P857)="","",IF(SUM(COUNTIF(P857,{"*NLGD*","*FWG*"}))&gt;0,P857,IF(SUM(COUNTIF(P857,{"*GL*","*DGB*","*DGI*","*GT*","*CS*","*PWU*","*DBI*","*SWU*"}))=0,P857,IF(IFERROR(VALUE(SUBSTITUTE(SUBSTITUTE(O857,"W",""),"""","")),0)&gt;52,P857&amp;"-OVRSIZE-",P857))))</f>
        <v/>
      </c>
      <c r="H857" s="15" t="str">
        <v/>
      </c>
      <c r="I857" s="15" t="str">
        <v/>
      </c>
      <c r="J857" s="15" t="str">
        <v/>
      </c>
      <c r="K857" s="15" t="str">
        <v/>
      </c>
      <c r="L857" s="15" t="str">
        <v/>
      </c>
      <c r="M857" s="10" t="str">
        <v/>
      </c>
      <c r="N857" s="14"/>
      <c r="O857" s="15" t="str" cm="1">
        <f t="array" ref="O857">IFERROR(_xlfn.LET(
_xlpm.clean,TRIM(SUBSTITUTE(SUBSTITUTE(P857,CHAR(160),"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7" s="15"/>
      <c r="R857" t="str">
        <v/>
      </c>
      <c r="S857" t="str">
        <f t="shared" si="14"/>
        <v/>
      </c>
    </row>
    <row r="858" spans="1:19" ht="12.75">
      <c r="A858" s="15" t="str">
        <v/>
      </c>
      <c r="B858" s="15" t="str">
        <v/>
      </c>
      <c r="C858" s="15" t="str" cm="1">
        <f t="array" ref="C858">IFERROR(_xlfn.TEXTJOIN("",TRUE,_xlfn._xlws.FILTER(MID(S858,_xlfn.SEQUENCE(LEN(S858)),1),ISNUMBER(SEARCH(MID(S858,_xlfn.SEQUENCE(LEN(S858)),1),"ABCDEFGHIJKLMNOPQRSTUVWXYZabcdefghijklmnopqrstuvwxyz0123456789,")))),"")</f>
        <v/>
      </c>
      <c r="D858" s="15" t="str">
        <v/>
      </c>
      <c r="E858" s="16" t="str">
        <v/>
      </c>
      <c r="F858" s="15" t="str">
        <v/>
      </c>
      <c r="G858" s="20" t="str" cm="1">
        <f t="array" ref="G858">IF(TRIM(P858)="","",IF(SUM(COUNTIF(P858,{"*NLGD*","*FWG*"}))&gt;0,P858,IF(SUM(COUNTIF(P858,{"*GL*","*DGB*","*DGI*","*GT*","*CS*","*PWU*","*DBI*","*SWU*"}))=0,P858,IF(IFERROR(VALUE(SUBSTITUTE(SUBSTITUTE(O858,"W",""),"""","")),0)&gt;52,P858&amp;"-OVRSIZE-",P858))))</f>
        <v/>
      </c>
      <c r="H858" s="15" t="str">
        <v/>
      </c>
      <c r="I858" s="15" t="str">
        <v/>
      </c>
      <c r="J858" s="15" t="str">
        <v/>
      </c>
      <c r="K858" s="15" t="str">
        <v/>
      </c>
      <c r="L858" s="15" t="str">
        <v/>
      </c>
      <c r="M858" s="10" t="str">
        <v/>
      </c>
      <c r="N858" s="14"/>
      <c r="O858" s="15" t="str" cm="1">
        <f t="array" ref="O858">IFERROR(_xlfn.LET(
_xlpm.clean,TRIM(SUBSTITUTE(SUBSTITUTE(P858,CHAR(160),"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8" s="15"/>
      <c r="R858" t="str">
        <v/>
      </c>
      <c r="S858" t="str">
        <f t="shared" si="14"/>
        <v/>
      </c>
    </row>
    <row r="859" spans="1:19" ht="12.75">
      <c r="A859" s="15" t="str">
        <v/>
      </c>
      <c r="B859" s="15" t="str">
        <v/>
      </c>
      <c r="C859" s="15" t="str" cm="1">
        <f t="array" ref="C859">IFERROR(_xlfn.TEXTJOIN("",TRUE,_xlfn._xlws.FILTER(MID(S859,_xlfn.SEQUENCE(LEN(S859)),1),ISNUMBER(SEARCH(MID(S859,_xlfn.SEQUENCE(LEN(S859)),1),"ABCDEFGHIJKLMNOPQRSTUVWXYZabcdefghijklmnopqrstuvwxyz0123456789,")))),"")</f>
        <v/>
      </c>
      <c r="D859" s="15" t="str">
        <v/>
      </c>
      <c r="E859" s="16" t="str">
        <v/>
      </c>
      <c r="F859" s="15" t="str">
        <v/>
      </c>
      <c r="G859" s="20" t="str" cm="1">
        <f t="array" ref="G859">IF(TRIM(P859)="","",IF(SUM(COUNTIF(P859,{"*NLGD*","*FWG*"}))&gt;0,P859,IF(SUM(COUNTIF(P859,{"*GL*","*DGB*","*DGI*","*GT*","*CS*","*PWU*","*DBI*","*SWU*"}))=0,P859,IF(IFERROR(VALUE(SUBSTITUTE(SUBSTITUTE(O859,"W",""),"""","")),0)&gt;52,P859&amp;"-OVRSIZE-",P859))))</f>
        <v/>
      </c>
      <c r="H859" s="15" t="str">
        <v/>
      </c>
      <c r="I859" s="15" t="str">
        <v/>
      </c>
      <c r="J859" s="15" t="str">
        <v/>
      </c>
      <c r="K859" s="15" t="str">
        <v/>
      </c>
      <c r="L859" s="15" t="str">
        <v/>
      </c>
      <c r="M859" s="10" t="str">
        <v/>
      </c>
      <c r="N859" s="14"/>
      <c r="O859" s="15" t="str" cm="1">
        <f t="array" ref="O859">IFERROR(_xlfn.LET(
_xlpm.clean,TRIM(SUBSTITUTE(SUBSTITUTE(P859,CHAR(160),"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9" s="15"/>
      <c r="R859" t="str">
        <v/>
      </c>
      <c r="S859" t="str">
        <f t="shared" si="14"/>
        <v/>
      </c>
    </row>
    <row r="860" spans="1:19" ht="12.75">
      <c r="A860" s="15" t="str">
        <v/>
      </c>
      <c r="B860" s="15" t="str">
        <v/>
      </c>
      <c r="C860" s="15" t="str" cm="1">
        <f t="array" ref="C860">IFERROR(_xlfn.TEXTJOIN("",TRUE,_xlfn._xlws.FILTER(MID(S860,_xlfn.SEQUENCE(LEN(S860)),1),ISNUMBER(SEARCH(MID(S860,_xlfn.SEQUENCE(LEN(S860)),1),"ABCDEFGHIJKLMNOPQRSTUVWXYZabcdefghijklmnopqrstuvwxyz0123456789,")))),"")</f>
        <v/>
      </c>
      <c r="D860" s="15" t="str">
        <v/>
      </c>
      <c r="E860" s="16" t="str">
        <v/>
      </c>
      <c r="F860" s="15" t="str">
        <v/>
      </c>
      <c r="G860" s="20" t="str" cm="1">
        <f t="array" ref="G860">IF(TRIM(P860)="","",IF(SUM(COUNTIF(P860,{"*NLGD*","*FWG*"}))&gt;0,P860,IF(SUM(COUNTIF(P860,{"*GL*","*DGB*","*DGI*","*GT*","*CS*","*PWU*","*DBI*","*SWU*"}))=0,P860,IF(IFERROR(VALUE(SUBSTITUTE(SUBSTITUTE(O860,"W",""),"""","")),0)&gt;52,P860&amp;"-OVRSIZE-",P860))))</f>
        <v/>
      </c>
      <c r="H860" s="15" t="str">
        <v/>
      </c>
      <c r="I860" s="15" t="str">
        <v/>
      </c>
      <c r="J860" s="15" t="str">
        <v/>
      </c>
      <c r="K860" s="15" t="str">
        <v/>
      </c>
      <c r="L860" s="15" t="str">
        <v/>
      </c>
      <c r="M860" s="10" t="str">
        <v/>
      </c>
      <c r="N860" s="14"/>
      <c r="O860" s="15" t="str" cm="1">
        <f t="array" ref="O860">IFERROR(_xlfn.LET(
_xlpm.clean,TRIM(SUBSTITUTE(SUBSTITUTE(P860,CHAR(160),"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0" s="15"/>
      <c r="R860" t="str">
        <v/>
      </c>
      <c r="S860" t="str">
        <f t="shared" si="14"/>
        <v/>
      </c>
    </row>
    <row r="861" spans="1:19" ht="12.75">
      <c r="A861" s="15" t="str">
        <v/>
      </c>
      <c r="B861" s="15" t="str">
        <v/>
      </c>
      <c r="C861" s="15" t="str" cm="1">
        <f t="array" ref="C861">IFERROR(_xlfn.TEXTJOIN("",TRUE,_xlfn._xlws.FILTER(MID(S861,_xlfn.SEQUENCE(LEN(S861)),1),ISNUMBER(SEARCH(MID(S861,_xlfn.SEQUENCE(LEN(S861)),1),"ABCDEFGHIJKLMNOPQRSTUVWXYZabcdefghijklmnopqrstuvwxyz0123456789,")))),"")</f>
        <v/>
      </c>
      <c r="D861" s="15" t="str">
        <v/>
      </c>
      <c r="E861" s="16" t="str">
        <v/>
      </c>
      <c r="F861" s="15" t="str">
        <v/>
      </c>
      <c r="G861" s="20" t="str" cm="1">
        <f t="array" ref="G861">IF(TRIM(P861)="","",IF(SUM(COUNTIF(P861,{"*NLGD*","*FWG*"}))&gt;0,P861,IF(SUM(COUNTIF(P861,{"*GL*","*DGB*","*DGI*","*GT*","*CS*","*PWU*","*DBI*","*SWU*"}))=0,P861,IF(IFERROR(VALUE(SUBSTITUTE(SUBSTITUTE(O861,"W",""),"""","")),0)&gt;52,P861&amp;"-OVRSIZE-",P861))))</f>
        <v/>
      </c>
      <c r="H861" s="15" t="str">
        <v/>
      </c>
      <c r="I861" s="15" t="str">
        <v/>
      </c>
      <c r="J861" s="15" t="str">
        <v/>
      </c>
      <c r="K861" s="15" t="str">
        <v/>
      </c>
      <c r="L861" s="15" t="str">
        <v/>
      </c>
      <c r="M861" s="10" t="str">
        <v/>
      </c>
      <c r="N861" s="14"/>
      <c r="O861" s="15" t="str" cm="1">
        <f t="array" ref="O861">IFERROR(_xlfn.LET(
_xlpm.clean,TRIM(SUBSTITUTE(SUBSTITUTE(P861,CHAR(160),"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1" s="15"/>
      <c r="R861" t="str">
        <v/>
      </c>
      <c r="S861" t="str">
        <f t="shared" si="14"/>
        <v/>
      </c>
    </row>
    <row r="862" spans="1:19" ht="12.75">
      <c r="A862" s="15" t="str">
        <v/>
      </c>
      <c r="B862" s="15" t="str">
        <v/>
      </c>
      <c r="C862" s="15" t="str" cm="1">
        <f t="array" ref="C862">IFERROR(_xlfn.TEXTJOIN("",TRUE,_xlfn._xlws.FILTER(MID(S862,_xlfn.SEQUENCE(LEN(S862)),1),ISNUMBER(SEARCH(MID(S862,_xlfn.SEQUENCE(LEN(S862)),1),"ABCDEFGHIJKLMNOPQRSTUVWXYZabcdefghijklmnopqrstuvwxyz0123456789,")))),"")</f>
        <v/>
      </c>
      <c r="D862" s="15" t="str">
        <v/>
      </c>
      <c r="E862" s="16" t="str">
        <v/>
      </c>
      <c r="F862" s="15" t="str">
        <v/>
      </c>
      <c r="G862" s="20" t="str" cm="1">
        <f t="array" ref="G862">IF(TRIM(P862)="","",IF(SUM(COUNTIF(P862,{"*NLGD*","*FWG*"}))&gt;0,P862,IF(SUM(COUNTIF(P862,{"*GL*","*DGB*","*DGI*","*GT*","*CS*","*PWU*","*DBI*","*SWU*"}))=0,P862,IF(IFERROR(VALUE(SUBSTITUTE(SUBSTITUTE(O862,"W",""),"""","")),0)&gt;52,P862&amp;"-OVRSIZE-",P862))))</f>
        <v/>
      </c>
      <c r="H862" s="15" t="str">
        <v/>
      </c>
      <c r="I862" s="15" t="str">
        <v/>
      </c>
      <c r="J862" s="15" t="str">
        <v/>
      </c>
      <c r="K862" s="15" t="str">
        <v/>
      </c>
      <c r="L862" s="15" t="str">
        <v/>
      </c>
      <c r="M862" s="10" t="str">
        <v/>
      </c>
      <c r="N862" s="14"/>
      <c r="O862" s="15" t="str" cm="1">
        <f t="array" ref="O862">IFERROR(_xlfn.LET(
_xlpm.clean,TRIM(SUBSTITUTE(SUBSTITUTE(P862,CHAR(160),"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2" s="15"/>
      <c r="R862" t="str">
        <v/>
      </c>
      <c r="S862" t="str">
        <f t="shared" si="14"/>
        <v/>
      </c>
    </row>
    <row r="863" spans="1:19" ht="12.75">
      <c r="A863" s="15" t="str">
        <v/>
      </c>
      <c r="B863" s="15" t="str">
        <v/>
      </c>
      <c r="C863" s="15" t="str" cm="1">
        <f t="array" ref="C863">IFERROR(_xlfn.TEXTJOIN("",TRUE,_xlfn._xlws.FILTER(MID(S863,_xlfn.SEQUENCE(LEN(S863)),1),ISNUMBER(SEARCH(MID(S863,_xlfn.SEQUENCE(LEN(S863)),1),"ABCDEFGHIJKLMNOPQRSTUVWXYZabcdefghijklmnopqrstuvwxyz0123456789,")))),"")</f>
        <v/>
      </c>
      <c r="D863" s="15" t="str">
        <v/>
      </c>
      <c r="E863" s="16" t="str">
        <v/>
      </c>
      <c r="F863" s="15" t="str">
        <v/>
      </c>
      <c r="G863" s="20" t="str" cm="1">
        <f t="array" ref="G863">IF(TRIM(P863)="","",IF(SUM(COUNTIF(P863,{"*NLGD*","*FWG*"}))&gt;0,P863,IF(SUM(COUNTIF(P863,{"*GL*","*DGB*","*DGI*","*GT*","*CS*","*PWU*","*DBI*","*SWU*"}))=0,P863,IF(IFERROR(VALUE(SUBSTITUTE(SUBSTITUTE(O863,"W",""),"""","")),0)&gt;52,P863&amp;"-OVRSIZE-",P863))))</f>
        <v/>
      </c>
      <c r="H863" s="15" t="str">
        <v/>
      </c>
      <c r="I863" s="15" t="str">
        <v/>
      </c>
      <c r="J863" s="15" t="str">
        <v/>
      </c>
      <c r="K863" s="15" t="str">
        <v/>
      </c>
      <c r="L863" s="15" t="str">
        <v/>
      </c>
      <c r="M863" s="10" t="str">
        <v/>
      </c>
      <c r="N863" s="14"/>
      <c r="O863" s="15" t="str" cm="1">
        <f t="array" ref="O863">IFERROR(_xlfn.LET(
_xlpm.clean,TRIM(SUBSTITUTE(SUBSTITUTE(P863,CHAR(160),"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3" s="15"/>
      <c r="R863" t="str">
        <v/>
      </c>
      <c r="S863" t="str">
        <f t="shared" si="14"/>
        <v/>
      </c>
    </row>
    <row r="864" spans="1:19" ht="12.75">
      <c r="A864" s="15" t="str">
        <v/>
      </c>
      <c r="B864" s="15" t="str">
        <v/>
      </c>
      <c r="C864" s="15" t="str" cm="1">
        <f t="array" ref="C864">IFERROR(_xlfn.TEXTJOIN("",TRUE,_xlfn._xlws.FILTER(MID(S864,_xlfn.SEQUENCE(LEN(S864)),1),ISNUMBER(SEARCH(MID(S864,_xlfn.SEQUENCE(LEN(S864)),1),"ABCDEFGHIJKLMNOPQRSTUVWXYZabcdefghijklmnopqrstuvwxyz0123456789,")))),"")</f>
        <v/>
      </c>
      <c r="D864" s="15" t="str">
        <v/>
      </c>
      <c r="E864" s="16" t="str">
        <v/>
      </c>
      <c r="F864" s="15" t="str">
        <v/>
      </c>
      <c r="G864" s="20" t="str" cm="1">
        <f t="array" ref="G864">IF(TRIM(P864)="","",IF(SUM(COUNTIF(P864,{"*NLGD*","*FWG*"}))&gt;0,P864,IF(SUM(COUNTIF(P864,{"*GL*","*DGB*","*DGI*","*GT*","*CS*","*PWU*","*DBI*","*SWU*"}))=0,P864,IF(IFERROR(VALUE(SUBSTITUTE(SUBSTITUTE(O864,"W",""),"""","")),0)&gt;52,P864&amp;"-OVRSIZE-",P864))))</f>
        <v/>
      </c>
      <c r="H864" s="15" t="str">
        <v/>
      </c>
      <c r="I864" s="15" t="str">
        <v/>
      </c>
      <c r="J864" s="15" t="str">
        <v/>
      </c>
      <c r="K864" s="15" t="str">
        <v/>
      </c>
      <c r="L864" s="15" t="str">
        <v/>
      </c>
      <c r="M864" s="10" t="str">
        <v/>
      </c>
      <c r="N864" s="14"/>
      <c r="O864" s="15" t="str" cm="1">
        <f t="array" ref="O864">IFERROR(_xlfn.LET(
_xlpm.clean,TRIM(SUBSTITUTE(SUBSTITUTE(P864,CHAR(160),"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4" s="15"/>
      <c r="R864" t="str">
        <v/>
      </c>
      <c r="S864" t="str">
        <f t="shared" si="14"/>
        <v/>
      </c>
    </row>
    <row r="865" spans="1:19" ht="12.75">
      <c r="A865" s="15" t="str">
        <v/>
      </c>
      <c r="B865" s="15" t="str">
        <v/>
      </c>
      <c r="C865" s="15" t="str" cm="1">
        <f t="array" ref="C865">IFERROR(_xlfn.TEXTJOIN("",TRUE,_xlfn._xlws.FILTER(MID(S865,_xlfn.SEQUENCE(LEN(S865)),1),ISNUMBER(SEARCH(MID(S865,_xlfn.SEQUENCE(LEN(S865)),1),"ABCDEFGHIJKLMNOPQRSTUVWXYZabcdefghijklmnopqrstuvwxyz0123456789,")))),"")</f>
        <v/>
      </c>
      <c r="D865" s="15" t="str">
        <v/>
      </c>
      <c r="E865" s="16" t="str">
        <v/>
      </c>
      <c r="F865" s="15" t="str">
        <v/>
      </c>
      <c r="G865" s="20" t="str" cm="1">
        <f t="array" ref="G865">IF(TRIM(P865)="","",IF(SUM(COUNTIF(P865,{"*NLGD*","*FWG*"}))&gt;0,P865,IF(SUM(COUNTIF(P865,{"*GL*","*DGB*","*DGI*","*GT*","*CS*","*PWU*","*DBI*","*SWU*"}))=0,P865,IF(IFERROR(VALUE(SUBSTITUTE(SUBSTITUTE(O865,"W",""),"""","")),0)&gt;52,P865&amp;"-OVRSIZE-",P865))))</f>
        <v/>
      </c>
      <c r="H865" s="15" t="str">
        <v/>
      </c>
      <c r="I865" s="15" t="str">
        <v/>
      </c>
      <c r="J865" s="15" t="str">
        <v/>
      </c>
      <c r="K865" s="15" t="str">
        <v/>
      </c>
      <c r="L865" s="15" t="str">
        <v/>
      </c>
      <c r="M865" s="10" t="str">
        <v/>
      </c>
      <c r="N865" s="14"/>
      <c r="O865" s="15" t="str" cm="1">
        <f t="array" ref="O865">IFERROR(_xlfn.LET(
_xlpm.clean,TRIM(SUBSTITUTE(SUBSTITUTE(P865,CHAR(160),"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5" s="15"/>
      <c r="R865" t="str">
        <v/>
      </c>
      <c r="S865" t="str">
        <f t="shared" si="14"/>
        <v/>
      </c>
    </row>
    <row r="866" spans="1:19" ht="12.75">
      <c r="A866" s="15" t="str">
        <v/>
      </c>
      <c r="B866" s="15" t="str">
        <v/>
      </c>
      <c r="C866" s="15" t="str" cm="1">
        <f t="array" ref="C866">IFERROR(_xlfn.TEXTJOIN("",TRUE,_xlfn._xlws.FILTER(MID(S866,_xlfn.SEQUENCE(LEN(S866)),1),ISNUMBER(SEARCH(MID(S866,_xlfn.SEQUENCE(LEN(S866)),1),"ABCDEFGHIJKLMNOPQRSTUVWXYZabcdefghijklmnopqrstuvwxyz0123456789,")))),"")</f>
        <v/>
      </c>
      <c r="D866" s="15" t="str">
        <v/>
      </c>
      <c r="E866" s="16" t="str">
        <v/>
      </c>
      <c r="F866" s="15" t="str">
        <v/>
      </c>
      <c r="G866" s="20" t="str" cm="1">
        <f t="array" ref="G866">IF(TRIM(P866)="","",IF(SUM(COUNTIF(P866,{"*NLGD*","*FWG*"}))&gt;0,P866,IF(SUM(COUNTIF(P866,{"*GL*","*DGB*","*DGI*","*GT*","*CS*","*PWU*","*DBI*","*SWU*"}))=0,P866,IF(IFERROR(VALUE(SUBSTITUTE(SUBSTITUTE(O866,"W",""),"""","")),0)&gt;52,P866&amp;"-OVRSIZE-",P866))))</f>
        <v/>
      </c>
      <c r="H866" s="15" t="str">
        <v/>
      </c>
      <c r="I866" s="15" t="str">
        <v/>
      </c>
      <c r="J866" s="15" t="str">
        <v/>
      </c>
      <c r="K866" s="15" t="str">
        <v/>
      </c>
      <c r="L866" s="15" t="str">
        <v/>
      </c>
      <c r="M866" s="10" t="str">
        <v/>
      </c>
      <c r="N866" s="14"/>
      <c r="O866" s="15" t="str" cm="1">
        <f t="array" ref="O866">IFERROR(_xlfn.LET(
_xlpm.clean,TRIM(SUBSTITUTE(SUBSTITUTE(P866,CHAR(160),"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6" s="15"/>
      <c r="R866" t="str">
        <v/>
      </c>
      <c r="S866" t="str">
        <f t="shared" si="14"/>
        <v/>
      </c>
    </row>
    <row r="867" spans="1:19" ht="12.75">
      <c r="A867" s="15" t="str">
        <v/>
      </c>
      <c r="B867" s="15" t="str">
        <v/>
      </c>
      <c r="C867" s="15" t="str" cm="1">
        <f t="array" ref="C867">IFERROR(_xlfn.TEXTJOIN("",TRUE,_xlfn._xlws.FILTER(MID(S867,_xlfn.SEQUENCE(LEN(S867)),1),ISNUMBER(SEARCH(MID(S867,_xlfn.SEQUENCE(LEN(S867)),1),"ABCDEFGHIJKLMNOPQRSTUVWXYZabcdefghijklmnopqrstuvwxyz0123456789,")))),"")</f>
        <v/>
      </c>
      <c r="D867" s="15" t="str">
        <v/>
      </c>
      <c r="E867" s="16" t="str">
        <v/>
      </c>
      <c r="F867" s="15" t="str">
        <v/>
      </c>
      <c r="G867" s="20" t="str" cm="1">
        <f t="array" ref="G867">IF(TRIM(P867)="","",IF(SUM(COUNTIF(P867,{"*NLGD*","*FWG*"}))&gt;0,P867,IF(SUM(COUNTIF(P867,{"*GL*","*DGB*","*DGI*","*GT*","*CS*","*PWU*","*DBI*","*SWU*"}))=0,P867,IF(IFERROR(VALUE(SUBSTITUTE(SUBSTITUTE(O867,"W",""),"""","")),0)&gt;52,P867&amp;"-OVRSIZE-",P867))))</f>
        <v/>
      </c>
      <c r="H867" s="15" t="str">
        <v/>
      </c>
      <c r="I867" s="15" t="str">
        <v/>
      </c>
      <c r="J867" s="15" t="str">
        <v/>
      </c>
      <c r="K867" s="15" t="str">
        <v/>
      </c>
      <c r="L867" s="15" t="str">
        <v/>
      </c>
      <c r="M867" s="10" t="str">
        <v/>
      </c>
      <c r="N867" s="14"/>
      <c r="O867" s="15" t="str" cm="1">
        <f t="array" ref="O867">IFERROR(_xlfn.LET(
_xlpm.clean,TRIM(SUBSTITUTE(SUBSTITUTE(P867,CHAR(160),"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7" s="15"/>
      <c r="R867" t="str">
        <v/>
      </c>
      <c r="S867" t="str">
        <f t="shared" si="14"/>
        <v/>
      </c>
    </row>
    <row r="868" spans="1:19" ht="12.75">
      <c r="A868" s="15" t="str">
        <v/>
      </c>
      <c r="B868" s="15" t="str">
        <v/>
      </c>
      <c r="C868" s="15" t="str" cm="1">
        <f t="array" ref="C868">IFERROR(_xlfn.TEXTJOIN("",TRUE,_xlfn._xlws.FILTER(MID(S868,_xlfn.SEQUENCE(LEN(S868)),1),ISNUMBER(SEARCH(MID(S868,_xlfn.SEQUENCE(LEN(S868)),1),"ABCDEFGHIJKLMNOPQRSTUVWXYZabcdefghijklmnopqrstuvwxyz0123456789,")))),"")</f>
        <v/>
      </c>
      <c r="D868" s="15" t="str">
        <v/>
      </c>
      <c r="E868" s="16" t="str">
        <v/>
      </c>
      <c r="F868" s="15" t="str">
        <v/>
      </c>
      <c r="G868" s="20" t="str" cm="1">
        <f t="array" ref="G868">IF(TRIM(P868)="","",IF(SUM(COUNTIF(P868,{"*NLGD*","*FWG*"}))&gt;0,P868,IF(SUM(COUNTIF(P868,{"*GL*","*DGB*","*DGI*","*GT*","*CS*","*PWU*","*DBI*","*SWU*"}))=0,P868,IF(IFERROR(VALUE(SUBSTITUTE(SUBSTITUTE(O868,"W",""),"""","")),0)&gt;52,P868&amp;"-OVRSIZE-",P868))))</f>
        <v/>
      </c>
      <c r="H868" s="15" t="str">
        <v/>
      </c>
      <c r="I868" s="15" t="str">
        <v/>
      </c>
      <c r="J868" s="15" t="str">
        <v/>
      </c>
      <c r="K868" s="15" t="str">
        <v/>
      </c>
      <c r="L868" s="15" t="str">
        <v/>
      </c>
      <c r="M868" s="10" t="str">
        <v/>
      </c>
      <c r="N868" s="14"/>
      <c r="O868" s="15" t="str" cm="1">
        <f t="array" ref="O868">IFERROR(_xlfn.LET(
_xlpm.clean,TRIM(SUBSTITUTE(SUBSTITUTE(P868,CHAR(160),"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8" s="15"/>
      <c r="R868" t="str">
        <v/>
      </c>
      <c r="S868" t="str">
        <f t="shared" si="14"/>
        <v/>
      </c>
    </row>
    <row r="869" spans="1:19" ht="12.75">
      <c r="A869" s="15" t="str">
        <v/>
      </c>
      <c r="B869" s="15" t="str">
        <v/>
      </c>
      <c r="C869" s="15" t="str" cm="1">
        <f t="array" ref="C869">IFERROR(_xlfn.TEXTJOIN("",TRUE,_xlfn._xlws.FILTER(MID(S869,_xlfn.SEQUENCE(LEN(S869)),1),ISNUMBER(SEARCH(MID(S869,_xlfn.SEQUENCE(LEN(S869)),1),"ABCDEFGHIJKLMNOPQRSTUVWXYZabcdefghijklmnopqrstuvwxyz0123456789,")))),"")</f>
        <v/>
      </c>
      <c r="D869" s="15" t="str">
        <v/>
      </c>
      <c r="E869" s="16" t="str">
        <v/>
      </c>
      <c r="F869" s="15" t="str">
        <v/>
      </c>
      <c r="G869" s="20" t="str" cm="1">
        <f t="array" ref="G869">IF(TRIM(P869)="","",IF(SUM(COUNTIF(P869,{"*NLGD*","*FWG*"}))&gt;0,P869,IF(SUM(COUNTIF(P869,{"*GL*","*DGB*","*DGI*","*GT*","*CS*","*PWU*","*DBI*","*SWU*"}))=0,P869,IF(IFERROR(VALUE(SUBSTITUTE(SUBSTITUTE(O869,"W",""),"""","")),0)&gt;52,P869&amp;"-OVRSIZE-",P869))))</f>
        <v/>
      </c>
      <c r="H869" s="15" t="str">
        <v/>
      </c>
      <c r="I869" s="15" t="str">
        <v/>
      </c>
      <c r="J869" s="15" t="str">
        <v/>
      </c>
      <c r="K869" s="15" t="str">
        <v/>
      </c>
      <c r="L869" s="15" t="str">
        <v/>
      </c>
      <c r="M869" s="10" t="str">
        <v/>
      </c>
      <c r="N869" s="14"/>
      <c r="O869" s="15" t="str" cm="1">
        <f t="array" ref="O869">IFERROR(_xlfn.LET(
_xlpm.clean,TRIM(SUBSTITUTE(SUBSTITUTE(P869,CHAR(160),"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9" s="15"/>
      <c r="R869" t="str">
        <v/>
      </c>
      <c r="S869" t="str">
        <f t="shared" si="14"/>
        <v/>
      </c>
    </row>
    <row r="870" spans="1:19" ht="12.75">
      <c r="A870" s="15" t="str">
        <v/>
      </c>
      <c r="B870" s="15" t="str">
        <v/>
      </c>
      <c r="C870" s="15" t="str" cm="1">
        <f t="array" ref="C870">IFERROR(_xlfn.TEXTJOIN("",TRUE,_xlfn._xlws.FILTER(MID(S870,_xlfn.SEQUENCE(LEN(S870)),1),ISNUMBER(SEARCH(MID(S870,_xlfn.SEQUENCE(LEN(S870)),1),"ABCDEFGHIJKLMNOPQRSTUVWXYZabcdefghijklmnopqrstuvwxyz0123456789,")))),"")</f>
        <v/>
      </c>
      <c r="D870" s="15" t="str">
        <v/>
      </c>
      <c r="E870" s="16" t="str">
        <v/>
      </c>
      <c r="F870" s="15" t="str">
        <v/>
      </c>
      <c r="G870" s="20" t="str" cm="1">
        <f t="array" ref="G870">IF(TRIM(P870)="","",IF(SUM(COUNTIF(P870,{"*NLGD*","*FWG*"}))&gt;0,P870,IF(SUM(COUNTIF(P870,{"*GL*","*DGB*","*DGI*","*GT*","*CS*","*PWU*","*DBI*","*SWU*"}))=0,P870,IF(IFERROR(VALUE(SUBSTITUTE(SUBSTITUTE(O870,"W",""),"""","")),0)&gt;52,P870&amp;"-OVRSIZE-",P870))))</f>
        <v/>
      </c>
      <c r="H870" s="15" t="str">
        <v/>
      </c>
      <c r="I870" s="15" t="str">
        <v/>
      </c>
      <c r="J870" s="15" t="str">
        <v/>
      </c>
      <c r="K870" s="15" t="str">
        <v/>
      </c>
      <c r="L870" s="15" t="str">
        <v/>
      </c>
      <c r="M870" s="10" t="str">
        <v/>
      </c>
      <c r="N870" s="14"/>
      <c r="O870" s="15" t="str" cm="1">
        <f t="array" ref="O870">IFERROR(_xlfn.LET(
_xlpm.clean,TRIM(SUBSTITUTE(SUBSTITUTE(P870,CHAR(160),"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0" s="15"/>
      <c r="R870" t="str">
        <v/>
      </c>
      <c r="S870" t="str">
        <f t="shared" si="14"/>
        <v/>
      </c>
    </row>
    <row r="871" spans="1:19" ht="12.75">
      <c r="A871" s="15" t="str">
        <v/>
      </c>
      <c r="B871" s="15" t="str">
        <v/>
      </c>
      <c r="C871" s="15" t="str" cm="1">
        <f t="array" ref="C871">IFERROR(_xlfn.TEXTJOIN("",TRUE,_xlfn._xlws.FILTER(MID(S871,_xlfn.SEQUENCE(LEN(S871)),1),ISNUMBER(SEARCH(MID(S871,_xlfn.SEQUENCE(LEN(S871)),1),"ABCDEFGHIJKLMNOPQRSTUVWXYZabcdefghijklmnopqrstuvwxyz0123456789,")))),"")</f>
        <v/>
      </c>
      <c r="D871" s="15" t="str">
        <v/>
      </c>
      <c r="E871" s="16" t="str">
        <v/>
      </c>
      <c r="F871" s="15" t="str">
        <v/>
      </c>
      <c r="G871" s="20" t="str" cm="1">
        <f t="array" ref="G871">IF(TRIM(P871)="","",IF(SUM(COUNTIF(P871,{"*NLGD*","*FWG*"}))&gt;0,P871,IF(SUM(COUNTIF(P871,{"*GL*","*DGB*","*DGI*","*GT*","*CS*","*PWU*","*DBI*","*SWU*"}))=0,P871,IF(IFERROR(VALUE(SUBSTITUTE(SUBSTITUTE(O871,"W",""),"""","")),0)&gt;52,P871&amp;"-OVRSIZE-",P871))))</f>
        <v/>
      </c>
      <c r="H871" s="15" t="str">
        <v/>
      </c>
      <c r="I871" s="15" t="str">
        <v/>
      </c>
      <c r="J871" s="15" t="str">
        <v/>
      </c>
      <c r="K871" s="15" t="str">
        <v/>
      </c>
      <c r="L871" s="15" t="str">
        <v/>
      </c>
      <c r="M871" s="10" t="str">
        <v/>
      </c>
      <c r="N871" s="14"/>
      <c r="O871" s="15" t="str" cm="1">
        <f t="array" ref="O871">IFERROR(_xlfn.LET(
_xlpm.clean,TRIM(SUBSTITUTE(SUBSTITUTE(P871,CHAR(160),"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1" s="15"/>
      <c r="R871" t="str">
        <v/>
      </c>
      <c r="S871" t="str">
        <f t="shared" si="14"/>
        <v/>
      </c>
    </row>
    <row r="872" spans="1:19" ht="12.75">
      <c r="A872" s="15" t="str">
        <v/>
      </c>
      <c r="B872" s="15" t="str">
        <v/>
      </c>
      <c r="C872" s="15" t="str" cm="1">
        <f t="array" ref="C872">IFERROR(_xlfn.TEXTJOIN("",TRUE,_xlfn._xlws.FILTER(MID(S872,_xlfn.SEQUENCE(LEN(S872)),1),ISNUMBER(SEARCH(MID(S872,_xlfn.SEQUENCE(LEN(S872)),1),"ABCDEFGHIJKLMNOPQRSTUVWXYZabcdefghijklmnopqrstuvwxyz0123456789,")))),"")</f>
        <v/>
      </c>
      <c r="D872" s="15" t="str">
        <v/>
      </c>
      <c r="E872" s="16" t="str">
        <v/>
      </c>
      <c r="F872" s="15" t="str">
        <v/>
      </c>
      <c r="G872" s="20" t="str" cm="1">
        <f t="array" ref="G872">IF(TRIM(P872)="","",IF(SUM(COUNTIF(P872,{"*NLGD*","*FWG*"}))&gt;0,P872,IF(SUM(COUNTIF(P872,{"*GL*","*DGB*","*DGI*","*GT*","*CS*","*PWU*","*DBI*","*SWU*"}))=0,P872,IF(IFERROR(VALUE(SUBSTITUTE(SUBSTITUTE(O872,"W",""),"""","")),0)&gt;52,P872&amp;"-OVRSIZE-",P872))))</f>
        <v/>
      </c>
      <c r="H872" s="15" t="str">
        <v/>
      </c>
      <c r="I872" s="15" t="str">
        <v/>
      </c>
      <c r="J872" s="15" t="str">
        <v/>
      </c>
      <c r="K872" s="15" t="str">
        <v/>
      </c>
      <c r="L872" s="15" t="str">
        <v/>
      </c>
      <c r="M872" s="10" t="str">
        <v/>
      </c>
      <c r="N872" s="14"/>
      <c r="O872" s="15" t="str" cm="1">
        <f t="array" ref="O872">IFERROR(_xlfn.LET(
_xlpm.clean,TRIM(SUBSTITUTE(SUBSTITUTE(P872,CHAR(160),"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2" s="15"/>
      <c r="R872" t="str">
        <v/>
      </c>
      <c r="S872" t="str">
        <f t="shared" si="14"/>
        <v/>
      </c>
    </row>
    <row r="873" spans="1:19" ht="12.75">
      <c r="A873" s="15" t="str">
        <v/>
      </c>
      <c r="B873" s="15" t="str">
        <v/>
      </c>
      <c r="C873" s="15" t="str" cm="1">
        <f t="array" ref="C873">IFERROR(_xlfn.TEXTJOIN("",TRUE,_xlfn._xlws.FILTER(MID(S873,_xlfn.SEQUENCE(LEN(S873)),1),ISNUMBER(SEARCH(MID(S873,_xlfn.SEQUENCE(LEN(S873)),1),"ABCDEFGHIJKLMNOPQRSTUVWXYZabcdefghijklmnopqrstuvwxyz0123456789,")))),"")</f>
        <v/>
      </c>
      <c r="D873" s="15" t="str">
        <v/>
      </c>
      <c r="E873" s="16" t="str">
        <v/>
      </c>
      <c r="F873" s="15" t="str">
        <v/>
      </c>
      <c r="G873" s="20" t="str" cm="1">
        <f t="array" ref="G873">IF(TRIM(P873)="","",IF(SUM(COUNTIF(P873,{"*NLGD*","*FWG*"}))&gt;0,P873,IF(SUM(COUNTIF(P873,{"*GL*","*DGB*","*DGI*","*GT*","*CS*","*PWU*","*DBI*","*SWU*"}))=0,P873,IF(IFERROR(VALUE(SUBSTITUTE(SUBSTITUTE(O873,"W",""),"""","")),0)&gt;52,P873&amp;"-OVRSIZE-",P873))))</f>
        <v/>
      </c>
      <c r="H873" s="15" t="str">
        <v/>
      </c>
      <c r="I873" s="15" t="str">
        <v/>
      </c>
      <c r="J873" s="15" t="str">
        <v/>
      </c>
      <c r="K873" s="15" t="str">
        <v/>
      </c>
      <c r="L873" s="15" t="str">
        <v/>
      </c>
      <c r="M873" s="10" t="str">
        <v/>
      </c>
      <c r="N873" s="14"/>
      <c r="O873" s="15" t="str" cm="1">
        <f t="array" ref="O873">IFERROR(_xlfn.LET(
_xlpm.clean,TRIM(SUBSTITUTE(SUBSTITUTE(P873,CHAR(160),"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3" s="15"/>
      <c r="R873" t="str">
        <v/>
      </c>
      <c r="S873" t="str">
        <f t="shared" si="14"/>
        <v/>
      </c>
    </row>
    <row r="874" spans="1:19" ht="12.75">
      <c r="A874" s="15" t="str">
        <v/>
      </c>
      <c r="B874" s="15" t="str">
        <v/>
      </c>
      <c r="C874" s="15" t="str" cm="1">
        <f t="array" ref="C874">IFERROR(_xlfn.TEXTJOIN("",TRUE,_xlfn._xlws.FILTER(MID(S874,_xlfn.SEQUENCE(LEN(S874)),1),ISNUMBER(SEARCH(MID(S874,_xlfn.SEQUENCE(LEN(S874)),1),"ABCDEFGHIJKLMNOPQRSTUVWXYZabcdefghijklmnopqrstuvwxyz0123456789,")))),"")</f>
        <v/>
      </c>
      <c r="D874" s="15" t="str">
        <v/>
      </c>
      <c r="E874" s="16" t="str">
        <v/>
      </c>
      <c r="F874" s="15" t="str">
        <v/>
      </c>
      <c r="G874" s="20" t="str" cm="1">
        <f t="array" ref="G874">IF(TRIM(P874)="","",IF(SUM(COUNTIF(P874,{"*NLGD*","*FWG*"}))&gt;0,P874,IF(SUM(COUNTIF(P874,{"*GL*","*DGB*","*DGI*","*GT*","*CS*","*PWU*","*DBI*","*SWU*"}))=0,P874,IF(IFERROR(VALUE(SUBSTITUTE(SUBSTITUTE(O874,"W",""),"""","")),0)&gt;52,P874&amp;"-OVRSIZE-",P874))))</f>
        <v/>
      </c>
      <c r="H874" s="15" t="str">
        <v/>
      </c>
      <c r="I874" s="15" t="str">
        <v/>
      </c>
      <c r="J874" s="15" t="str">
        <v/>
      </c>
      <c r="K874" s="15" t="str">
        <v/>
      </c>
      <c r="L874" s="15" t="str">
        <v/>
      </c>
      <c r="M874" s="10" t="str">
        <v/>
      </c>
      <c r="N874" s="14"/>
      <c r="O874" s="15" t="str" cm="1">
        <f t="array" ref="O874">IFERROR(_xlfn.LET(
_xlpm.clean,TRIM(SUBSTITUTE(SUBSTITUTE(P874,CHAR(160),"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4" s="15"/>
      <c r="R874" t="str">
        <v/>
      </c>
      <c r="S874" t="str">
        <f t="shared" si="14"/>
        <v/>
      </c>
    </row>
    <row r="875" spans="1:19" ht="12.75">
      <c r="A875" s="15" t="str">
        <v/>
      </c>
      <c r="B875" s="15" t="str">
        <v/>
      </c>
      <c r="C875" s="15" t="str" cm="1">
        <f t="array" ref="C875">IFERROR(_xlfn.TEXTJOIN("",TRUE,_xlfn._xlws.FILTER(MID(S875,_xlfn.SEQUENCE(LEN(S875)),1),ISNUMBER(SEARCH(MID(S875,_xlfn.SEQUENCE(LEN(S875)),1),"ABCDEFGHIJKLMNOPQRSTUVWXYZabcdefghijklmnopqrstuvwxyz0123456789,")))),"")</f>
        <v/>
      </c>
      <c r="D875" s="15" t="str">
        <v/>
      </c>
      <c r="E875" s="16" t="str">
        <v/>
      </c>
      <c r="F875" s="15" t="str">
        <v/>
      </c>
      <c r="G875" s="20" t="str" cm="1">
        <f t="array" ref="G875">IF(TRIM(P875)="","",IF(SUM(COUNTIF(P875,{"*NLGD*","*FWG*"}))&gt;0,P875,IF(SUM(COUNTIF(P875,{"*GL*","*DGB*","*DGI*","*GT*","*CS*","*PWU*","*DBI*","*SWU*"}))=0,P875,IF(IFERROR(VALUE(SUBSTITUTE(SUBSTITUTE(O875,"W",""),"""","")),0)&gt;52,P875&amp;"-OVRSIZE-",P875))))</f>
        <v/>
      </c>
      <c r="H875" s="15" t="str">
        <v/>
      </c>
      <c r="I875" s="15" t="str">
        <v/>
      </c>
      <c r="J875" s="15" t="str">
        <v/>
      </c>
      <c r="K875" s="15" t="str">
        <v/>
      </c>
      <c r="L875" s="15" t="str">
        <v/>
      </c>
      <c r="M875" s="10" t="str">
        <v/>
      </c>
      <c r="N875" s="14"/>
      <c r="O875" s="15" t="str" cm="1">
        <f t="array" ref="O875">IFERROR(_xlfn.LET(
_xlpm.clean,TRIM(SUBSTITUTE(SUBSTITUTE(P875,CHAR(160),"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5" s="15"/>
      <c r="R875" t="str">
        <v/>
      </c>
      <c r="S875" t="str">
        <f t="shared" si="14"/>
        <v/>
      </c>
    </row>
    <row r="876" spans="1:19" ht="12.75">
      <c r="A876" s="15" t="str">
        <v/>
      </c>
      <c r="B876" s="15" t="str">
        <v/>
      </c>
      <c r="C876" s="15" t="str" cm="1">
        <f t="array" ref="C876">IFERROR(_xlfn.TEXTJOIN("",TRUE,_xlfn._xlws.FILTER(MID(S876,_xlfn.SEQUENCE(LEN(S876)),1),ISNUMBER(SEARCH(MID(S876,_xlfn.SEQUENCE(LEN(S876)),1),"ABCDEFGHIJKLMNOPQRSTUVWXYZabcdefghijklmnopqrstuvwxyz0123456789,")))),"")</f>
        <v/>
      </c>
      <c r="D876" s="15" t="str">
        <v/>
      </c>
      <c r="E876" s="16" t="str">
        <v/>
      </c>
      <c r="F876" s="15" t="str">
        <v/>
      </c>
      <c r="G876" s="20" t="str" cm="1">
        <f t="array" ref="G876">IF(TRIM(P876)="","",IF(SUM(COUNTIF(P876,{"*NLGD*","*FWG*"}))&gt;0,P876,IF(SUM(COUNTIF(P876,{"*GL*","*DGB*","*DGI*","*GT*","*CS*","*PWU*","*DBI*","*SWU*"}))=0,P876,IF(IFERROR(VALUE(SUBSTITUTE(SUBSTITUTE(O876,"W",""),"""","")),0)&gt;52,P876&amp;"-OVRSIZE-",P876))))</f>
        <v/>
      </c>
      <c r="H876" s="15" t="str">
        <v/>
      </c>
      <c r="I876" s="15" t="str">
        <v/>
      </c>
      <c r="J876" s="15" t="str">
        <v/>
      </c>
      <c r="K876" s="15" t="str">
        <v/>
      </c>
      <c r="L876" s="15" t="str">
        <v/>
      </c>
      <c r="M876" s="10" t="str">
        <v/>
      </c>
      <c r="N876" s="14"/>
      <c r="O876" s="15" t="str" cm="1">
        <f t="array" ref="O876">IFERROR(_xlfn.LET(
_xlpm.clean,TRIM(SUBSTITUTE(SUBSTITUTE(P876,CHAR(160),"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6" s="15"/>
      <c r="R876" t="str">
        <v/>
      </c>
      <c r="S876" t="str">
        <f t="shared" si="14"/>
        <v/>
      </c>
    </row>
    <row r="877" spans="1:19" ht="12.75">
      <c r="A877" s="15" t="str">
        <v/>
      </c>
      <c r="B877" s="15" t="str">
        <v/>
      </c>
      <c r="C877" s="15" t="str" cm="1">
        <f t="array" ref="C877">IFERROR(_xlfn.TEXTJOIN("",TRUE,_xlfn._xlws.FILTER(MID(S877,_xlfn.SEQUENCE(LEN(S877)),1),ISNUMBER(SEARCH(MID(S877,_xlfn.SEQUENCE(LEN(S877)),1),"ABCDEFGHIJKLMNOPQRSTUVWXYZabcdefghijklmnopqrstuvwxyz0123456789,")))),"")</f>
        <v/>
      </c>
      <c r="D877" s="15" t="str">
        <v/>
      </c>
      <c r="E877" s="16" t="str">
        <v/>
      </c>
      <c r="F877" s="15" t="str">
        <v/>
      </c>
      <c r="G877" s="20" t="str" cm="1">
        <f t="array" ref="G877">IF(TRIM(P877)="","",IF(SUM(COUNTIF(P877,{"*NLGD*","*FWG*"}))&gt;0,P877,IF(SUM(COUNTIF(P877,{"*GL*","*DGB*","*DGI*","*GT*","*CS*","*PWU*","*DBI*","*SWU*"}))=0,P877,IF(IFERROR(VALUE(SUBSTITUTE(SUBSTITUTE(O877,"W",""),"""","")),0)&gt;52,P877&amp;"-OVRSIZE-",P877))))</f>
        <v/>
      </c>
      <c r="H877" s="15" t="str">
        <v/>
      </c>
      <c r="I877" s="15" t="str">
        <v/>
      </c>
      <c r="J877" s="15" t="str">
        <v/>
      </c>
      <c r="K877" s="15" t="str">
        <v/>
      </c>
      <c r="L877" s="15" t="str">
        <v/>
      </c>
      <c r="M877" s="10" t="str">
        <v/>
      </c>
      <c r="N877" s="14"/>
      <c r="O877" s="15" t="str" cm="1">
        <f t="array" ref="O877">IFERROR(_xlfn.LET(
_xlpm.clean,TRIM(SUBSTITUTE(SUBSTITUTE(P877,CHAR(160),"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7" s="15"/>
      <c r="R877" t="str">
        <v/>
      </c>
      <c r="S877" t="str">
        <f t="shared" si="14"/>
        <v/>
      </c>
    </row>
    <row r="878" spans="1:19" ht="12.75">
      <c r="A878" s="15" t="str">
        <v/>
      </c>
      <c r="B878" s="15" t="str">
        <v/>
      </c>
      <c r="C878" s="15" t="str" cm="1">
        <f t="array" ref="C878">IFERROR(_xlfn.TEXTJOIN("",TRUE,_xlfn._xlws.FILTER(MID(S878,_xlfn.SEQUENCE(LEN(S878)),1),ISNUMBER(SEARCH(MID(S878,_xlfn.SEQUENCE(LEN(S878)),1),"ABCDEFGHIJKLMNOPQRSTUVWXYZabcdefghijklmnopqrstuvwxyz0123456789,")))),"")</f>
        <v/>
      </c>
      <c r="D878" s="15" t="str">
        <v/>
      </c>
      <c r="E878" s="16" t="str">
        <v/>
      </c>
      <c r="F878" s="15" t="str">
        <v/>
      </c>
      <c r="G878" s="20" t="str" cm="1">
        <f t="array" ref="G878">IF(TRIM(P878)="","",IF(SUM(COUNTIF(P878,{"*NLGD*","*FWG*"}))&gt;0,P878,IF(SUM(COUNTIF(P878,{"*GL*","*DGB*","*DGI*","*GT*","*CS*","*PWU*","*DBI*","*SWU*"}))=0,P878,IF(IFERROR(VALUE(SUBSTITUTE(SUBSTITUTE(O878,"W",""),"""","")),0)&gt;52,P878&amp;"-OVRSIZE-",P878))))</f>
        <v/>
      </c>
      <c r="H878" s="15" t="str">
        <v/>
      </c>
      <c r="I878" s="15" t="str">
        <v/>
      </c>
      <c r="J878" s="15" t="str">
        <v/>
      </c>
      <c r="K878" s="15" t="str">
        <v/>
      </c>
      <c r="L878" s="15" t="str">
        <v/>
      </c>
      <c r="M878" s="10" t="str">
        <v/>
      </c>
      <c r="N878" s="14"/>
      <c r="O878" s="15" t="str" cm="1">
        <f t="array" ref="O878">IFERROR(_xlfn.LET(
_xlpm.clean,TRIM(SUBSTITUTE(SUBSTITUTE(P878,CHAR(160),"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8" s="15"/>
      <c r="R878" t="str">
        <v/>
      </c>
      <c r="S878" t="str">
        <f t="shared" si="14"/>
        <v/>
      </c>
    </row>
    <row r="879" spans="1:19" ht="12.75">
      <c r="A879" s="15" t="str">
        <v/>
      </c>
      <c r="B879" s="15" t="str">
        <v/>
      </c>
      <c r="C879" s="15" t="str" cm="1">
        <f t="array" ref="C879">IFERROR(_xlfn.TEXTJOIN("",TRUE,_xlfn._xlws.FILTER(MID(S879,_xlfn.SEQUENCE(LEN(S879)),1),ISNUMBER(SEARCH(MID(S879,_xlfn.SEQUENCE(LEN(S879)),1),"ABCDEFGHIJKLMNOPQRSTUVWXYZabcdefghijklmnopqrstuvwxyz0123456789,")))),"")</f>
        <v/>
      </c>
      <c r="D879" s="15" t="str">
        <v/>
      </c>
      <c r="E879" s="16" t="str">
        <v/>
      </c>
      <c r="F879" s="15" t="str">
        <v/>
      </c>
      <c r="G879" s="20" t="str" cm="1">
        <f t="array" ref="G879">IF(TRIM(P879)="","",IF(SUM(COUNTIF(P879,{"*NLGD*","*FWG*"}))&gt;0,P879,IF(SUM(COUNTIF(P879,{"*GL*","*DGB*","*DGI*","*GT*","*CS*","*PWU*","*DBI*","*SWU*"}))=0,P879,IF(IFERROR(VALUE(SUBSTITUTE(SUBSTITUTE(O879,"W",""),"""","")),0)&gt;52,P879&amp;"-OVRSIZE-",P879))))</f>
        <v/>
      </c>
      <c r="H879" s="15" t="str">
        <v/>
      </c>
      <c r="I879" s="15" t="str">
        <v/>
      </c>
      <c r="J879" s="15" t="str">
        <v/>
      </c>
      <c r="K879" s="15" t="str">
        <v/>
      </c>
      <c r="L879" s="15" t="str">
        <v/>
      </c>
      <c r="M879" s="10" t="str">
        <v/>
      </c>
      <c r="N879" s="14"/>
      <c r="O879" s="15" t="str" cm="1">
        <f t="array" ref="O879">IFERROR(_xlfn.LET(
_xlpm.clean,TRIM(SUBSTITUTE(SUBSTITUTE(P879,CHAR(160),"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9" s="15"/>
      <c r="R879" t="str">
        <v/>
      </c>
      <c r="S879" t="str">
        <f t="shared" si="14"/>
        <v/>
      </c>
    </row>
    <row r="880" spans="1:19" ht="12.75">
      <c r="A880" s="15" t="str">
        <v/>
      </c>
      <c r="B880" s="15" t="str">
        <v/>
      </c>
      <c r="C880" s="15" t="str" cm="1">
        <f t="array" ref="C880">IFERROR(_xlfn.TEXTJOIN("",TRUE,_xlfn._xlws.FILTER(MID(S880,_xlfn.SEQUENCE(LEN(S880)),1),ISNUMBER(SEARCH(MID(S880,_xlfn.SEQUENCE(LEN(S880)),1),"ABCDEFGHIJKLMNOPQRSTUVWXYZabcdefghijklmnopqrstuvwxyz0123456789,")))),"")</f>
        <v/>
      </c>
      <c r="D880" s="15" t="str">
        <v/>
      </c>
      <c r="E880" s="16" t="str">
        <v/>
      </c>
      <c r="F880" s="15" t="str">
        <v/>
      </c>
      <c r="G880" s="20" t="str" cm="1">
        <f t="array" ref="G880">IF(TRIM(P880)="","",IF(SUM(COUNTIF(P880,{"*NLGD*","*FWG*"}))&gt;0,P880,IF(SUM(COUNTIF(P880,{"*GL*","*DGB*","*DGI*","*GT*","*CS*","*PWU*","*DBI*","*SWU*"}))=0,P880,IF(IFERROR(VALUE(SUBSTITUTE(SUBSTITUTE(O880,"W",""),"""","")),0)&gt;52,P880&amp;"-OVRSIZE-",P880))))</f>
        <v/>
      </c>
      <c r="H880" s="15" t="str">
        <v/>
      </c>
      <c r="I880" s="15" t="str">
        <v/>
      </c>
      <c r="J880" s="15" t="str">
        <v/>
      </c>
      <c r="K880" s="15" t="str">
        <v/>
      </c>
      <c r="L880" s="15" t="str">
        <v/>
      </c>
      <c r="M880" s="10" t="str">
        <v/>
      </c>
      <c r="N880" s="14"/>
      <c r="O880" s="15" t="str" cm="1">
        <f t="array" ref="O880">IFERROR(_xlfn.LET(
_xlpm.clean,TRIM(SUBSTITUTE(SUBSTITUTE(P880,CHAR(160),"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0" s="15"/>
      <c r="R880" t="str">
        <v/>
      </c>
      <c r="S880" t="str">
        <f t="shared" si="14"/>
        <v/>
      </c>
    </row>
    <row r="881" spans="1:19" ht="12.75">
      <c r="A881" s="15" t="str">
        <v/>
      </c>
      <c r="B881" s="15" t="str">
        <v/>
      </c>
      <c r="C881" s="15" t="str" cm="1">
        <f t="array" ref="C881">IFERROR(_xlfn.TEXTJOIN("",TRUE,_xlfn._xlws.FILTER(MID(S881,_xlfn.SEQUENCE(LEN(S881)),1),ISNUMBER(SEARCH(MID(S881,_xlfn.SEQUENCE(LEN(S881)),1),"ABCDEFGHIJKLMNOPQRSTUVWXYZabcdefghijklmnopqrstuvwxyz0123456789,")))),"")</f>
        <v/>
      </c>
      <c r="D881" s="15" t="str">
        <v/>
      </c>
      <c r="E881" s="16" t="str">
        <v/>
      </c>
      <c r="F881" s="15" t="str">
        <v/>
      </c>
      <c r="G881" s="20" t="str" cm="1">
        <f t="array" ref="G881">IF(TRIM(P881)="","",IF(SUM(COUNTIF(P881,{"*NLGD*","*FWG*"}))&gt;0,P881,IF(SUM(COUNTIF(P881,{"*GL*","*DGB*","*DGI*","*GT*","*CS*","*PWU*","*DBI*","*SWU*"}))=0,P881,IF(IFERROR(VALUE(SUBSTITUTE(SUBSTITUTE(O881,"W",""),"""","")),0)&gt;52,P881&amp;"-OVRSIZE-",P881))))</f>
        <v/>
      </c>
      <c r="H881" s="15" t="str">
        <v/>
      </c>
      <c r="I881" s="15" t="str">
        <v/>
      </c>
      <c r="J881" s="15" t="str">
        <v/>
      </c>
      <c r="K881" s="15" t="str">
        <v/>
      </c>
      <c r="L881" s="15" t="str">
        <v/>
      </c>
      <c r="M881" s="10" t="str">
        <v/>
      </c>
      <c r="N881" s="14"/>
      <c r="O881" s="15" t="str" cm="1">
        <f t="array" ref="O881">IFERROR(_xlfn.LET(
_xlpm.clean,TRIM(SUBSTITUTE(SUBSTITUTE(P881,CHAR(160),"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1" s="15"/>
      <c r="R881" t="str">
        <v/>
      </c>
      <c r="S881" t="str">
        <f t="shared" si="14"/>
        <v/>
      </c>
    </row>
    <row r="882" spans="1:19" ht="12.75">
      <c r="A882" s="15" t="str">
        <v/>
      </c>
      <c r="B882" s="15" t="str">
        <v/>
      </c>
      <c r="C882" s="15" t="str" cm="1">
        <f t="array" ref="C882">IFERROR(_xlfn.TEXTJOIN("",TRUE,_xlfn._xlws.FILTER(MID(S882,_xlfn.SEQUENCE(LEN(S882)),1),ISNUMBER(SEARCH(MID(S882,_xlfn.SEQUENCE(LEN(S882)),1),"ABCDEFGHIJKLMNOPQRSTUVWXYZabcdefghijklmnopqrstuvwxyz0123456789,")))),"")</f>
        <v/>
      </c>
      <c r="D882" s="15" t="str">
        <v/>
      </c>
      <c r="E882" s="16" t="str">
        <v/>
      </c>
      <c r="F882" s="15" t="str">
        <v/>
      </c>
      <c r="G882" s="20" t="str" cm="1">
        <f t="array" ref="G882">IF(TRIM(P882)="","",IF(SUM(COUNTIF(P882,{"*NLGD*","*FWG*"}))&gt;0,P882,IF(SUM(COUNTIF(P882,{"*GL*","*DGB*","*DGI*","*GT*","*CS*","*PWU*","*DBI*","*SWU*"}))=0,P882,IF(IFERROR(VALUE(SUBSTITUTE(SUBSTITUTE(O882,"W",""),"""","")),0)&gt;52,P882&amp;"-OVRSIZE-",P882))))</f>
        <v/>
      </c>
      <c r="H882" s="15" t="str">
        <v/>
      </c>
      <c r="I882" s="15" t="str">
        <v/>
      </c>
      <c r="J882" s="15" t="str">
        <v/>
      </c>
      <c r="K882" s="15" t="str">
        <v/>
      </c>
      <c r="L882" s="15" t="str">
        <v/>
      </c>
      <c r="M882" s="10" t="str">
        <v/>
      </c>
      <c r="N882" s="14"/>
      <c r="O882" s="15" t="str" cm="1">
        <f t="array" ref="O882">IFERROR(_xlfn.LET(
_xlpm.clean,TRIM(SUBSTITUTE(SUBSTITUTE(P882,CHAR(160),"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2" s="15"/>
      <c r="R882" t="str">
        <v/>
      </c>
      <c r="S882" t="str">
        <f t="shared" si="14"/>
        <v/>
      </c>
    </row>
    <row r="883" spans="1:19" ht="12.75">
      <c r="A883" s="15" t="str">
        <v/>
      </c>
      <c r="B883" s="15" t="str">
        <v/>
      </c>
      <c r="C883" s="15" t="str" cm="1">
        <f t="array" ref="C883">IFERROR(_xlfn.TEXTJOIN("",TRUE,_xlfn._xlws.FILTER(MID(S883,_xlfn.SEQUENCE(LEN(S883)),1),ISNUMBER(SEARCH(MID(S883,_xlfn.SEQUENCE(LEN(S883)),1),"ABCDEFGHIJKLMNOPQRSTUVWXYZabcdefghijklmnopqrstuvwxyz0123456789,")))),"")</f>
        <v/>
      </c>
      <c r="D883" s="15" t="str">
        <v/>
      </c>
      <c r="E883" s="16" t="str">
        <v/>
      </c>
      <c r="F883" s="15" t="str">
        <v/>
      </c>
      <c r="G883" s="20" t="str" cm="1">
        <f t="array" ref="G883">IF(TRIM(P883)="","",IF(SUM(COUNTIF(P883,{"*NLGD*","*FWG*"}))&gt;0,P883,IF(SUM(COUNTIF(P883,{"*GL*","*DGB*","*DGI*","*GT*","*CS*","*PWU*","*DBI*","*SWU*"}))=0,P883,IF(IFERROR(VALUE(SUBSTITUTE(SUBSTITUTE(O883,"W",""),"""","")),0)&gt;52,P883&amp;"-OVRSIZE-",P883))))</f>
        <v/>
      </c>
      <c r="H883" s="15" t="str">
        <v/>
      </c>
      <c r="I883" s="15" t="str">
        <v/>
      </c>
      <c r="J883" s="15" t="str">
        <v/>
      </c>
      <c r="K883" s="15" t="str">
        <v/>
      </c>
      <c r="L883" s="15" t="str">
        <v/>
      </c>
      <c r="M883" s="10" t="str">
        <v/>
      </c>
      <c r="N883" s="14"/>
      <c r="O883" s="15" t="str" cm="1">
        <f t="array" ref="O883">IFERROR(_xlfn.LET(
_xlpm.clean,TRIM(SUBSTITUTE(SUBSTITUTE(P883,CHAR(160),"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3" s="15"/>
      <c r="R883" t="str">
        <v/>
      </c>
      <c r="S883" t="str">
        <f t="shared" si="14"/>
        <v/>
      </c>
    </row>
    <row r="884" spans="1:19" ht="12.75">
      <c r="A884" s="15" t="str">
        <v/>
      </c>
      <c r="B884" s="15" t="str">
        <v/>
      </c>
      <c r="C884" s="15" t="str" cm="1">
        <f t="array" ref="C884">IFERROR(_xlfn.TEXTJOIN("",TRUE,_xlfn._xlws.FILTER(MID(S884,_xlfn.SEQUENCE(LEN(S884)),1),ISNUMBER(SEARCH(MID(S884,_xlfn.SEQUENCE(LEN(S884)),1),"ABCDEFGHIJKLMNOPQRSTUVWXYZabcdefghijklmnopqrstuvwxyz0123456789,")))),"")</f>
        <v/>
      </c>
      <c r="D884" s="15" t="str">
        <v/>
      </c>
      <c r="E884" s="16" t="str">
        <v/>
      </c>
      <c r="F884" s="15" t="str">
        <v/>
      </c>
      <c r="G884" s="20" t="str" cm="1">
        <f t="array" ref="G884">IF(TRIM(P884)="","",IF(SUM(COUNTIF(P884,{"*NLGD*","*FWG*"}))&gt;0,P884,IF(SUM(COUNTIF(P884,{"*GL*","*DGB*","*DGI*","*GT*","*CS*","*PWU*","*DBI*","*SWU*"}))=0,P884,IF(IFERROR(VALUE(SUBSTITUTE(SUBSTITUTE(O884,"W",""),"""","")),0)&gt;52,P884&amp;"-OVRSIZE-",P884))))</f>
        <v/>
      </c>
      <c r="H884" s="15" t="str">
        <v/>
      </c>
      <c r="I884" s="15" t="str">
        <v/>
      </c>
      <c r="J884" s="15" t="str">
        <v/>
      </c>
      <c r="K884" s="15" t="str">
        <v/>
      </c>
      <c r="L884" s="15" t="str">
        <v/>
      </c>
      <c r="M884" s="10" t="str">
        <v/>
      </c>
      <c r="N884" s="14"/>
      <c r="O884" s="15" t="str" cm="1">
        <f t="array" ref="O884">IFERROR(_xlfn.LET(
_xlpm.clean,TRIM(SUBSTITUTE(SUBSTITUTE(P884,CHAR(160),"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4" s="15"/>
      <c r="R884" t="str">
        <v/>
      </c>
      <c r="S884" t="str">
        <f t="shared" si="14"/>
        <v/>
      </c>
    </row>
    <row r="885" spans="1:19" ht="12.75">
      <c r="A885" s="15" t="str">
        <v/>
      </c>
      <c r="B885" s="15" t="str">
        <v/>
      </c>
      <c r="C885" s="15" t="str" cm="1">
        <f t="array" ref="C885">IFERROR(_xlfn.TEXTJOIN("",TRUE,_xlfn._xlws.FILTER(MID(S885,_xlfn.SEQUENCE(LEN(S885)),1),ISNUMBER(SEARCH(MID(S885,_xlfn.SEQUENCE(LEN(S885)),1),"ABCDEFGHIJKLMNOPQRSTUVWXYZabcdefghijklmnopqrstuvwxyz0123456789,")))),"")</f>
        <v/>
      </c>
      <c r="D885" s="15" t="str">
        <v/>
      </c>
      <c r="E885" s="16" t="str">
        <v/>
      </c>
      <c r="F885" s="15" t="str">
        <v/>
      </c>
      <c r="G885" s="20" t="str" cm="1">
        <f t="array" ref="G885">IF(TRIM(P885)="","",IF(SUM(COUNTIF(P885,{"*NLGD*","*FWG*"}))&gt;0,P885,IF(SUM(COUNTIF(P885,{"*GL*","*DGB*","*DGI*","*GT*","*CS*","*PWU*","*DBI*","*SWU*"}))=0,P885,IF(IFERROR(VALUE(SUBSTITUTE(SUBSTITUTE(O885,"W",""),"""","")),0)&gt;52,P885&amp;"-OVRSIZE-",P885))))</f>
        <v/>
      </c>
      <c r="H885" s="15" t="str">
        <v/>
      </c>
      <c r="I885" s="15" t="str">
        <v/>
      </c>
      <c r="J885" s="15" t="str">
        <v/>
      </c>
      <c r="K885" s="15" t="str">
        <v/>
      </c>
      <c r="L885" s="15" t="str">
        <v/>
      </c>
      <c r="M885" s="10" t="str">
        <v/>
      </c>
      <c r="N885" s="14"/>
      <c r="O885" s="15" t="str" cm="1">
        <f t="array" ref="O885">IFERROR(_xlfn.LET(
_xlpm.clean,TRIM(SUBSTITUTE(SUBSTITUTE(P885,CHAR(160),"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5" s="15"/>
      <c r="R885" t="str">
        <v/>
      </c>
      <c r="S885" t="str">
        <f t="shared" si="14"/>
        <v/>
      </c>
    </row>
    <row r="886" spans="1:19" ht="12.75">
      <c r="A886" s="15" t="str">
        <v/>
      </c>
      <c r="B886" s="15" t="str">
        <v/>
      </c>
      <c r="C886" s="15" t="str" cm="1">
        <f t="array" ref="C886">IFERROR(_xlfn.TEXTJOIN("",TRUE,_xlfn._xlws.FILTER(MID(S886,_xlfn.SEQUENCE(LEN(S886)),1),ISNUMBER(SEARCH(MID(S886,_xlfn.SEQUENCE(LEN(S886)),1),"ABCDEFGHIJKLMNOPQRSTUVWXYZabcdefghijklmnopqrstuvwxyz0123456789,")))),"")</f>
        <v/>
      </c>
      <c r="D886" s="15" t="str">
        <v/>
      </c>
      <c r="E886" s="16" t="str">
        <v/>
      </c>
      <c r="F886" s="15" t="str">
        <v/>
      </c>
      <c r="G886" s="20" t="str" cm="1">
        <f t="array" ref="G886">IF(TRIM(P886)="","",IF(SUM(COUNTIF(P886,{"*NLGD*","*FWG*"}))&gt;0,P886,IF(SUM(COUNTIF(P886,{"*GL*","*DGB*","*DGI*","*GT*","*CS*","*PWU*","*DBI*","*SWU*"}))=0,P886,IF(IFERROR(VALUE(SUBSTITUTE(SUBSTITUTE(O886,"W",""),"""","")),0)&gt;52,P886&amp;"-OVRSIZE-",P886))))</f>
        <v/>
      </c>
      <c r="H886" s="15" t="str">
        <v/>
      </c>
      <c r="I886" s="15" t="str">
        <v/>
      </c>
      <c r="J886" s="15" t="str">
        <v/>
      </c>
      <c r="K886" s="15" t="str">
        <v/>
      </c>
      <c r="L886" s="15" t="str">
        <v/>
      </c>
      <c r="M886" s="10" t="str">
        <v/>
      </c>
      <c r="N886" s="14"/>
      <c r="O886" s="15" t="str" cm="1">
        <f t="array" ref="O886">IFERROR(_xlfn.LET(
_xlpm.clean,TRIM(SUBSTITUTE(SUBSTITUTE(P886,CHAR(160),"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6" s="15"/>
      <c r="R886" t="str">
        <v/>
      </c>
      <c r="S886" t="str">
        <f t="shared" si="14"/>
        <v/>
      </c>
    </row>
    <row r="887" spans="1:19" ht="12.75">
      <c r="A887" s="15" t="str">
        <v/>
      </c>
      <c r="B887" s="15" t="str">
        <v/>
      </c>
      <c r="C887" s="15" t="str" cm="1">
        <f t="array" ref="C887">IFERROR(_xlfn.TEXTJOIN("",TRUE,_xlfn._xlws.FILTER(MID(S887,_xlfn.SEQUENCE(LEN(S887)),1),ISNUMBER(SEARCH(MID(S887,_xlfn.SEQUENCE(LEN(S887)),1),"ABCDEFGHIJKLMNOPQRSTUVWXYZabcdefghijklmnopqrstuvwxyz0123456789,")))),"")</f>
        <v/>
      </c>
      <c r="D887" s="15" t="str">
        <v/>
      </c>
      <c r="E887" s="16" t="str">
        <v/>
      </c>
      <c r="F887" s="15" t="str">
        <v/>
      </c>
      <c r="G887" s="20" t="str" cm="1">
        <f t="array" ref="G887">IF(TRIM(P887)="","",IF(SUM(COUNTIF(P887,{"*NLGD*","*FWG*"}))&gt;0,P887,IF(SUM(COUNTIF(P887,{"*GL*","*DGB*","*DGI*","*GT*","*CS*","*PWU*","*DBI*","*SWU*"}))=0,P887,IF(IFERROR(VALUE(SUBSTITUTE(SUBSTITUTE(O887,"W",""),"""","")),0)&gt;52,P887&amp;"-OVRSIZE-",P887))))</f>
        <v/>
      </c>
      <c r="H887" s="15" t="str">
        <v/>
      </c>
      <c r="I887" s="15" t="str">
        <v/>
      </c>
      <c r="J887" s="15" t="str">
        <v/>
      </c>
      <c r="K887" s="15" t="str">
        <v/>
      </c>
      <c r="L887" s="15" t="str">
        <v/>
      </c>
      <c r="M887" s="10" t="str">
        <v/>
      </c>
      <c r="N887" s="14"/>
      <c r="O887" s="15" t="str" cm="1">
        <f t="array" ref="O887">IFERROR(_xlfn.LET(
_xlpm.clean,TRIM(SUBSTITUTE(SUBSTITUTE(P887,CHAR(160),"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7" s="15"/>
      <c r="R887" t="str">
        <v/>
      </c>
      <c r="S887" t="str">
        <f t="shared" si="14"/>
        <v/>
      </c>
    </row>
    <row r="888" spans="1:19" ht="12.75">
      <c r="A888" s="15" t="str">
        <v/>
      </c>
      <c r="B888" s="15" t="str">
        <v/>
      </c>
      <c r="C888" s="15" t="str" cm="1">
        <f t="array" ref="C888">IFERROR(_xlfn.TEXTJOIN("",TRUE,_xlfn._xlws.FILTER(MID(S888,_xlfn.SEQUENCE(LEN(S888)),1),ISNUMBER(SEARCH(MID(S888,_xlfn.SEQUENCE(LEN(S888)),1),"ABCDEFGHIJKLMNOPQRSTUVWXYZabcdefghijklmnopqrstuvwxyz0123456789,")))),"")</f>
        <v/>
      </c>
      <c r="D888" s="15" t="str">
        <v/>
      </c>
      <c r="E888" s="16" t="str">
        <v/>
      </c>
      <c r="F888" s="15" t="str">
        <v/>
      </c>
      <c r="G888" s="20" t="str" cm="1">
        <f t="array" ref="G888">IF(TRIM(P888)="","",IF(SUM(COUNTIF(P888,{"*NLGD*","*FWG*"}))&gt;0,P888,IF(SUM(COUNTIF(P888,{"*GL*","*DGB*","*DGI*","*GT*","*CS*","*PWU*","*DBI*","*SWU*"}))=0,P888,IF(IFERROR(VALUE(SUBSTITUTE(SUBSTITUTE(O888,"W",""),"""","")),0)&gt;52,P888&amp;"-OVRSIZE-",P888))))</f>
        <v/>
      </c>
      <c r="H888" s="15" t="str">
        <v/>
      </c>
      <c r="I888" s="15" t="str">
        <v/>
      </c>
      <c r="J888" s="15" t="str">
        <v/>
      </c>
      <c r="K888" s="15" t="str">
        <v/>
      </c>
      <c r="L888" s="15" t="str">
        <v/>
      </c>
      <c r="M888" s="10" t="str">
        <v/>
      </c>
      <c r="N888" s="14"/>
      <c r="O888" s="15" t="str" cm="1">
        <f t="array" ref="O888">IFERROR(_xlfn.LET(
_xlpm.clean,TRIM(SUBSTITUTE(SUBSTITUTE(P888,CHAR(160),"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8" s="15"/>
      <c r="R888" t="str">
        <v/>
      </c>
      <c r="S888" t="str">
        <f t="shared" si="14"/>
        <v/>
      </c>
    </row>
    <row r="889" spans="1:19" ht="12.75">
      <c r="A889" s="15" t="str">
        <v/>
      </c>
      <c r="B889" s="15" t="str">
        <v/>
      </c>
      <c r="C889" s="15" t="str" cm="1">
        <f t="array" ref="C889">IFERROR(_xlfn.TEXTJOIN("",TRUE,_xlfn._xlws.FILTER(MID(S889,_xlfn.SEQUENCE(LEN(S889)),1),ISNUMBER(SEARCH(MID(S889,_xlfn.SEQUENCE(LEN(S889)),1),"ABCDEFGHIJKLMNOPQRSTUVWXYZabcdefghijklmnopqrstuvwxyz0123456789,")))),"")</f>
        <v/>
      </c>
      <c r="D889" s="15" t="str">
        <v/>
      </c>
      <c r="E889" s="16" t="str">
        <v/>
      </c>
      <c r="F889" s="15" t="str">
        <v/>
      </c>
      <c r="G889" s="20" t="str" cm="1">
        <f t="array" ref="G889">IF(TRIM(P889)="","",IF(SUM(COUNTIF(P889,{"*NLGD*","*FWG*"}))&gt;0,P889,IF(SUM(COUNTIF(P889,{"*GL*","*DGB*","*DGI*","*GT*","*CS*","*PWU*","*DBI*","*SWU*"}))=0,P889,IF(IFERROR(VALUE(SUBSTITUTE(SUBSTITUTE(O889,"W",""),"""","")),0)&gt;52,P889&amp;"-OVRSIZE-",P889))))</f>
        <v/>
      </c>
      <c r="H889" s="15" t="str">
        <v/>
      </c>
      <c r="I889" s="15" t="str">
        <v/>
      </c>
      <c r="J889" s="15" t="str">
        <v/>
      </c>
      <c r="K889" s="15" t="str">
        <v/>
      </c>
      <c r="L889" s="15" t="str">
        <v/>
      </c>
      <c r="M889" s="10" t="str">
        <v/>
      </c>
      <c r="N889" s="14"/>
      <c r="O889" s="15" t="str" cm="1">
        <f t="array" ref="O889">IFERROR(_xlfn.LET(
_xlpm.clean,TRIM(SUBSTITUTE(SUBSTITUTE(P889,CHAR(160),"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9" s="15"/>
      <c r="R889" t="str">
        <v/>
      </c>
      <c r="S889" t="str">
        <f t="shared" si="14"/>
        <v/>
      </c>
    </row>
    <row r="890" spans="1:19" ht="12.75">
      <c r="A890" s="15" t="str">
        <v/>
      </c>
      <c r="B890" s="15" t="str">
        <v/>
      </c>
      <c r="C890" s="15" t="str" cm="1">
        <f t="array" ref="C890">IFERROR(_xlfn.TEXTJOIN("",TRUE,_xlfn._xlws.FILTER(MID(S890,_xlfn.SEQUENCE(LEN(S890)),1),ISNUMBER(SEARCH(MID(S890,_xlfn.SEQUENCE(LEN(S890)),1),"ABCDEFGHIJKLMNOPQRSTUVWXYZabcdefghijklmnopqrstuvwxyz0123456789,")))),"")</f>
        <v/>
      </c>
      <c r="D890" s="15" t="str">
        <v/>
      </c>
      <c r="E890" s="16" t="str">
        <v/>
      </c>
      <c r="F890" s="15" t="str">
        <v/>
      </c>
      <c r="G890" s="20" t="str" cm="1">
        <f t="array" ref="G890">IF(TRIM(P890)="","",IF(SUM(COUNTIF(P890,{"*NLGD*","*FWG*"}))&gt;0,P890,IF(SUM(COUNTIF(P890,{"*GL*","*DGB*","*DGI*","*GT*","*CS*","*PWU*","*DBI*","*SWU*"}))=0,P890,IF(IFERROR(VALUE(SUBSTITUTE(SUBSTITUTE(O890,"W",""),"""","")),0)&gt;52,P890&amp;"-OVRSIZE-",P890))))</f>
        <v/>
      </c>
      <c r="H890" s="15" t="str">
        <v/>
      </c>
      <c r="I890" s="15" t="str">
        <v/>
      </c>
      <c r="J890" s="15" t="str">
        <v/>
      </c>
      <c r="K890" s="15" t="str">
        <v/>
      </c>
      <c r="L890" s="15" t="str">
        <v/>
      </c>
      <c r="M890" s="10" t="str">
        <v/>
      </c>
      <c r="N890" s="14"/>
      <c r="O890" s="15" t="str" cm="1">
        <f t="array" ref="O890">IFERROR(_xlfn.LET(
_xlpm.clean,TRIM(SUBSTITUTE(SUBSTITUTE(P890,CHAR(160),"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0" s="15"/>
      <c r="R890" t="str">
        <v/>
      </c>
      <c r="S890" t="str">
        <f t="shared" si="14"/>
        <v/>
      </c>
    </row>
    <row r="891" spans="1:19" ht="12.75">
      <c r="A891" s="15" t="str">
        <v/>
      </c>
      <c r="B891" s="15" t="str">
        <v/>
      </c>
      <c r="C891" s="15" t="str" cm="1">
        <f t="array" ref="C891">IFERROR(_xlfn.TEXTJOIN("",TRUE,_xlfn._xlws.FILTER(MID(S891,_xlfn.SEQUENCE(LEN(S891)),1),ISNUMBER(SEARCH(MID(S891,_xlfn.SEQUENCE(LEN(S891)),1),"ABCDEFGHIJKLMNOPQRSTUVWXYZabcdefghijklmnopqrstuvwxyz0123456789,")))),"")</f>
        <v/>
      </c>
      <c r="D891" s="15" t="str">
        <v/>
      </c>
      <c r="E891" s="16" t="str">
        <v/>
      </c>
      <c r="F891" s="15" t="str">
        <v/>
      </c>
      <c r="G891" s="20" t="str" cm="1">
        <f t="array" ref="G891">IF(TRIM(P891)="","",IF(SUM(COUNTIF(P891,{"*NLGD*","*FWG*"}))&gt;0,P891,IF(SUM(COUNTIF(P891,{"*GL*","*DGB*","*DGI*","*GT*","*CS*","*PWU*","*DBI*","*SWU*"}))=0,P891,IF(IFERROR(VALUE(SUBSTITUTE(SUBSTITUTE(O891,"W",""),"""","")),0)&gt;52,P891&amp;"-OVRSIZE-",P891))))</f>
        <v/>
      </c>
      <c r="H891" s="15" t="str">
        <v/>
      </c>
      <c r="I891" s="15" t="str">
        <v/>
      </c>
      <c r="J891" s="15" t="str">
        <v/>
      </c>
      <c r="K891" s="15" t="str">
        <v/>
      </c>
      <c r="L891" s="15" t="str">
        <v/>
      </c>
      <c r="M891" s="10" t="str">
        <v/>
      </c>
      <c r="N891" s="14"/>
      <c r="O891" s="15" t="str" cm="1">
        <f t="array" ref="O891">IFERROR(_xlfn.LET(
_xlpm.clean,TRIM(SUBSTITUTE(SUBSTITUTE(P891,CHAR(160),"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1" s="15"/>
      <c r="R891" t="str">
        <v/>
      </c>
      <c r="S891" t="str">
        <f t="shared" si="14"/>
        <v/>
      </c>
    </row>
    <row r="892" spans="1:19" ht="12.75">
      <c r="A892" s="15" t="str">
        <v/>
      </c>
      <c r="B892" s="15" t="str">
        <v/>
      </c>
      <c r="C892" s="15" t="str" cm="1">
        <f t="array" ref="C892">IFERROR(_xlfn.TEXTJOIN("",TRUE,_xlfn._xlws.FILTER(MID(S892,_xlfn.SEQUENCE(LEN(S892)),1),ISNUMBER(SEARCH(MID(S892,_xlfn.SEQUENCE(LEN(S892)),1),"ABCDEFGHIJKLMNOPQRSTUVWXYZabcdefghijklmnopqrstuvwxyz0123456789,")))),"")</f>
        <v/>
      </c>
      <c r="D892" s="15" t="str">
        <v/>
      </c>
      <c r="E892" s="16" t="str">
        <v/>
      </c>
      <c r="F892" s="15" t="str">
        <v/>
      </c>
      <c r="G892" s="20" t="str" cm="1">
        <f t="array" ref="G892">IF(TRIM(P892)="","",IF(SUM(COUNTIF(P892,{"*NLGD*","*FWG*"}))&gt;0,P892,IF(SUM(COUNTIF(P892,{"*GL*","*DGB*","*DGI*","*GT*","*CS*","*PWU*","*DBI*","*SWU*"}))=0,P892,IF(IFERROR(VALUE(SUBSTITUTE(SUBSTITUTE(O892,"W",""),"""","")),0)&gt;52,P892&amp;"-OVRSIZE-",P892))))</f>
        <v/>
      </c>
      <c r="H892" s="15" t="str">
        <v/>
      </c>
      <c r="I892" s="15" t="str">
        <v/>
      </c>
      <c r="J892" s="15" t="str">
        <v/>
      </c>
      <c r="K892" s="15" t="str">
        <v/>
      </c>
      <c r="L892" s="15" t="str">
        <v/>
      </c>
      <c r="M892" s="10" t="str">
        <v/>
      </c>
      <c r="N892" s="14"/>
      <c r="O892" s="15" t="str" cm="1">
        <f t="array" ref="O892">IFERROR(_xlfn.LET(
_xlpm.clean,TRIM(SUBSTITUTE(SUBSTITUTE(P892,CHAR(160),"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2" s="15"/>
      <c r="R892" t="str">
        <v/>
      </c>
      <c r="S892" t="str">
        <f t="shared" si="14"/>
        <v/>
      </c>
    </row>
    <row r="893" spans="1:19" ht="12.75">
      <c r="A893" s="15" t="str">
        <v/>
      </c>
      <c r="B893" s="15" t="str">
        <v/>
      </c>
      <c r="C893" s="15" t="str" cm="1">
        <f t="array" ref="C893">IFERROR(_xlfn.TEXTJOIN("",TRUE,_xlfn._xlws.FILTER(MID(S893,_xlfn.SEQUENCE(LEN(S893)),1),ISNUMBER(SEARCH(MID(S893,_xlfn.SEQUENCE(LEN(S893)),1),"ABCDEFGHIJKLMNOPQRSTUVWXYZabcdefghijklmnopqrstuvwxyz0123456789,")))),"")</f>
        <v/>
      </c>
      <c r="D893" s="15" t="str">
        <v/>
      </c>
      <c r="E893" s="16" t="str">
        <v/>
      </c>
      <c r="F893" s="15" t="str">
        <v/>
      </c>
      <c r="G893" s="20" t="str" cm="1">
        <f t="array" ref="G893">IF(TRIM(P893)="","",IF(SUM(COUNTIF(P893,{"*NLGD*","*FWG*"}))&gt;0,P893,IF(SUM(COUNTIF(P893,{"*GL*","*DGB*","*DGI*","*GT*","*CS*","*PWU*","*DBI*","*SWU*"}))=0,P893,IF(IFERROR(VALUE(SUBSTITUTE(SUBSTITUTE(O893,"W",""),"""","")),0)&gt;52,P893&amp;"-OVRSIZE-",P893))))</f>
        <v/>
      </c>
      <c r="H893" s="15" t="str">
        <v/>
      </c>
      <c r="I893" s="15" t="str">
        <v/>
      </c>
      <c r="J893" s="15" t="str">
        <v/>
      </c>
      <c r="K893" s="15" t="str">
        <v/>
      </c>
      <c r="L893" s="15" t="str">
        <v/>
      </c>
      <c r="M893" s="10" t="str">
        <v/>
      </c>
      <c r="N893" s="14"/>
      <c r="O893" s="15" t="str" cm="1">
        <f t="array" ref="O893">IFERROR(_xlfn.LET(
_xlpm.clean,TRIM(SUBSTITUTE(SUBSTITUTE(P893,CHAR(160),"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3" s="15"/>
      <c r="R893" t="str">
        <v/>
      </c>
      <c r="S893" t="str">
        <f t="shared" si="14"/>
        <v/>
      </c>
    </row>
    <row r="894" spans="1:19" ht="12.75">
      <c r="A894" s="15" t="str">
        <v/>
      </c>
      <c r="B894" s="15" t="str">
        <v/>
      </c>
      <c r="C894" s="15" t="str" cm="1">
        <f t="array" ref="C894">IFERROR(_xlfn.TEXTJOIN("",TRUE,_xlfn._xlws.FILTER(MID(S894,_xlfn.SEQUENCE(LEN(S894)),1),ISNUMBER(SEARCH(MID(S894,_xlfn.SEQUENCE(LEN(S894)),1),"ABCDEFGHIJKLMNOPQRSTUVWXYZabcdefghijklmnopqrstuvwxyz0123456789,")))),"")</f>
        <v/>
      </c>
      <c r="D894" s="15" t="str">
        <v/>
      </c>
      <c r="E894" s="16" t="str">
        <v/>
      </c>
      <c r="F894" s="15" t="str">
        <v/>
      </c>
      <c r="G894" s="20" t="str" cm="1">
        <f t="array" ref="G894">IF(TRIM(P894)="","",IF(SUM(COUNTIF(P894,{"*NLGD*","*FWG*"}))&gt;0,P894,IF(SUM(COUNTIF(P894,{"*GL*","*DGB*","*DGI*","*GT*","*CS*","*PWU*","*DBI*","*SWU*"}))=0,P894,IF(IFERROR(VALUE(SUBSTITUTE(SUBSTITUTE(O894,"W",""),"""","")),0)&gt;52,P894&amp;"-OVRSIZE-",P894))))</f>
        <v/>
      </c>
      <c r="H894" s="15" t="str">
        <v/>
      </c>
      <c r="I894" s="15" t="str">
        <v/>
      </c>
      <c r="J894" s="15" t="str">
        <v/>
      </c>
      <c r="K894" s="15" t="str">
        <v/>
      </c>
      <c r="L894" s="15" t="str">
        <v/>
      </c>
      <c r="M894" s="10" t="str">
        <v/>
      </c>
      <c r="N894" s="14"/>
      <c r="O894" s="15" t="str" cm="1">
        <f t="array" ref="O894">IFERROR(_xlfn.LET(
_xlpm.clean,TRIM(SUBSTITUTE(SUBSTITUTE(P894,CHAR(160),"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4" s="15"/>
      <c r="R894" t="str">
        <v/>
      </c>
      <c r="S894" t="str">
        <f t="shared" si="14"/>
        <v/>
      </c>
    </row>
    <row r="895" spans="1:19" ht="12.75">
      <c r="A895" s="15" t="str">
        <v/>
      </c>
      <c r="B895" s="15" t="str">
        <v/>
      </c>
      <c r="C895" s="15" t="str" cm="1">
        <f t="array" ref="C895">IFERROR(_xlfn.TEXTJOIN("",TRUE,_xlfn._xlws.FILTER(MID(S895,_xlfn.SEQUENCE(LEN(S895)),1),ISNUMBER(SEARCH(MID(S895,_xlfn.SEQUENCE(LEN(S895)),1),"ABCDEFGHIJKLMNOPQRSTUVWXYZabcdefghijklmnopqrstuvwxyz0123456789,")))),"")</f>
        <v/>
      </c>
      <c r="D895" s="15" t="str">
        <v/>
      </c>
      <c r="E895" s="16" t="str">
        <v/>
      </c>
      <c r="F895" s="15" t="str">
        <v/>
      </c>
      <c r="G895" s="20" t="str" cm="1">
        <f t="array" ref="G895">IF(TRIM(P895)="","",IF(SUM(COUNTIF(P895,{"*NLGD*","*FWG*"}))&gt;0,P895,IF(SUM(COUNTIF(P895,{"*GL*","*DGB*","*DGI*","*GT*","*CS*","*PWU*","*DBI*","*SWU*"}))=0,P895,IF(IFERROR(VALUE(SUBSTITUTE(SUBSTITUTE(O895,"W",""),"""","")),0)&gt;52,P895&amp;"-OVRSIZE-",P895))))</f>
        <v/>
      </c>
      <c r="H895" s="15" t="str">
        <v/>
      </c>
      <c r="I895" s="15" t="str">
        <v/>
      </c>
      <c r="J895" s="15" t="str">
        <v/>
      </c>
      <c r="K895" s="15" t="str">
        <v/>
      </c>
      <c r="L895" s="15" t="str">
        <v/>
      </c>
      <c r="M895" s="10" t="str">
        <v/>
      </c>
      <c r="N895" s="14"/>
      <c r="O895" s="15" t="str" cm="1">
        <f t="array" ref="O895">IFERROR(_xlfn.LET(
_xlpm.clean,TRIM(SUBSTITUTE(SUBSTITUTE(P895,CHAR(160),"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5" s="15"/>
      <c r="R895" t="str">
        <v/>
      </c>
      <c r="S895" t="str">
        <f t="shared" si="14"/>
        <v/>
      </c>
    </row>
    <row r="896" spans="1:19" ht="12.75">
      <c r="A896" s="15" t="str">
        <v/>
      </c>
      <c r="B896" s="15" t="str">
        <v/>
      </c>
      <c r="C896" s="15" t="str" cm="1">
        <f t="array" ref="C896">IFERROR(_xlfn.TEXTJOIN("",TRUE,_xlfn._xlws.FILTER(MID(S896,_xlfn.SEQUENCE(LEN(S896)),1),ISNUMBER(SEARCH(MID(S896,_xlfn.SEQUENCE(LEN(S896)),1),"ABCDEFGHIJKLMNOPQRSTUVWXYZabcdefghijklmnopqrstuvwxyz0123456789,")))),"")</f>
        <v/>
      </c>
      <c r="D896" s="15" t="str">
        <v/>
      </c>
      <c r="E896" s="16" t="str">
        <v/>
      </c>
      <c r="F896" s="15" t="str">
        <v/>
      </c>
      <c r="G896" s="20" t="str" cm="1">
        <f t="array" ref="G896">IF(TRIM(P896)="","",IF(SUM(COUNTIF(P896,{"*NLGD*","*FWG*"}))&gt;0,P896,IF(SUM(COUNTIF(P896,{"*GL*","*DGB*","*DGI*","*GT*","*CS*","*PWU*","*DBI*","*SWU*"}))=0,P896,IF(IFERROR(VALUE(SUBSTITUTE(SUBSTITUTE(O896,"W",""),"""","")),0)&gt;52,P896&amp;"-OVRSIZE-",P896))))</f>
        <v/>
      </c>
      <c r="H896" s="15" t="str">
        <v/>
      </c>
      <c r="I896" s="15" t="str">
        <v/>
      </c>
      <c r="J896" s="15" t="str">
        <v/>
      </c>
      <c r="K896" s="15" t="str">
        <v/>
      </c>
      <c r="L896" s="15" t="str">
        <v/>
      </c>
      <c r="M896" s="10" t="str">
        <v/>
      </c>
      <c r="N896" s="14"/>
      <c r="O896" s="15" t="str" cm="1">
        <f t="array" ref="O896">IFERROR(_xlfn.LET(
_xlpm.clean,TRIM(SUBSTITUTE(SUBSTITUTE(P896,CHAR(160),"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6" s="15"/>
      <c r="R896" t="str">
        <v/>
      </c>
      <c r="S896" t="str">
        <f t="shared" si="14"/>
        <v/>
      </c>
    </row>
    <row r="897" spans="1:19" ht="12.75">
      <c r="A897" s="15" t="str">
        <v/>
      </c>
      <c r="B897" s="15" t="str">
        <v/>
      </c>
      <c r="C897" s="15" t="str" cm="1">
        <f t="array" ref="C897">IFERROR(_xlfn.TEXTJOIN("",TRUE,_xlfn._xlws.FILTER(MID(S897,_xlfn.SEQUENCE(LEN(S897)),1),ISNUMBER(SEARCH(MID(S897,_xlfn.SEQUENCE(LEN(S897)),1),"ABCDEFGHIJKLMNOPQRSTUVWXYZabcdefghijklmnopqrstuvwxyz0123456789,")))),"")</f>
        <v/>
      </c>
      <c r="D897" s="15" t="str">
        <v/>
      </c>
      <c r="E897" s="16" t="str">
        <v/>
      </c>
      <c r="F897" s="15" t="str">
        <v/>
      </c>
      <c r="G897" s="20" t="str" cm="1">
        <f t="array" ref="G897">IF(TRIM(P897)="","",IF(SUM(COUNTIF(P897,{"*NLGD*","*FWG*"}))&gt;0,P897,IF(SUM(COUNTIF(P897,{"*GL*","*DGB*","*DGI*","*GT*","*CS*","*PWU*","*DBI*","*SWU*"}))=0,P897,IF(IFERROR(VALUE(SUBSTITUTE(SUBSTITUTE(O897,"W",""),"""","")),0)&gt;52,P897&amp;"-OVRSIZE-",P897))))</f>
        <v/>
      </c>
      <c r="H897" s="15" t="str">
        <v/>
      </c>
      <c r="I897" s="15" t="str">
        <v/>
      </c>
      <c r="J897" s="15" t="str">
        <v/>
      </c>
      <c r="K897" s="15" t="str">
        <v/>
      </c>
      <c r="L897" s="15" t="str">
        <v/>
      </c>
      <c r="M897" s="10" t="str">
        <v/>
      </c>
      <c r="N897" s="14"/>
      <c r="O897" s="15" t="str" cm="1">
        <f t="array" ref="O897">IFERROR(_xlfn.LET(
_xlpm.clean,TRIM(SUBSTITUTE(SUBSTITUTE(P897,CHAR(160),"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7" s="15"/>
      <c r="R897" t="str">
        <v/>
      </c>
      <c r="S897" t="str">
        <f t="shared" si="14"/>
        <v/>
      </c>
    </row>
    <row r="898" spans="1:19" ht="12.75">
      <c r="A898" s="15" t="str">
        <v/>
      </c>
      <c r="B898" s="15" t="str">
        <v/>
      </c>
      <c r="C898" s="15" t="str" cm="1">
        <f t="array" ref="C898">IFERROR(_xlfn.TEXTJOIN("",TRUE,_xlfn._xlws.FILTER(MID(S898,_xlfn.SEQUENCE(LEN(S898)),1),ISNUMBER(SEARCH(MID(S898,_xlfn.SEQUENCE(LEN(S898)),1),"ABCDEFGHIJKLMNOPQRSTUVWXYZabcdefghijklmnopqrstuvwxyz0123456789,")))),"")</f>
        <v/>
      </c>
      <c r="D898" s="15" t="str">
        <v/>
      </c>
      <c r="E898" s="16" t="str">
        <v/>
      </c>
      <c r="F898" s="15" t="str">
        <v/>
      </c>
      <c r="G898" s="20" t="str" cm="1">
        <f t="array" ref="G898">IF(TRIM(P898)="","",IF(SUM(COUNTIF(P898,{"*NLGD*","*FWG*"}))&gt;0,P898,IF(SUM(COUNTIF(P898,{"*GL*","*DGB*","*DGI*","*GT*","*CS*","*PWU*","*DBI*","*SWU*"}))=0,P898,IF(IFERROR(VALUE(SUBSTITUTE(SUBSTITUTE(O898,"W",""),"""","")),0)&gt;52,P898&amp;"-OVRSIZE-",P898))))</f>
        <v/>
      </c>
      <c r="H898" s="15" t="str">
        <v/>
      </c>
      <c r="I898" s="15" t="str">
        <v/>
      </c>
      <c r="J898" s="15" t="str">
        <v/>
      </c>
      <c r="K898" s="15" t="str">
        <v/>
      </c>
      <c r="L898" s="15" t="str">
        <v/>
      </c>
      <c r="M898" s="10" t="str">
        <v/>
      </c>
      <c r="N898" s="14"/>
      <c r="O898" s="15" t="str" cm="1">
        <f t="array" ref="O898">IFERROR(_xlfn.LET(
_xlpm.clean,TRIM(SUBSTITUTE(SUBSTITUTE(P898,CHAR(160),"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8" s="15"/>
      <c r="R898" t="str">
        <v/>
      </c>
      <c r="S898" t="str">
        <f t="shared" si="14"/>
        <v/>
      </c>
    </row>
    <row r="899" spans="1:19" ht="12.75">
      <c r="A899" s="15" t="str">
        <v/>
      </c>
      <c r="B899" s="15" t="str">
        <v/>
      </c>
      <c r="C899" s="15" t="str" cm="1">
        <f t="array" ref="C899">IFERROR(_xlfn.TEXTJOIN("",TRUE,_xlfn._xlws.FILTER(MID(S899,_xlfn.SEQUENCE(LEN(S899)),1),ISNUMBER(SEARCH(MID(S899,_xlfn.SEQUENCE(LEN(S899)),1),"ABCDEFGHIJKLMNOPQRSTUVWXYZabcdefghijklmnopqrstuvwxyz0123456789,")))),"")</f>
        <v/>
      </c>
      <c r="D899" s="15" t="str">
        <v/>
      </c>
      <c r="E899" s="16" t="str">
        <v/>
      </c>
      <c r="F899" s="15" t="str">
        <v/>
      </c>
      <c r="G899" s="20" t="str" cm="1">
        <f t="array" ref="G899">IF(TRIM(P899)="","",IF(SUM(COUNTIF(P899,{"*NLGD*","*FWG*"}))&gt;0,P899,IF(SUM(COUNTIF(P899,{"*GL*","*DGB*","*DGI*","*GT*","*CS*","*PWU*","*DBI*","*SWU*"}))=0,P899,IF(IFERROR(VALUE(SUBSTITUTE(SUBSTITUTE(O899,"W",""),"""","")),0)&gt;52,P899&amp;"-OVRSIZE-",P899))))</f>
        <v/>
      </c>
      <c r="H899" s="15" t="str">
        <v/>
      </c>
      <c r="I899" s="15" t="str">
        <v/>
      </c>
      <c r="J899" s="15" t="str">
        <v/>
      </c>
      <c r="K899" s="15" t="str">
        <v/>
      </c>
      <c r="L899" s="15" t="str">
        <v/>
      </c>
      <c r="M899" s="10" t="str">
        <v/>
      </c>
      <c r="N899" s="14"/>
      <c r="O899" s="15" t="str" cm="1">
        <f t="array" ref="O899">IFERROR(_xlfn.LET(
_xlpm.clean,TRIM(SUBSTITUTE(SUBSTITUTE(P899,CHAR(160),"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9" s="15"/>
      <c r="R899" t="str">
        <v/>
      </c>
      <c r="S899" t="str">
        <f t="shared" si="14"/>
        <v/>
      </c>
    </row>
    <row r="900" spans="1:19" ht="12.75">
      <c r="A900" s="15" t="str">
        <v/>
      </c>
      <c r="B900" s="15" t="str">
        <v/>
      </c>
      <c r="C900" s="15" t="str" cm="1">
        <f t="array" ref="C900">IFERROR(_xlfn.TEXTJOIN("",TRUE,_xlfn._xlws.FILTER(MID(S900,_xlfn.SEQUENCE(LEN(S900)),1),ISNUMBER(SEARCH(MID(S900,_xlfn.SEQUENCE(LEN(S900)),1),"ABCDEFGHIJKLMNOPQRSTUVWXYZabcdefghijklmnopqrstuvwxyz0123456789,")))),"")</f>
        <v/>
      </c>
      <c r="D900" s="15" t="str">
        <v/>
      </c>
      <c r="E900" s="16" t="str">
        <v/>
      </c>
      <c r="F900" s="15" t="str">
        <v/>
      </c>
      <c r="G900" s="20" t="str" cm="1">
        <f t="array" ref="G900">IF(TRIM(P900)="","",IF(SUM(COUNTIF(P900,{"*NLGD*","*FWG*"}))&gt;0,P900,IF(SUM(COUNTIF(P900,{"*GL*","*DGB*","*DGI*","*GT*","*CS*","*PWU*","*DBI*","*SWU*"}))=0,P900,IF(IFERROR(VALUE(SUBSTITUTE(SUBSTITUTE(O900,"W",""),"""","")),0)&gt;52,P900&amp;"-OVRSIZE-",P900))))</f>
        <v/>
      </c>
      <c r="H900" s="15" t="str">
        <v/>
      </c>
      <c r="I900" s="15" t="str">
        <v/>
      </c>
      <c r="J900" s="15" t="str">
        <v/>
      </c>
      <c r="K900" s="15" t="str">
        <v/>
      </c>
      <c r="L900" s="15" t="str">
        <v/>
      </c>
      <c r="M900" s="10" t="str">
        <v/>
      </c>
      <c r="N900" s="14"/>
      <c r="O900" s="15" t="str" cm="1">
        <f t="array" ref="O900">IFERROR(_xlfn.LET(
_xlpm.clean,TRIM(SUBSTITUTE(SUBSTITUTE(P900,CHAR(160),"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0" s="15"/>
      <c r="R900" t="str">
        <v/>
      </c>
      <c r="S900" t="str">
        <f t="shared" si="14"/>
        <v/>
      </c>
    </row>
    <row r="901" spans="1:19" ht="12.75">
      <c r="A901" s="15" t="str">
        <v/>
      </c>
      <c r="B901" s="15" t="str">
        <v/>
      </c>
      <c r="C901" s="15" t="str" cm="1">
        <f t="array" ref="C901">IFERROR(_xlfn.TEXTJOIN("",TRUE,_xlfn._xlws.FILTER(MID(S901,_xlfn.SEQUENCE(LEN(S901)),1),ISNUMBER(SEARCH(MID(S901,_xlfn.SEQUENCE(LEN(S901)),1),"ABCDEFGHIJKLMNOPQRSTUVWXYZabcdefghijklmnopqrstuvwxyz0123456789,")))),"")</f>
        <v/>
      </c>
      <c r="D901" s="15" t="str">
        <v/>
      </c>
      <c r="E901" s="16" t="str">
        <v/>
      </c>
      <c r="F901" s="15" t="str">
        <v/>
      </c>
      <c r="G901" s="20" t="str" cm="1">
        <f t="array" ref="G901">IF(TRIM(P901)="","",IF(SUM(COUNTIF(P901,{"*NLGD*","*FWG*"}))&gt;0,P901,IF(SUM(COUNTIF(P901,{"*GL*","*DGB*","*DGI*","*GT*","*CS*","*PWU*","*DBI*","*SWU*"}))=0,P901,IF(IFERROR(VALUE(SUBSTITUTE(SUBSTITUTE(O901,"W",""),"""","")),0)&gt;52,P901&amp;"-OVRSIZE-",P901))))</f>
        <v/>
      </c>
      <c r="H901" s="15" t="str">
        <v/>
      </c>
      <c r="I901" s="15" t="str">
        <v/>
      </c>
      <c r="J901" s="15" t="str">
        <v/>
      </c>
      <c r="K901" s="15" t="str">
        <v/>
      </c>
      <c r="L901" s="15" t="str">
        <v/>
      </c>
      <c r="M901" s="10" t="str">
        <v/>
      </c>
      <c r="N901" s="14"/>
      <c r="O901" s="15" t="str" cm="1">
        <f t="array" ref="O901">IFERROR(_xlfn.LET(
_xlpm.clean,TRIM(SUBSTITUTE(SUBSTITUTE(P901,CHAR(160),"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1" s="15"/>
      <c r="R901" t="str">
        <v/>
      </c>
      <c r="S901" t="str">
        <f t="shared" si="14"/>
        <v/>
      </c>
    </row>
    <row r="902" spans="1:19" ht="12.75">
      <c r="A902" s="15" t="str">
        <v/>
      </c>
      <c r="B902" s="15" t="str">
        <v/>
      </c>
      <c r="C902" s="15" t="str" cm="1">
        <f t="array" ref="C902">IFERROR(_xlfn.TEXTJOIN("",TRUE,_xlfn._xlws.FILTER(MID(S902,_xlfn.SEQUENCE(LEN(S902)),1),ISNUMBER(SEARCH(MID(S902,_xlfn.SEQUENCE(LEN(S902)),1),"ABCDEFGHIJKLMNOPQRSTUVWXYZabcdefghijklmnopqrstuvwxyz0123456789,")))),"")</f>
        <v/>
      </c>
      <c r="D902" s="15" t="str">
        <v/>
      </c>
      <c r="E902" s="16" t="str">
        <v/>
      </c>
      <c r="F902" s="15" t="str">
        <v/>
      </c>
      <c r="G902" s="20" t="str" cm="1">
        <f t="array" ref="G902">IF(TRIM(P902)="","",IF(SUM(COUNTIF(P902,{"*NLGD*","*FWG*"}))&gt;0,P902,IF(SUM(COUNTIF(P902,{"*GL*","*DGB*","*DGI*","*GT*","*CS*","*PWU*","*DBI*","*SWU*"}))=0,P902,IF(IFERROR(VALUE(SUBSTITUTE(SUBSTITUTE(O902,"W",""),"""","")),0)&gt;52,P902&amp;"-OVRSIZE-",P902))))</f>
        <v/>
      </c>
      <c r="H902" s="15" t="str">
        <v/>
      </c>
      <c r="I902" s="15" t="str">
        <v/>
      </c>
      <c r="J902" s="15" t="str">
        <v/>
      </c>
      <c r="K902" s="15" t="str">
        <v/>
      </c>
      <c r="L902" s="15" t="str">
        <v/>
      </c>
      <c r="M902" s="10" t="str">
        <v/>
      </c>
      <c r="N902" s="14"/>
      <c r="O902" s="15" t="str" cm="1">
        <f t="array" ref="O902">IFERROR(_xlfn.LET(
_xlpm.clean,TRIM(SUBSTITUTE(SUBSTITUTE(P902,CHAR(160),"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2" s="15"/>
      <c r="R902" t="str">
        <v/>
      </c>
      <c r="S902" t="str">
        <f t="shared" si="14"/>
        <v/>
      </c>
    </row>
    <row r="903" spans="1:19" ht="12.75">
      <c r="A903" s="15" t="str">
        <v/>
      </c>
      <c r="B903" s="15" t="str">
        <v/>
      </c>
      <c r="C903" s="15" t="str" cm="1">
        <f t="array" ref="C903">IFERROR(_xlfn.TEXTJOIN("",TRUE,_xlfn._xlws.FILTER(MID(S903,_xlfn.SEQUENCE(LEN(S903)),1),ISNUMBER(SEARCH(MID(S903,_xlfn.SEQUENCE(LEN(S903)),1),"ABCDEFGHIJKLMNOPQRSTUVWXYZabcdefghijklmnopqrstuvwxyz0123456789,")))),"")</f>
        <v/>
      </c>
      <c r="D903" s="15" t="str">
        <v/>
      </c>
      <c r="E903" s="16" t="str">
        <v/>
      </c>
      <c r="F903" s="15" t="str">
        <v/>
      </c>
      <c r="G903" s="20" t="str" cm="1">
        <f t="array" ref="G903">IF(TRIM(P903)="","",IF(SUM(COUNTIF(P903,{"*NLGD*","*FWG*"}))&gt;0,P903,IF(SUM(COUNTIF(P903,{"*GL*","*DGB*","*DGI*","*GT*","*CS*","*PWU*","*DBI*","*SWU*"}))=0,P903,IF(IFERROR(VALUE(SUBSTITUTE(SUBSTITUTE(O903,"W",""),"""","")),0)&gt;52,P903&amp;"-OVRSIZE-",P903))))</f>
        <v/>
      </c>
      <c r="H903" s="15" t="str">
        <v/>
      </c>
      <c r="I903" s="15" t="str">
        <v/>
      </c>
      <c r="J903" s="15" t="str">
        <v/>
      </c>
      <c r="K903" s="15" t="str">
        <v/>
      </c>
      <c r="L903" s="15" t="str">
        <v/>
      </c>
      <c r="M903" s="10" t="str">
        <v/>
      </c>
      <c r="N903" s="14"/>
      <c r="O903" s="15" t="str" cm="1">
        <f t="array" ref="O903">IFERROR(_xlfn.LET(
_xlpm.clean,TRIM(SUBSTITUTE(SUBSTITUTE(P903,CHAR(160),"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3" s="15"/>
      <c r="R903" t="str">
        <v/>
      </c>
      <c r="S903" t="str">
        <f t="shared" si="14"/>
        <v/>
      </c>
    </row>
    <row r="904" spans="1:19" ht="12.75">
      <c r="A904" s="15" t="str">
        <v/>
      </c>
      <c r="B904" s="15" t="str">
        <v/>
      </c>
      <c r="C904" s="15" t="str" cm="1">
        <f t="array" ref="C904">IFERROR(_xlfn.TEXTJOIN("",TRUE,_xlfn._xlws.FILTER(MID(S904,_xlfn.SEQUENCE(LEN(S904)),1),ISNUMBER(SEARCH(MID(S904,_xlfn.SEQUENCE(LEN(S904)),1),"ABCDEFGHIJKLMNOPQRSTUVWXYZabcdefghijklmnopqrstuvwxyz0123456789,")))),"")</f>
        <v/>
      </c>
      <c r="D904" s="15" t="str">
        <v/>
      </c>
      <c r="E904" s="16" t="str">
        <v/>
      </c>
      <c r="F904" s="15" t="str">
        <v/>
      </c>
      <c r="G904" s="20" t="str" cm="1">
        <f t="array" ref="G904">IF(TRIM(P904)="","",IF(SUM(COUNTIF(P904,{"*NLGD*","*FWG*"}))&gt;0,P904,IF(SUM(COUNTIF(P904,{"*GL*","*DGB*","*DGI*","*GT*","*CS*","*PWU*","*DBI*","*SWU*"}))=0,P904,IF(IFERROR(VALUE(SUBSTITUTE(SUBSTITUTE(O904,"W",""),"""","")),0)&gt;52,P904&amp;"-OVRSIZE-",P904))))</f>
        <v/>
      </c>
      <c r="H904" s="15" t="str">
        <v/>
      </c>
      <c r="I904" s="15" t="str">
        <v/>
      </c>
      <c r="J904" s="15" t="str">
        <v/>
      </c>
      <c r="K904" s="15" t="str">
        <v/>
      </c>
      <c r="L904" s="15" t="str">
        <v/>
      </c>
      <c r="M904" s="10" t="str">
        <v/>
      </c>
      <c r="N904" s="14"/>
      <c r="O904" s="15" t="str" cm="1">
        <f t="array" ref="O904">IFERROR(_xlfn.LET(
_xlpm.clean,TRIM(SUBSTITUTE(SUBSTITUTE(P904,CHAR(160),"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4" s="15"/>
      <c r="R904" t="str">
        <v/>
      </c>
      <c r="S904" t="str">
        <f t="shared" ref="S904:S967" si="15">IF(R904="","",_xlfn.LET(
_xlpm.x,TRIM(SUBSTITUTE(SUBSTITUTE(SUBSTITUTE(SUBSTITUTE(R904,":","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905" spans="1:19" ht="12.75">
      <c r="A905" s="15" t="str">
        <v/>
      </c>
      <c r="B905" s="15" t="str">
        <v/>
      </c>
      <c r="C905" s="15" t="str" cm="1">
        <f t="array" ref="C905">IFERROR(_xlfn.TEXTJOIN("",TRUE,_xlfn._xlws.FILTER(MID(S905,_xlfn.SEQUENCE(LEN(S905)),1),ISNUMBER(SEARCH(MID(S905,_xlfn.SEQUENCE(LEN(S905)),1),"ABCDEFGHIJKLMNOPQRSTUVWXYZabcdefghijklmnopqrstuvwxyz0123456789,")))),"")</f>
        <v/>
      </c>
      <c r="D905" s="15" t="str">
        <v/>
      </c>
      <c r="E905" s="16" t="str">
        <v/>
      </c>
      <c r="F905" s="15" t="str">
        <v/>
      </c>
      <c r="G905" s="20" t="str" cm="1">
        <f t="array" ref="G905">IF(TRIM(P905)="","",IF(SUM(COUNTIF(P905,{"*NLGD*","*FWG*"}))&gt;0,P905,IF(SUM(COUNTIF(P905,{"*GL*","*DGB*","*DGI*","*GT*","*CS*","*PWU*","*DBI*","*SWU*"}))=0,P905,IF(IFERROR(VALUE(SUBSTITUTE(SUBSTITUTE(O905,"W",""),"""","")),0)&gt;52,P905&amp;"-OVRSIZE-",P905))))</f>
        <v/>
      </c>
      <c r="H905" s="15" t="str">
        <v/>
      </c>
      <c r="I905" s="15" t="str">
        <v/>
      </c>
      <c r="J905" s="15" t="str">
        <v/>
      </c>
      <c r="K905" s="15" t="str">
        <v/>
      </c>
      <c r="L905" s="15" t="str">
        <v/>
      </c>
      <c r="M905" s="10" t="str">
        <v/>
      </c>
      <c r="N905" s="14"/>
      <c r="O905" s="15" t="str" cm="1">
        <f t="array" ref="O905">IFERROR(_xlfn.LET(
_xlpm.clean,TRIM(SUBSTITUTE(SUBSTITUTE(P905,CHAR(160),"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5" s="15"/>
      <c r="R905" t="str">
        <v/>
      </c>
      <c r="S905" t="str">
        <f t="shared" si="15"/>
        <v/>
      </c>
    </row>
    <row r="906" spans="1:19" ht="12.75">
      <c r="A906" s="15" t="str">
        <v/>
      </c>
      <c r="B906" s="15" t="str">
        <v/>
      </c>
      <c r="C906" s="15" t="str" cm="1">
        <f t="array" ref="C906">IFERROR(_xlfn.TEXTJOIN("",TRUE,_xlfn._xlws.FILTER(MID(S906,_xlfn.SEQUENCE(LEN(S906)),1),ISNUMBER(SEARCH(MID(S906,_xlfn.SEQUENCE(LEN(S906)),1),"ABCDEFGHIJKLMNOPQRSTUVWXYZabcdefghijklmnopqrstuvwxyz0123456789,")))),"")</f>
        <v/>
      </c>
      <c r="D906" s="15" t="str">
        <v/>
      </c>
      <c r="E906" s="16" t="str">
        <v/>
      </c>
      <c r="F906" s="15" t="str">
        <v/>
      </c>
      <c r="G906" s="20" t="str" cm="1">
        <f t="array" ref="G906">IF(TRIM(P906)="","",IF(SUM(COUNTIF(P906,{"*NLGD*","*FWG*"}))&gt;0,P906,IF(SUM(COUNTIF(P906,{"*GL*","*DGB*","*DGI*","*GT*","*CS*","*PWU*","*DBI*","*SWU*"}))=0,P906,IF(IFERROR(VALUE(SUBSTITUTE(SUBSTITUTE(O906,"W",""),"""","")),0)&gt;52,P906&amp;"-OVRSIZE-",P906))))</f>
        <v/>
      </c>
      <c r="H906" s="15" t="str">
        <v/>
      </c>
      <c r="I906" s="15" t="str">
        <v/>
      </c>
      <c r="J906" s="15" t="str">
        <v/>
      </c>
      <c r="K906" s="15" t="str">
        <v/>
      </c>
      <c r="L906" s="15" t="str">
        <v/>
      </c>
      <c r="M906" s="10" t="str">
        <v/>
      </c>
      <c r="N906" s="14"/>
      <c r="O906" s="15" t="str" cm="1">
        <f t="array" ref="O906">IFERROR(_xlfn.LET(
_xlpm.clean,TRIM(SUBSTITUTE(SUBSTITUTE(P906,CHAR(160),"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6" s="15"/>
      <c r="R906" t="str">
        <v/>
      </c>
      <c r="S906" t="str">
        <f t="shared" si="15"/>
        <v/>
      </c>
    </row>
    <row r="907" spans="1:19" ht="12.75">
      <c r="A907" s="15" t="str">
        <v/>
      </c>
      <c r="B907" s="15" t="str">
        <v/>
      </c>
      <c r="C907" s="15" t="str" cm="1">
        <f t="array" ref="C907">IFERROR(_xlfn.TEXTJOIN("",TRUE,_xlfn._xlws.FILTER(MID(S907,_xlfn.SEQUENCE(LEN(S907)),1),ISNUMBER(SEARCH(MID(S907,_xlfn.SEQUENCE(LEN(S907)),1),"ABCDEFGHIJKLMNOPQRSTUVWXYZabcdefghijklmnopqrstuvwxyz0123456789,")))),"")</f>
        <v/>
      </c>
      <c r="D907" s="15" t="str">
        <v/>
      </c>
      <c r="E907" s="16" t="str">
        <v/>
      </c>
      <c r="F907" s="15" t="str">
        <v/>
      </c>
      <c r="G907" s="20" t="str" cm="1">
        <f t="array" ref="G907">IF(TRIM(P907)="","",IF(SUM(COUNTIF(P907,{"*NLGD*","*FWG*"}))&gt;0,P907,IF(SUM(COUNTIF(P907,{"*GL*","*DGB*","*DGI*","*GT*","*CS*","*PWU*","*DBI*","*SWU*"}))=0,P907,IF(IFERROR(VALUE(SUBSTITUTE(SUBSTITUTE(O907,"W",""),"""","")),0)&gt;52,P907&amp;"-OVRSIZE-",P907))))</f>
        <v/>
      </c>
      <c r="H907" s="15" t="str">
        <v/>
      </c>
      <c r="I907" s="15" t="str">
        <v/>
      </c>
      <c r="J907" s="15" t="str">
        <v/>
      </c>
      <c r="K907" s="15" t="str">
        <v/>
      </c>
      <c r="L907" s="15" t="str">
        <v/>
      </c>
      <c r="M907" s="10" t="str">
        <v/>
      </c>
      <c r="N907" s="14"/>
      <c r="O907" s="15" t="str" cm="1">
        <f t="array" ref="O907">IFERROR(_xlfn.LET(
_xlpm.clean,TRIM(SUBSTITUTE(SUBSTITUTE(P907,CHAR(160),"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7" s="15"/>
      <c r="R907" t="str">
        <v/>
      </c>
      <c r="S907" t="str">
        <f t="shared" si="15"/>
        <v/>
      </c>
    </row>
    <row r="908" spans="1:19" ht="12.75">
      <c r="A908" s="15" t="str">
        <v/>
      </c>
      <c r="B908" s="15" t="str">
        <v/>
      </c>
      <c r="C908" s="15" t="str" cm="1">
        <f t="array" ref="C908">IFERROR(_xlfn.TEXTJOIN("",TRUE,_xlfn._xlws.FILTER(MID(S908,_xlfn.SEQUENCE(LEN(S908)),1),ISNUMBER(SEARCH(MID(S908,_xlfn.SEQUENCE(LEN(S908)),1),"ABCDEFGHIJKLMNOPQRSTUVWXYZabcdefghijklmnopqrstuvwxyz0123456789,")))),"")</f>
        <v/>
      </c>
      <c r="D908" s="15" t="str">
        <v/>
      </c>
      <c r="E908" s="16" t="str">
        <v/>
      </c>
      <c r="F908" s="15" t="str">
        <v/>
      </c>
      <c r="G908" s="20" t="str" cm="1">
        <f t="array" ref="G908">IF(TRIM(P908)="","",IF(SUM(COUNTIF(P908,{"*NLGD*","*FWG*"}))&gt;0,P908,IF(SUM(COUNTIF(P908,{"*GL*","*DGB*","*DGI*","*GT*","*CS*","*PWU*","*DBI*","*SWU*"}))=0,P908,IF(IFERROR(VALUE(SUBSTITUTE(SUBSTITUTE(O908,"W",""),"""","")),0)&gt;52,P908&amp;"-OVRSIZE-",P908))))</f>
        <v/>
      </c>
      <c r="H908" s="15" t="str">
        <v/>
      </c>
      <c r="I908" s="15" t="str">
        <v/>
      </c>
      <c r="J908" s="15" t="str">
        <v/>
      </c>
      <c r="K908" s="15" t="str">
        <v/>
      </c>
      <c r="L908" s="15" t="str">
        <v/>
      </c>
      <c r="M908" s="10" t="str">
        <v/>
      </c>
      <c r="N908" s="14"/>
      <c r="O908" s="15" t="str" cm="1">
        <f t="array" ref="O908">IFERROR(_xlfn.LET(
_xlpm.clean,TRIM(SUBSTITUTE(SUBSTITUTE(P908,CHAR(160),"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8" s="15"/>
      <c r="R908" t="str">
        <v/>
      </c>
      <c r="S908" t="str">
        <f t="shared" si="15"/>
        <v/>
      </c>
    </row>
    <row r="909" spans="1:19" ht="12.75">
      <c r="A909" s="15" t="str">
        <v/>
      </c>
      <c r="B909" s="15" t="str">
        <v/>
      </c>
      <c r="C909" s="15" t="str" cm="1">
        <f t="array" ref="C909">IFERROR(_xlfn.TEXTJOIN("",TRUE,_xlfn._xlws.FILTER(MID(S909,_xlfn.SEQUENCE(LEN(S909)),1),ISNUMBER(SEARCH(MID(S909,_xlfn.SEQUENCE(LEN(S909)),1),"ABCDEFGHIJKLMNOPQRSTUVWXYZabcdefghijklmnopqrstuvwxyz0123456789,")))),"")</f>
        <v/>
      </c>
      <c r="D909" s="15" t="str">
        <v/>
      </c>
      <c r="E909" s="16" t="str">
        <v/>
      </c>
      <c r="F909" s="15" t="str">
        <v/>
      </c>
      <c r="G909" s="20" t="str" cm="1">
        <f t="array" ref="G909">IF(TRIM(P909)="","",IF(SUM(COUNTIF(P909,{"*NLGD*","*FWG*"}))&gt;0,P909,IF(SUM(COUNTIF(P909,{"*GL*","*DGB*","*DGI*","*GT*","*CS*","*PWU*","*DBI*","*SWU*"}))=0,P909,IF(IFERROR(VALUE(SUBSTITUTE(SUBSTITUTE(O909,"W",""),"""","")),0)&gt;52,P909&amp;"-OVRSIZE-",P909))))</f>
        <v/>
      </c>
      <c r="H909" s="15" t="str">
        <v/>
      </c>
      <c r="I909" s="15" t="str">
        <v/>
      </c>
      <c r="J909" s="15" t="str">
        <v/>
      </c>
      <c r="K909" s="15" t="str">
        <v/>
      </c>
      <c r="L909" s="15" t="str">
        <v/>
      </c>
      <c r="M909" s="10" t="str">
        <v/>
      </c>
      <c r="N909" s="14"/>
      <c r="O909" s="15" t="str" cm="1">
        <f t="array" ref="O909">IFERROR(_xlfn.LET(
_xlpm.clean,TRIM(SUBSTITUTE(SUBSTITUTE(P909,CHAR(160),"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9" s="15"/>
      <c r="R909" t="str">
        <v/>
      </c>
      <c r="S909" t="str">
        <f t="shared" si="15"/>
        <v/>
      </c>
    </row>
    <row r="910" spans="1:19" ht="12.75">
      <c r="A910" s="15" t="str">
        <v/>
      </c>
      <c r="B910" s="15" t="str">
        <v/>
      </c>
      <c r="C910" s="15" t="str" cm="1">
        <f t="array" ref="C910">IFERROR(_xlfn.TEXTJOIN("",TRUE,_xlfn._xlws.FILTER(MID(S910,_xlfn.SEQUENCE(LEN(S910)),1),ISNUMBER(SEARCH(MID(S910,_xlfn.SEQUENCE(LEN(S910)),1),"ABCDEFGHIJKLMNOPQRSTUVWXYZabcdefghijklmnopqrstuvwxyz0123456789,")))),"")</f>
        <v/>
      </c>
      <c r="D910" s="15" t="str">
        <v/>
      </c>
      <c r="E910" s="16" t="str">
        <v/>
      </c>
      <c r="F910" s="15" t="str">
        <v/>
      </c>
      <c r="G910" s="20" t="str" cm="1">
        <f t="array" ref="G910">IF(TRIM(P910)="","",IF(SUM(COUNTIF(P910,{"*NLGD*","*FWG*"}))&gt;0,P910,IF(SUM(COUNTIF(P910,{"*GL*","*DGB*","*DGI*","*GT*","*CS*","*PWU*","*DBI*","*SWU*"}))=0,P910,IF(IFERROR(VALUE(SUBSTITUTE(SUBSTITUTE(O910,"W",""),"""","")),0)&gt;52,P910&amp;"-OVRSIZE-",P910))))</f>
        <v/>
      </c>
      <c r="H910" s="15" t="str">
        <v/>
      </c>
      <c r="I910" s="15" t="str">
        <v/>
      </c>
      <c r="J910" s="15" t="str">
        <v/>
      </c>
      <c r="K910" s="15" t="str">
        <v/>
      </c>
      <c r="L910" s="15" t="str">
        <v/>
      </c>
      <c r="M910" s="10" t="str">
        <v/>
      </c>
      <c r="N910" s="14"/>
      <c r="O910" s="15" t="str" cm="1">
        <f t="array" ref="O910">IFERROR(_xlfn.LET(
_xlpm.clean,TRIM(SUBSTITUTE(SUBSTITUTE(P910,CHAR(160),"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0" s="15"/>
      <c r="R910" t="str">
        <v/>
      </c>
      <c r="S910" t="str">
        <f t="shared" si="15"/>
        <v/>
      </c>
    </row>
    <row r="911" spans="1:19" ht="12.75">
      <c r="A911" s="15" t="str">
        <v/>
      </c>
      <c r="B911" s="15" t="str">
        <v/>
      </c>
      <c r="C911" s="15" t="str" cm="1">
        <f t="array" ref="C911">IFERROR(_xlfn.TEXTJOIN("",TRUE,_xlfn._xlws.FILTER(MID(S911,_xlfn.SEQUENCE(LEN(S911)),1),ISNUMBER(SEARCH(MID(S911,_xlfn.SEQUENCE(LEN(S911)),1),"ABCDEFGHIJKLMNOPQRSTUVWXYZabcdefghijklmnopqrstuvwxyz0123456789,")))),"")</f>
        <v/>
      </c>
      <c r="D911" s="15" t="str">
        <v/>
      </c>
      <c r="E911" s="16" t="str">
        <v/>
      </c>
      <c r="F911" s="15" t="str">
        <v/>
      </c>
      <c r="G911" s="20" t="str" cm="1">
        <f t="array" ref="G911">IF(TRIM(P911)="","",IF(SUM(COUNTIF(P911,{"*NLGD*","*FWG*"}))&gt;0,P911,IF(SUM(COUNTIF(P911,{"*GL*","*DGB*","*DGI*","*GT*","*CS*","*PWU*","*DBI*","*SWU*"}))=0,P911,IF(IFERROR(VALUE(SUBSTITUTE(SUBSTITUTE(O911,"W",""),"""","")),0)&gt;52,P911&amp;"-OVRSIZE-",P911))))</f>
        <v/>
      </c>
      <c r="H911" s="15" t="str">
        <v/>
      </c>
      <c r="I911" s="15" t="str">
        <v/>
      </c>
      <c r="J911" s="15" t="str">
        <v/>
      </c>
      <c r="K911" s="15" t="str">
        <v/>
      </c>
      <c r="L911" s="15" t="str">
        <v/>
      </c>
      <c r="M911" s="10" t="str">
        <v/>
      </c>
      <c r="N911" s="14"/>
      <c r="O911" s="15" t="str" cm="1">
        <f t="array" ref="O911">IFERROR(_xlfn.LET(
_xlpm.clean,TRIM(SUBSTITUTE(SUBSTITUTE(P911,CHAR(160),"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1" s="15"/>
      <c r="R911" t="str">
        <v/>
      </c>
      <c r="S911" t="str">
        <f t="shared" si="15"/>
        <v/>
      </c>
    </row>
    <row r="912" spans="1:19" ht="12.75">
      <c r="A912" s="15" t="str">
        <v/>
      </c>
      <c r="B912" s="15" t="str">
        <v/>
      </c>
      <c r="C912" s="15" t="str" cm="1">
        <f t="array" ref="C912">IFERROR(_xlfn.TEXTJOIN("",TRUE,_xlfn._xlws.FILTER(MID(S912,_xlfn.SEQUENCE(LEN(S912)),1),ISNUMBER(SEARCH(MID(S912,_xlfn.SEQUENCE(LEN(S912)),1),"ABCDEFGHIJKLMNOPQRSTUVWXYZabcdefghijklmnopqrstuvwxyz0123456789,")))),"")</f>
        <v/>
      </c>
      <c r="D912" s="15" t="str">
        <v/>
      </c>
      <c r="E912" s="16" t="str">
        <v/>
      </c>
      <c r="F912" s="15" t="str">
        <v/>
      </c>
      <c r="G912" s="20" t="str" cm="1">
        <f t="array" ref="G912">IF(TRIM(P912)="","",IF(SUM(COUNTIF(P912,{"*NLGD*","*FWG*"}))&gt;0,P912,IF(SUM(COUNTIF(P912,{"*GL*","*DGB*","*DGI*","*GT*","*CS*","*PWU*","*DBI*","*SWU*"}))=0,P912,IF(IFERROR(VALUE(SUBSTITUTE(SUBSTITUTE(O912,"W",""),"""","")),0)&gt;52,P912&amp;"-OVRSIZE-",P912))))</f>
        <v/>
      </c>
      <c r="H912" s="15" t="str">
        <v/>
      </c>
      <c r="I912" s="15" t="str">
        <v/>
      </c>
      <c r="J912" s="15" t="str">
        <v/>
      </c>
      <c r="K912" s="15" t="str">
        <v/>
      </c>
      <c r="L912" s="15" t="str">
        <v/>
      </c>
      <c r="M912" s="10" t="str">
        <v/>
      </c>
      <c r="N912" s="14"/>
      <c r="O912" s="15" t="str" cm="1">
        <f t="array" ref="O912">IFERROR(_xlfn.LET(
_xlpm.clean,TRIM(SUBSTITUTE(SUBSTITUTE(P912,CHAR(160),"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2" s="15"/>
      <c r="R912" t="str">
        <v/>
      </c>
      <c r="S912" t="str">
        <f t="shared" si="15"/>
        <v/>
      </c>
    </row>
    <row r="913" spans="1:19" ht="12.75">
      <c r="A913" s="15" t="str">
        <v/>
      </c>
      <c r="B913" s="15" t="str">
        <v/>
      </c>
      <c r="C913" s="15" t="str" cm="1">
        <f t="array" ref="C913">IFERROR(_xlfn.TEXTJOIN("",TRUE,_xlfn._xlws.FILTER(MID(S913,_xlfn.SEQUENCE(LEN(S913)),1),ISNUMBER(SEARCH(MID(S913,_xlfn.SEQUENCE(LEN(S913)),1),"ABCDEFGHIJKLMNOPQRSTUVWXYZabcdefghijklmnopqrstuvwxyz0123456789,")))),"")</f>
        <v/>
      </c>
      <c r="D913" s="15" t="str">
        <v/>
      </c>
      <c r="E913" s="16" t="str">
        <v/>
      </c>
      <c r="F913" s="15" t="str">
        <v/>
      </c>
      <c r="G913" s="20" t="str" cm="1">
        <f t="array" ref="G913">IF(TRIM(P913)="","",IF(SUM(COUNTIF(P913,{"*NLGD*","*FWG*"}))&gt;0,P913,IF(SUM(COUNTIF(P913,{"*GL*","*DGB*","*DGI*","*GT*","*CS*","*PWU*","*DBI*","*SWU*"}))=0,P913,IF(IFERROR(VALUE(SUBSTITUTE(SUBSTITUTE(O913,"W",""),"""","")),0)&gt;52,P913&amp;"-OVRSIZE-",P913))))</f>
        <v/>
      </c>
      <c r="H913" s="15" t="str">
        <v/>
      </c>
      <c r="I913" s="15" t="str">
        <v/>
      </c>
      <c r="J913" s="15" t="str">
        <v/>
      </c>
      <c r="K913" s="15" t="str">
        <v/>
      </c>
      <c r="L913" s="15" t="str">
        <v/>
      </c>
      <c r="M913" s="10" t="str">
        <v/>
      </c>
      <c r="N913" s="14"/>
      <c r="O913" s="15" t="str" cm="1">
        <f t="array" ref="O913">IFERROR(_xlfn.LET(
_xlpm.clean,TRIM(SUBSTITUTE(SUBSTITUTE(P913,CHAR(160),"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3" s="15"/>
      <c r="R913" t="str">
        <v/>
      </c>
      <c r="S913" t="str">
        <f t="shared" si="15"/>
        <v/>
      </c>
    </row>
    <row r="914" spans="1:19" ht="12.75">
      <c r="A914" s="15" t="str">
        <v/>
      </c>
      <c r="B914" s="15" t="str">
        <v/>
      </c>
      <c r="C914" s="15" t="str" cm="1">
        <f t="array" ref="C914">IFERROR(_xlfn.TEXTJOIN("",TRUE,_xlfn._xlws.FILTER(MID(S914,_xlfn.SEQUENCE(LEN(S914)),1),ISNUMBER(SEARCH(MID(S914,_xlfn.SEQUENCE(LEN(S914)),1),"ABCDEFGHIJKLMNOPQRSTUVWXYZabcdefghijklmnopqrstuvwxyz0123456789,")))),"")</f>
        <v/>
      </c>
      <c r="D914" s="15" t="str">
        <v/>
      </c>
      <c r="E914" s="16" t="str">
        <v/>
      </c>
      <c r="F914" s="15" t="str">
        <v/>
      </c>
      <c r="G914" s="20" t="str" cm="1">
        <f t="array" ref="G914">IF(TRIM(P914)="","",IF(SUM(COUNTIF(P914,{"*NLGD*","*FWG*"}))&gt;0,P914,IF(SUM(COUNTIF(P914,{"*GL*","*DGB*","*DGI*","*GT*","*CS*","*PWU*","*DBI*","*SWU*"}))=0,P914,IF(IFERROR(VALUE(SUBSTITUTE(SUBSTITUTE(O914,"W",""),"""","")),0)&gt;52,P914&amp;"-OVRSIZE-",P914))))</f>
        <v/>
      </c>
      <c r="H914" s="15" t="str">
        <v/>
      </c>
      <c r="I914" s="15" t="str">
        <v/>
      </c>
      <c r="J914" s="15" t="str">
        <v/>
      </c>
      <c r="K914" s="15" t="str">
        <v/>
      </c>
      <c r="L914" s="15" t="str">
        <v/>
      </c>
      <c r="M914" s="10" t="str">
        <v/>
      </c>
      <c r="N914" s="14"/>
      <c r="O914" s="15" t="str" cm="1">
        <f t="array" ref="O914">IFERROR(_xlfn.LET(
_xlpm.clean,TRIM(SUBSTITUTE(SUBSTITUTE(P914,CHAR(160),"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4" s="15"/>
      <c r="R914" t="str">
        <v/>
      </c>
      <c r="S914" t="str">
        <f t="shared" si="15"/>
        <v/>
      </c>
    </row>
    <row r="915" spans="1:19" ht="12.75">
      <c r="A915" s="15" t="str">
        <v/>
      </c>
      <c r="B915" s="15" t="str">
        <v/>
      </c>
      <c r="C915" s="15" t="str" cm="1">
        <f t="array" ref="C915">IFERROR(_xlfn.TEXTJOIN("",TRUE,_xlfn._xlws.FILTER(MID(S915,_xlfn.SEQUENCE(LEN(S915)),1),ISNUMBER(SEARCH(MID(S915,_xlfn.SEQUENCE(LEN(S915)),1),"ABCDEFGHIJKLMNOPQRSTUVWXYZabcdefghijklmnopqrstuvwxyz0123456789,")))),"")</f>
        <v/>
      </c>
      <c r="D915" s="15" t="str">
        <v/>
      </c>
      <c r="E915" s="16" t="str">
        <v/>
      </c>
      <c r="F915" s="15" t="str">
        <v/>
      </c>
      <c r="G915" s="20" t="str" cm="1">
        <f t="array" ref="G915">IF(TRIM(P915)="","",IF(SUM(COUNTIF(P915,{"*NLGD*","*FWG*"}))&gt;0,P915,IF(SUM(COUNTIF(P915,{"*GL*","*DGB*","*DGI*","*GT*","*CS*","*PWU*","*DBI*","*SWU*"}))=0,P915,IF(IFERROR(VALUE(SUBSTITUTE(SUBSTITUTE(O915,"W",""),"""","")),0)&gt;52,P915&amp;"-OVRSIZE-",P915))))</f>
        <v/>
      </c>
      <c r="H915" s="15" t="str">
        <v/>
      </c>
      <c r="I915" s="15" t="str">
        <v/>
      </c>
      <c r="J915" s="15" t="str">
        <v/>
      </c>
      <c r="K915" s="15" t="str">
        <v/>
      </c>
      <c r="L915" s="15" t="str">
        <v/>
      </c>
      <c r="M915" s="10" t="str">
        <v/>
      </c>
      <c r="N915" s="14"/>
      <c r="O915" s="15" t="str" cm="1">
        <f t="array" ref="O915">IFERROR(_xlfn.LET(
_xlpm.clean,TRIM(SUBSTITUTE(SUBSTITUTE(P915,CHAR(160),"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5" s="15"/>
      <c r="R915" t="str">
        <v/>
      </c>
      <c r="S915" t="str">
        <f t="shared" si="15"/>
        <v/>
      </c>
    </row>
    <row r="916" spans="1:19" ht="12.75">
      <c r="A916" s="15" t="str">
        <v/>
      </c>
      <c r="B916" s="15" t="str">
        <v/>
      </c>
      <c r="C916" s="15" t="str" cm="1">
        <f t="array" ref="C916">IFERROR(_xlfn.TEXTJOIN("",TRUE,_xlfn._xlws.FILTER(MID(S916,_xlfn.SEQUENCE(LEN(S916)),1),ISNUMBER(SEARCH(MID(S916,_xlfn.SEQUENCE(LEN(S916)),1),"ABCDEFGHIJKLMNOPQRSTUVWXYZabcdefghijklmnopqrstuvwxyz0123456789,")))),"")</f>
        <v/>
      </c>
      <c r="D916" s="15" t="str">
        <v/>
      </c>
      <c r="E916" s="16" t="str">
        <v/>
      </c>
      <c r="F916" s="15" t="str">
        <v/>
      </c>
      <c r="G916" s="20" t="str" cm="1">
        <f t="array" ref="G916">IF(TRIM(P916)="","",IF(SUM(COUNTIF(P916,{"*NLGD*","*FWG*"}))&gt;0,P916,IF(SUM(COUNTIF(P916,{"*GL*","*DGB*","*DGI*","*GT*","*CS*","*PWU*","*DBI*","*SWU*"}))=0,P916,IF(IFERROR(VALUE(SUBSTITUTE(SUBSTITUTE(O916,"W",""),"""","")),0)&gt;52,P916&amp;"-OVRSIZE-",P916))))</f>
        <v/>
      </c>
      <c r="H916" s="15" t="str">
        <v/>
      </c>
      <c r="I916" s="15" t="str">
        <v/>
      </c>
      <c r="J916" s="15" t="str">
        <v/>
      </c>
      <c r="K916" s="15" t="str">
        <v/>
      </c>
      <c r="L916" s="15" t="str">
        <v/>
      </c>
      <c r="M916" s="10" t="str">
        <v/>
      </c>
      <c r="N916" s="14"/>
      <c r="O916" s="15" t="str" cm="1">
        <f t="array" ref="O916">IFERROR(_xlfn.LET(
_xlpm.clean,TRIM(SUBSTITUTE(SUBSTITUTE(P916,CHAR(160),"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6" s="15"/>
      <c r="R916" t="str">
        <v/>
      </c>
      <c r="S916" t="str">
        <f t="shared" si="15"/>
        <v/>
      </c>
    </row>
    <row r="917" spans="1:19" ht="12.75">
      <c r="A917" s="15" t="str">
        <v/>
      </c>
      <c r="B917" s="15" t="str">
        <v/>
      </c>
      <c r="C917" s="15" t="str" cm="1">
        <f t="array" ref="C917">IFERROR(_xlfn.TEXTJOIN("",TRUE,_xlfn._xlws.FILTER(MID(S917,_xlfn.SEQUENCE(LEN(S917)),1),ISNUMBER(SEARCH(MID(S917,_xlfn.SEQUENCE(LEN(S917)),1),"ABCDEFGHIJKLMNOPQRSTUVWXYZabcdefghijklmnopqrstuvwxyz0123456789,")))),"")</f>
        <v/>
      </c>
      <c r="D917" s="15" t="str">
        <v/>
      </c>
      <c r="E917" s="16" t="str">
        <v/>
      </c>
      <c r="F917" s="15" t="str">
        <v/>
      </c>
      <c r="G917" s="20" t="str" cm="1">
        <f t="array" ref="G917">IF(TRIM(P917)="","",IF(SUM(COUNTIF(P917,{"*NLGD*","*FWG*"}))&gt;0,P917,IF(SUM(COUNTIF(P917,{"*GL*","*DGB*","*DGI*","*GT*","*CS*","*PWU*","*DBI*","*SWU*"}))=0,P917,IF(IFERROR(VALUE(SUBSTITUTE(SUBSTITUTE(O917,"W",""),"""","")),0)&gt;52,P917&amp;"-OVRSIZE-",P917))))</f>
        <v/>
      </c>
      <c r="H917" s="15" t="str">
        <v/>
      </c>
      <c r="I917" s="15" t="str">
        <v/>
      </c>
      <c r="J917" s="15" t="str">
        <v/>
      </c>
      <c r="K917" s="15" t="str">
        <v/>
      </c>
      <c r="L917" s="15" t="str">
        <v/>
      </c>
      <c r="M917" s="10" t="str">
        <v/>
      </c>
      <c r="N917" s="14"/>
      <c r="O917" s="15" t="str" cm="1">
        <f t="array" ref="O917">IFERROR(_xlfn.LET(
_xlpm.clean,TRIM(SUBSTITUTE(SUBSTITUTE(P917,CHAR(160),"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7" s="15"/>
      <c r="R917" t="str">
        <v/>
      </c>
      <c r="S917" t="str">
        <f t="shared" si="15"/>
        <v/>
      </c>
    </row>
    <row r="918" spans="1:19" ht="12.75">
      <c r="A918" s="15" t="str">
        <v/>
      </c>
      <c r="B918" s="15" t="str">
        <v/>
      </c>
      <c r="C918" s="15" t="str" cm="1">
        <f t="array" ref="C918">IFERROR(_xlfn.TEXTJOIN("",TRUE,_xlfn._xlws.FILTER(MID(S918,_xlfn.SEQUENCE(LEN(S918)),1),ISNUMBER(SEARCH(MID(S918,_xlfn.SEQUENCE(LEN(S918)),1),"ABCDEFGHIJKLMNOPQRSTUVWXYZabcdefghijklmnopqrstuvwxyz0123456789,")))),"")</f>
        <v/>
      </c>
      <c r="D918" s="15" t="str">
        <v/>
      </c>
      <c r="E918" s="16" t="str">
        <v/>
      </c>
      <c r="F918" s="15" t="str">
        <v/>
      </c>
      <c r="G918" s="20" t="str" cm="1">
        <f t="array" ref="G918">IF(TRIM(P918)="","",IF(SUM(COUNTIF(P918,{"*NLGD*","*FWG*"}))&gt;0,P918,IF(SUM(COUNTIF(P918,{"*GL*","*DGB*","*DGI*","*GT*","*CS*","*PWU*","*DBI*","*SWU*"}))=0,P918,IF(IFERROR(VALUE(SUBSTITUTE(SUBSTITUTE(O918,"W",""),"""","")),0)&gt;52,P918&amp;"-OVRSIZE-",P918))))</f>
        <v/>
      </c>
      <c r="H918" s="15" t="str">
        <v/>
      </c>
      <c r="I918" s="15" t="str">
        <v/>
      </c>
      <c r="J918" s="15" t="str">
        <v/>
      </c>
      <c r="K918" s="15" t="str">
        <v/>
      </c>
      <c r="L918" s="15" t="str">
        <v/>
      </c>
      <c r="M918" s="10" t="str">
        <v/>
      </c>
      <c r="N918" s="14"/>
      <c r="O918" s="15" t="str" cm="1">
        <f t="array" ref="O918">IFERROR(_xlfn.LET(
_xlpm.clean,TRIM(SUBSTITUTE(SUBSTITUTE(P918,CHAR(160),"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8" s="15"/>
      <c r="R918" t="str">
        <v/>
      </c>
      <c r="S918" t="str">
        <f t="shared" si="15"/>
        <v/>
      </c>
    </row>
    <row r="919" spans="1:19" ht="12.75">
      <c r="A919" s="15" t="str">
        <v/>
      </c>
      <c r="B919" s="15" t="str">
        <v/>
      </c>
      <c r="C919" s="15" t="str" cm="1">
        <f t="array" ref="C919">IFERROR(_xlfn.TEXTJOIN("",TRUE,_xlfn._xlws.FILTER(MID(S919,_xlfn.SEQUENCE(LEN(S919)),1),ISNUMBER(SEARCH(MID(S919,_xlfn.SEQUENCE(LEN(S919)),1),"ABCDEFGHIJKLMNOPQRSTUVWXYZabcdefghijklmnopqrstuvwxyz0123456789,")))),"")</f>
        <v/>
      </c>
      <c r="D919" s="15" t="str">
        <v/>
      </c>
      <c r="E919" s="16" t="str">
        <v/>
      </c>
      <c r="F919" s="15" t="str">
        <v/>
      </c>
      <c r="G919" s="20" t="str" cm="1">
        <f t="array" ref="G919">IF(TRIM(P919)="","",IF(SUM(COUNTIF(P919,{"*NLGD*","*FWG*"}))&gt;0,P919,IF(SUM(COUNTIF(P919,{"*GL*","*DGB*","*DGI*","*GT*","*CS*","*PWU*","*DBI*","*SWU*"}))=0,P919,IF(IFERROR(VALUE(SUBSTITUTE(SUBSTITUTE(O919,"W",""),"""","")),0)&gt;52,P919&amp;"-OVRSIZE-",P919))))</f>
        <v/>
      </c>
      <c r="H919" s="15" t="str">
        <v/>
      </c>
      <c r="I919" s="15" t="str">
        <v/>
      </c>
      <c r="J919" s="15" t="str">
        <v/>
      </c>
      <c r="K919" s="15" t="str">
        <v/>
      </c>
      <c r="L919" s="15" t="str">
        <v/>
      </c>
      <c r="M919" s="10" t="str">
        <v/>
      </c>
      <c r="N919" s="14"/>
      <c r="O919" s="15" t="str" cm="1">
        <f t="array" ref="O919">IFERROR(_xlfn.LET(
_xlpm.clean,TRIM(SUBSTITUTE(SUBSTITUTE(P919,CHAR(160),"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9" s="15"/>
      <c r="R919" t="str">
        <v/>
      </c>
      <c r="S919" t="str">
        <f t="shared" si="15"/>
        <v/>
      </c>
    </row>
    <row r="920" spans="1:19" ht="12.75">
      <c r="A920" s="15" t="str">
        <v/>
      </c>
      <c r="B920" s="15" t="str">
        <v/>
      </c>
      <c r="C920" s="15" t="str" cm="1">
        <f t="array" ref="C920">IFERROR(_xlfn.TEXTJOIN("",TRUE,_xlfn._xlws.FILTER(MID(S920,_xlfn.SEQUENCE(LEN(S920)),1),ISNUMBER(SEARCH(MID(S920,_xlfn.SEQUENCE(LEN(S920)),1),"ABCDEFGHIJKLMNOPQRSTUVWXYZabcdefghijklmnopqrstuvwxyz0123456789,")))),"")</f>
        <v/>
      </c>
      <c r="D920" s="15" t="str">
        <v/>
      </c>
      <c r="E920" s="16" t="str">
        <v/>
      </c>
      <c r="F920" s="15" t="str">
        <v/>
      </c>
      <c r="G920" s="20" t="str" cm="1">
        <f t="array" ref="G920">IF(TRIM(P920)="","",IF(SUM(COUNTIF(P920,{"*NLGD*","*FWG*"}))&gt;0,P920,IF(SUM(COUNTIF(P920,{"*GL*","*DGB*","*DGI*","*GT*","*CS*","*PWU*","*DBI*","*SWU*"}))=0,P920,IF(IFERROR(VALUE(SUBSTITUTE(SUBSTITUTE(O920,"W",""),"""","")),0)&gt;52,P920&amp;"-OVRSIZE-",P920))))</f>
        <v/>
      </c>
      <c r="H920" s="15" t="str">
        <v/>
      </c>
      <c r="I920" s="15" t="str">
        <v/>
      </c>
      <c r="J920" s="15" t="str">
        <v/>
      </c>
      <c r="K920" s="15" t="str">
        <v/>
      </c>
      <c r="L920" s="15" t="str">
        <v/>
      </c>
      <c r="M920" s="10" t="str">
        <v/>
      </c>
      <c r="N920" s="14"/>
      <c r="O920" s="15" t="str" cm="1">
        <f t="array" ref="O920">IFERROR(_xlfn.LET(
_xlpm.clean,TRIM(SUBSTITUTE(SUBSTITUTE(P920,CHAR(160),"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0" s="15"/>
      <c r="R920" t="str">
        <v/>
      </c>
      <c r="S920" t="str">
        <f t="shared" si="15"/>
        <v/>
      </c>
    </row>
    <row r="921" spans="1:19" ht="12.75">
      <c r="A921" s="15" t="str">
        <v/>
      </c>
      <c r="B921" s="15" t="str">
        <v/>
      </c>
      <c r="C921" s="15" t="str" cm="1">
        <f t="array" ref="C921">IFERROR(_xlfn.TEXTJOIN("",TRUE,_xlfn._xlws.FILTER(MID(S921,_xlfn.SEQUENCE(LEN(S921)),1),ISNUMBER(SEARCH(MID(S921,_xlfn.SEQUENCE(LEN(S921)),1),"ABCDEFGHIJKLMNOPQRSTUVWXYZabcdefghijklmnopqrstuvwxyz0123456789,")))),"")</f>
        <v/>
      </c>
      <c r="D921" s="15" t="str">
        <v/>
      </c>
      <c r="E921" s="16" t="str">
        <v/>
      </c>
      <c r="F921" s="15" t="str">
        <v/>
      </c>
      <c r="G921" s="20" t="str" cm="1">
        <f t="array" ref="G921">IF(TRIM(P921)="","",IF(SUM(COUNTIF(P921,{"*NLGD*","*FWG*"}))&gt;0,P921,IF(SUM(COUNTIF(P921,{"*GL*","*DGB*","*DGI*","*GT*","*CS*","*PWU*","*DBI*","*SWU*"}))=0,P921,IF(IFERROR(VALUE(SUBSTITUTE(SUBSTITUTE(O921,"W",""),"""","")),0)&gt;52,P921&amp;"-OVRSIZE-",P921))))</f>
        <v/>
      </c>
      <c r="H921" s="15" t="str">
        <v/>
      </c>
      <c r="I921" s="15" t="str">
        <v/>
      </c>
      <c r="J921" s="15" t="str">
        <v/>
      </c>
      <c r="K921" s="15" t="str">
        <v/>
      </c>
      <c r="L921" s="15" t="str">
        <v/>
      </c>
      <c r="M921" s="10" t="str">
        <v/>
      </c>
      <c r="N921" s="14"/>
      <c r="O921" s="15" t="str" cm="1">
        <f t="array" ref="O921">IFERROR(_xlfn.LET(
_xlpm.clean,TRIM(SUBSTITUTE(SUBSTITUTE(P921,CHAR(160),"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1" s="15"/>
      <c r="R921" t="str">
        <v/>
      </c>
      <c r="S921" t="str">
        <f t="shared" si="15"/>
        <v/>
      </c>
    </row>
    <row r="922" spans="1:19" ht="12.75">
      <c r="A922" s="15" t="str">
        <v/>
      </c>
      <c r="B922" s="15" t="str">
        <v/>
      </c>
      <c r="C922" s="15" t="str" cm="1">
        <f t="array" ref="C922">IFERROR(_xlfn.TEXTJOIN("",TRUE,_xlfn._xlws.FILTER(MID(S922,_xlfn.SEQUENCE(LEN(S922)),1),ISNUMBER(SEARCH(MID(S922,_xlfn.SEQUENCE(LEN(S922)),1),"ABCDEFGHIJKLMNOPQRSTUVWXYZabcdefghijklmnopqrstuvwxyz0123456789,")))),"")</f>
        <v/>
      </c>
      <c r="D922" s="15" t="str">
        <v/>
      </c>
      <c r="E922" s="16" t="str">
        <v/>
      </c>
      <c r="F922" s="15" t="str">
        <v/>
      </c>
      <c r="G922" s="20" t="str" cm="1">
        <f t="array" ref="G922">IF(TRIM(P922)="","",IF(SUM(COUNTIF(P922,{"*NLGD*","*FWG*"}))&gt;0,P922,IF(SUM(COUNTIF(P922,{"*GL*","*DGB*","*DGI*","*GT*","*CS*","*PWU*","*DBI*","*SWU*"}))=0,P922,IF(IFERROR(VALUE(SUBSTITUTE(SUBSTITUTE(O922,"W",""),"""","")),0)&gt;52,P922&amp;"-OVRSIZE-",P922))))</f>
        <v/>
      </c>
      <c r="H922" s="15" t="str">
        <v/>
      </c>
      <c r="I922" s="15" t="str">
        <v/>
      </c>
      <c r="J922" s="15" t="str">
        <v/>
      </c>
      <c r="K922" s="15" t="str">
        <v/>
      </c>
      <c r="L922" s="15" t="str">
        <v/>
      </c>
      <c r="M922" s="10" t="str">
        <v/>
      </c>
      <c r="N922" s="14"/>
      <c r="O922" s="15" t="str" cm="1">
        <f t="array" ref="O922">IFERROR(_xlfn.LET(
_xlpm.clean,TRIM(SUBSTITUTE(SUBSTITUTE(P922,CHAR(160),"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2" s="15"/>
      <c r="R922" t="str">
        <v/>
      </c>
      <c r="S922" t="str">
        <f t="shared" si="15"/>
        <v/>
      </c>
    </row>
    <row r="923" spans="1:19" ht="12.75">
      <c r="A923" s="15" t="str">
        <v/>
      </c>
      <c r="B923" s="15" t="str">
        <v/>
      </c>
      <c r="C923" s="15" t="str" cm="1">
        <f t="array" ref="C923">IFERROR(_xlfn.TEXTJOIN("",TRUE,_xlfn._xlws.FILTER(MID(S923,_xlfn.SEQUENCE(LEN(S923)),1),ISNUMBER(SEARCH(MID(S923,_xlfn.SEQUENCE(LEN(S923)),1),"ABCDEFGHIJKLMNOPQRSTUVWXYZabcdefghijklmnopqrstuvwxyz0123456789,")))),"")</f>
        <v/>
      </c>
      <c r="D923" s="15" t="str">
        <v/>
      </c>
      <c r="E923" s="16" t="str">
        <v/>
      </c>
      <c r="F923" s="15" t="str">
        <v/>
      </c>
      <c r="G923" s="20" t="str" cm="1">
        <f t="array" ref="G923">IF(TRIM(P923)="","",IF(SUM(COUNTIF(P923,{"*NLGD*","*FWG*"}))&gt;0,P923,IF(SUM(COUNTIF(P923,{"*GL*","*DGB*","*DGI*","*GT*","*CS*","*PWU*","*DBI*","*SWU*"}))=0,P923,IF(IFERROR(VALUE(SUBSTITUTE(SUBSTITUTE(O923,"W",""),"""","")),0)&gt;52,P923&amp;"-OVRSIZE-",P923))))</f>
        <v/>
      </c>
      <c r="H923" s="15" t="str">
        <v/>
      </c>
      <c r="I923" s="15" t="str">
        <v/>
      </c>
      <c r="J923" s="15" t="str">
        <v/>
      </c>
      <c r="K923" s="15" t="str">
        <v/>
      </c>
      <c r="L923" s="15" t="str">
        <v/>
      </c>
      <c r="M923" s="10" t="str">
        <v/>
      </c>
      <c r="N923" s="14"/>
      <c r="O923" s="15" t="str" cm="1">
        <f t="array" ref="O923">IFERROR(_xlfn.LET(
_xlpm.clean,TRIM(SUBSTITUTE(SUBSTITUTE(P923,CHAR(160),"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3" s="15"/>
      <c r="R923" t="str">
        <v/>
      </c>
      <c r="S923" t="str">
        <f t="shared" si="15"/>
        <v/>
      </c>
    </row>
    <row r="924" spans="1:19" ht="12.75">
      <c r="A924" s="15" t="str">
        <v/>
      </c>
      <c r="B924" s="15" t="str">
        <v/>
      </c>
      <c r="C924" s="15" t="str" cm="1">
        <f t="array" ref="C924">IFERROR(_xlfn.TEXTJOIN("",TRUE,_xlfn._xlws.FILTER(MID(S924,_xlfn.SEQUENCE(LEN(S924)),1),ISNUMBER(SEARCH(MID(S924,_xlfn.SEQUENCE(LEN(S924)),1),"ABCDEFGHIJKLMNOPQRSTUVWXYZabcdefghijklmnopqrstuvwxyz0123456789,")))),"")</f>
        <v/>
      </c>
      <c r="D924" s="15" t="str">
        <v/>
      </c>
      <c r="E924" s="16" t="str">
        <v/>
      </c>
      <c r="F924" s="15" t="str">
        <v/>
      </c>
      <c r="G924" s="20" t="str" cm="1">
        <f t="array" ref="G924">IF(TRIM(P924)="","",IF(SUM(COUNTIF(P924,{"*NLGD*","*FWG*"}))&gt;0,P924,IF(SUM(COUNTIF(P924,{"*GL*","*DGB*","*DGI*","*GT*","*CS*","*PWU*","*DBI*","*SWU*"}))=0,P924,IF(IFERROR(VALUE(SUBSTITUTE(SUBSTITUTE(O924,"W",""),"""","")),0)&gt;52,P924&amp;"-OVRSIZE-",P924))))</f>
        <v/>
      </c>
      <c r="H924" s="15" t="str">
        <v/>
      </c>
      <c r="I924" s="15" t="str">
        <v/>
      </c>
      <c r="J924" s="15" t="str">
        <v/>
      </c>
      <c r="K924" s="15" t="str">
        <v/>
      </c>
      <c r="L924" s="15" t="str">
        <v/>
      </c>
      <c r="M924" s="10" t="str">
        <v/>
      </c>
      <c r="N924" s="14"/>
      <c r="O924" s="15" t="str" cm="1">
        <f t="array" ref="O924">IFERROR(_xlfn.LET(
_xlpm.clean,TRIM(SUBSTITUTE(SUBSTITUTE(P924,CHAR(160),"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4" s="15"/>
      <c r="R924" t="str">
        <v/>
      </c>
      <c r="S924" t="str">
        <f t="shared" si="15"/>
        <v/>
      </c>
    </row>
    <row r="925" spans="1:19" ht="12.75">
      <c r="A925" s="15" t="str">
        <v/>
      </c>
      <c r="B925" s="15" t="str">
        <v/>
      </c>
      <c r="C925" s="15" t="str" cm="1">
        <f t="array" ref="C925">IFERROR(_xlfn.TEXTJOIN("",TRUE,_xlfn._xlws.FILTER(MID(S925,_xlfn.SEQUENCE(LEN(S925)),1),ISNUMBER(SEARCH(MID(S925,_xlfn.SEQUENCE(LEN(S925)),1),"ABCDEFGHIJKLMNOPQRSTUVWXYZabcdefghijklmnopqrstuvwxyz0123456789,")))),"")</f>
        <v/>
      </c>
      <c r="D925" s="15" t="str">
        <v/>
      </c>
      <c r="E925" s="16" t="str">
        <v/>
      </c>
      <c r="F925" s="15" t="str">
        <v/>
      </c>
      <c r="G925" s="20" t="str" cm="1">
        <f t="array" ref="G925">IF(TRIM(P925)="","",IF(SUM(COUNTIF(P925,{"*NLGD*","*FWG*"}))&gt;0,P925,IF(SUM(COUNTIF(P925,{"*GL*","*DGB*","*DGI*","*GT*","*CS*","*PWU*","*DBI*","*SWU*"}))=0,P925,IF(IFERROR(VALUE(SUBSTITUTE(SUBSTITUTE(O925,"W",""),"""","")),0)&gt;52,P925&amp;"-OVRSIZE-",P925))))</f>
        <v/>
      </c>
      <c r="H925" s="15" t="str">
        <v/>
      </c>
      <c r="I925" s="15" t="str">
        <v/>
      </c>
      <c r="J925" s="15" t="str">
        <v/>
      </c>
      <c r="K925" s="15" t="str">
        <v/>
      </c>
      <c r="L925" s="15" t="str">
        <v/>
      </c>
      <c r="M925" s="10" t="str">
        <v/>
      </c>
      <c r="N925" s="14"/>
      <c r="O925" s="15" t="str" cm="1">
        <f t="array" ref="O925">IFERROR(_xlfn.LET(
_xlpm.clean,TRIM(SUBSTITUTE(SUBSTITUTE(P925,CHAR(160),"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5" s="15"/>
      <c r="R925" t="str">
        <v/>
      </c>
      <c r="S925" t="str">
        <f t="shared" si="15"/>
        <v/>
      </c>
    </row>
    <row r="926" spans="1:19" ht="12.75">
      <c r="A926" s="15" t="str">
        <v/>
      </c>
      <c r="B926" s="15" t="str">
        <v/>
      </c>
      <c r="C926" s="15" t="str" cm="1">
        <f t="array" ref="C926">IFERROR(_xlfn.TEXTJOIN("",TRUE,_xlfn._xlws.FILTER(MID(S926,_xlfn.SEQUENCE(LEN(S926)),1),ISNUMBER(SEARCH(MID(S926,_xlfn.SEQUENCE(LEN(S926)),1),"ABCDEFGHIJKLMNOPQRSTUVWXYZabcdefghijklmnopqrstuvwxyz0123456789,")))),"")</f>
        <v/>
      </c>
      <c r="D926" s="15" t="str">
        <v/>
      </c>
      <c r="E926" s="16" t="str">
        <v/>
      </c>
      <c r="F926" s="15" t="str">
        <v/>
      </c>
      <c r="G926" s="20" t="str" cm="1">
        <f t="array" ref="G926">IF(TRIM(P926)="","",IF(SUM(COUNTIF(P926,{"*NLGD*","*FWG*"}))&gt;0,P926,IF(SUM(COUNTIF(P926,{"*GL*","*DGB*","*DGI*","*GT*","*CS*","*PWU*","*DBI*","*SWU*"}))=0,P926,IF(IFERROR(VALUE(SUBSTITUTE(SUBSTITUTE(O926,"W",""),"""","")),0)&gt;52,P926&amp;"-OVRSIZE-",P926))))</f>
        <v/>
      </c>
      <c r="H926" s="15" t="str">
        <v/>
      </c>
      <c r="I926" s="15" t="str">
        <v/>
      </c>
      <c r="J926" s="15" t="str">
        <v/>
      </c>
      <c r="K926" s="15" t="str">
        <v/>
      </c>
      <c r="L926" s="15" t="str">
        <v/>
      </c>
      <c r="M926" s="10" t="str">
        <v/>
      </c>
      <c r="N926" s="14"/>
      <c r="O926" s="15" t="str" cm="1">
        <f t="array" ref="O926">IFERROR(_xlfn.LET(
_xlpm.clean,TRIM(SUBSTITUTE(SUBSTITUTE(P926,CHAR(160),"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6" s="15"/>
      <c r="R926" t="str">
        <v/>
      </c>
      <c r="S926" t="str">
        <f t="shared" si="15"/>
        <v/>
      </c>
    </row>
    <row r="927" spans="1:19" ht="12.75">
      <c r="A927" s="15" t="str">
        <v/>
      </c>
      <c r="B927" s="15" t="str">
        <v/>
      </c>
      <c r="C927" s="15" t="str" cm="1">
        <f t="array" ref="C927">IFERROR(_xlfn.TEXTJOIN("",TRUE,_xlfn._xlws.FILTER(MID(S927,_xlfn.SEQUENCE(LEN(S927)),1),ISNUMBER(SEARCH(MID(S927,_xlfn.SEQUENCE(LEN(S927)),1),"ABCDEFGHIJKLMNOPQRSTUVWXYZabcdefghijklmnopqrstuvwxyz0123456789,")))),"")</f>
        <v/>
      </c>
      <c r="D927" s="15" t="str">
        <v/>
      </c>
      <c r="E927" s="16" t="str">
        <v/>
      </c>
      <c r="F927" s="15" t="str">
        <v/>
      </c>
      <c r="G927" s="20" t="str" cm="1">
        <f t="array" ref="G927">IF(TRIM(P927)="","",IF(SUM(COUNTIF(P927,{"*NLGD*","*FWG*"}))&gt;0,P927,IF(SUM(COUNTIF(P927,{"*GL*","*DGB*","*DGI*","*GT*","*CS*","*PWU*","*DBI*","*SWU*"}))=0,P927,IF(IFERROR(VALUE(SUBSTITUTE(SUBSTITUTE(O927,"W",""),"""","")),0)&gt;52,P927&amp;"-OVRSIZE-",P927))))</f>
        <v/>
      </c>
      <c r="H927" s="15" t="str">
        <v/>
      </c>
      <c r="I927" s="15" t="str">
        <v/>
      </c>
      <c r="J927" s="15" t="str">
        <v/>
      </c>
      <c r="K927" s="15" t="str">
        <v/>
      </c>
      <c r="L927" s="15" t="str">
        <v/>
      </c>
      <c r="M927" s="10" t="str">
        <v/>
      </c>
      <c r="N927" s="14"/>
      <c r="O927" s="15" t="str" cm="1">
        <f t="array" ref="O927">IFERROR(_xlfn.LET(
_xlpm.clean,TRIM(SUBSTITUTE(SUBSTITUTE(P927,CHAR(160),"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7" s="15"/>
      <c r="R927" t="str">
        <v/>
      </c>
      <c r="S927" t="str">
        <f t="shared" si="15"/>
        <v/>
      </c>
    </row>
    <row r="928" spans="1:19" ht="12.75">
      <c r="A928" s="15" t="str">
        <v/>
      </c>
      <c r="B928" s="15" t="str">
        <v/>
      </c>
      <c r="C928" s="15" t="str" cm="1">
        <f t="array" ref="C928">IFERROR(_xlfn.TEXTJOIN("",TRUE,_xlfn._xlws.FILTER(MID(S928,_xlfn.SEQUENCE(LEN(S928)),1),ISNUMBER(SEARCH(MID(S928,_xlfn.SEQUENCE(LEN(S928)),1),"ABCDEFGHIJKLMNOPQRSTUVWXYZabcdefghijklmnopqrstuvwxyz0123456789,")))),"")</f>
        <v/>
      </c>
      <c r="D928" s="15" t="str">
        <v/>
      </c>
      <c r="E928" s="16" t="str">
        <v/>
      </c>
      <c r="F928" s="15" t="str">
        <v/>
      </c>
      <c r="G928" s="20" t="str" cm="1">
        <f t="array" ref="G928">IF(TRIM(P928)="","",IF(SUM(COUNTIF(P928,{"*NLGD*","*FWG*"}))&gt;0,P928,IF(SUM(COUNTIF(P928,{"*GL*","*DGB*","*DGI*","*GT*","*CS*","*PWU*","*DBI*","*SWU*"}))=0,P928,IF(IFERROR(VALUE(SUBSTITUTE(SUBSTITUTE(O928,"W",""),"""","")),0)&gt;52,P928&amp;"-OVRSIZE-",P928))))</f>
        <v/>
      </c>
      <c r="H928" s="15" t="str">
        <v/>
      </c>
      <c r="I928" s="15" t="str">
        <v/>
      </c>
      <c r="J928" s="15" t="str">
        <v/>
      </c>
      <c r="K928" s="15" t="str">
        <v/>
      </c>
      <c r="L928" s="15" t="str">
        <v/>
      </c>
      <c r="M928" s="10" t="str">
        <v/>
      </c>
      <c r="N928" s="14"/>
      <c r="O928" s="15" t="str" cm="1">
        <f t="array" ref="O928">IFERROR(_xlfn.LET(
_xlpm.clean,TRIM(SUBSTITUTE(SUBSTITUTE(P928,CHAR(160),"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8" s="15"/>
      <c r="R928" t="str">
        <v/>
      </c>
      <c r="S928" t="str">
        <f t="shared" si="15"/>
        <v/>
      </c>
    </row>
    <row r="929" spans="1:19" ht="12.75">
      <c r="A929" s="15" t="str">
        <v/>
      </c>
      <c r="B929" s="15" t="str">
        <v/>
      </c>
      <c r="C929" s="15" t="str" cm="1">
        <f t="array" ref="C929">IFERROR(_xlfn.TEXTJOIN("",TRUE,_xlfn._xlws.FILTER(MID(S929,_xlfn.SEQUENCE(LEN(S929)),1),ISNUMBER(SEARCH(MID(S929,_xlfn.SEQUENCE(LEN(S929)),1),"ABCDEFGHIJKLMNOPQRSTUVWXYZabcdefghijklmnopqrstuvwxyz0123456789,")))),"")</f>
        <v/>
      </c>
      <c r="D929" s="15" t="str">
        <v/>
      </c>
      <c r="E929" s="16" t="str">
        <v/>
      </c>
      <c r="F929" s="15" t="str">
        <v/>
      </c>
      <c r="G929" s="20" t="str" cm="1">
        <f t="array" ref="G929">IF(TRIM(P929)="","",IF(SUM(COUNTIF(P929,{"*NLGD*","*FWG*"}))&gt;0,P929,IF(SUM(COUNTIF(P929,{"*GL*","*DGB*","*DGI*","*GT*","*CS*","*PWU*","*DBI*","*SWU*"}))=0,P929,IF(IFERROR(VALUE(SUBSTITUTE(SUBSTITUTE(O929,"W",""),"""","")),0)&gt;52,P929&amp;"-OVRSIZE-",P929))))</f>
        <v/>
      </c>
      <c r="H929" s="15" t="str">
        <v/>
      </c>
      <c r="I929" s="15" t="str">
        <v/>
      </c>
      <c r="J929" s="15" t="str">
        <v/>
      </c>
      <c r="K929" s="15" t="str">
        <v/>
      </c>
      <c r="L929" s="15" t="str">
        <v/>
      </c>
      <c r="M929" s="10" t="str">
        <v/>
      </c>
      <c r="N929" s="14"/>
      <c r="O929" s="15" t="str" cm="1">
        <f t="array" ref="O929">IFERROR(_xlfn.LET(
_xlpm.clean,TRIM(SUBSTITUTE(SUBSTITUTE(P929,CHAR(160),"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9" s="15"/>
      <c r="R929" t="str">
        <v/>
      </c>
      <c r="S929" t="str">
        <f t="shared" si="15"/>
        <v/>
      </c>
    </row>
    <row r="930" spans="1:19" ht="12.75">
      <c r="A930" s="15" t="str">
        <v/>
      </c>
      <c r="B930" s="15" t="str">
        <v/>
      </c>
      <c r="C930" s="15" t="str" cm="1">
        <f t="array" ref="C930">IFERROR(_xlfn.TEXTJOIN("",TRUE,_xlfn._xlws.FILTER(MID(S930,_xlfn.SEQUENCE(LEN(S930)),1),ISNUMBER(SEARCH(MID(S930,_xlfn.SEQUENCE(LEN(S930)),1),"ABCDEFGHIJKLMNOPQRSTUVWXYZabcdefghijklmnopqrstuvwxyz0123456789,")))),"")</f>
        <v/>
      </c>
      <c r="D930" s="15" t="str">
        <v/>
      </c>
      <c r="E930" s="16" t="str">
        <v/>
      </c>
      <c r="F930" s="15" t="str">
        <v/>
      </c>
      <c r="G930" s="20" t="str" cm="1">
        <f t="array" ref="G930">IF(TRIM(P930)="","",IF(SUM(COUNTIF(P930,{"*NLGD*","*FWG*"}))&gt;0,P930,IF(SUM(COUNTIF(P930,{"*GL*","*DGB*","*DGI*","*GT*","*CS*","*PWU*","*DBI*","*SWU*"}))=0,P930,IF(IFERROR(VALUE(SUBSTITUTE(SUBSTITUTE(O930,"W",""),"""","")),0)&gt;52,P930&amp;"-OVRSIZE-",P930))))</f>
        <v/>
      </c>
      <c r="H930" s="15" t="str">
        <v/>
      </c>
      <c r="I930" s="15" t="str">
        <v/>
      </c>
      <c r="J930" s="15" t="str">
        <v/>
      </c>
      <c r="K930" s="15" t="str">
        <v/>
      </c>
      <c r="L930" s="15" t="str">
        <v/>
      </c>
      <c r="M930" s="10" t="str">
        <v/>
      </c>
      <c r="N930" s="14"/>
      <c r="O930" s="15" t="str" cm="1">
        <f t="array" ref="O930">IFERROR(_xlfn.LET(
_xlpm.clean,TRIM(SUBSTITUTE(SUBSTITUTE(P930,CHAR(160),"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0" s="15"/>
      <c r="R930" t="str">
        <v/>
      </c>
      <c r="S930" t="str">
        <f t="shared" si="15"/>
        <v/>
      </c>
    </row>
    <row r="931" spans="1:19" ht="12.75">
      <c r="A931" s="15" t="str">
        <v/>
      </c>
      <c r="B931" s="15" t="str">
        <v/>
      </c>
      <c r="C931" s="15" t="str" cm="1">
        <f t="array" ref="C931">IFERROR(_xlfn.TEXTJOIN("",TRUE,_xlfn._xlws.FILTER(MID(S931,_xlfn.SEQUENCE(LEN(S931)),1),ISNUMBER(SEARCH(MID(S931,_xlfn.SEQUENCE(LEN(S931)),1),"ABCDEFGHIJKLMNOPQRSTUVWXYZabcdefghijklmnopqrstuvwxyz0123456789,")))),"")</f>
        <v/>
      </c>
      <c r="D931" s="15" t="str">
        <v/>
      </c>
      <c r="E931" s="16" t="str">
        <v/>
      </c>
      <c r="F931" s="15" t="str">
        <v/>
      </c>
      <c r="G931" s="20" t="str" cm="1">
        <f t="array" ref="G931">IF(TRIM(P931)="","",IF(SUM(COUNTIF(P931,{"*NLGD*","*FWG*"}))&gt;0,P931,IF(SUM(COUNTIF(P931,{"*GL*","*DGB*","*DGI*","*GT*","*CS*","*PWU*","*DBI*","*SWU*"}))=0,P931,IF(IFERROR(VALUE(SUBSTITUTE(SUBSTITUTE(O931,"W",""),"""","")),0)&gt;52,P931&amp;"-OVRSIZE-",P931))))</f>
        <v/>
      </c>
      <c r="H931" s="15" t="str">
        <v/>
      </c>
      <c r="I931" s="15" t="str">
        <v/>
      </c>
      <c r="J931" s="15" t="str">
        <v/>
      </c>
      <c r="K931" s="15" t="str">
        <v/>
      </c>
      <c r="L931" s="15" t="str">
        <v/>
      </c>
      <c r="M931" s="10" t="str">
        <v/>
      </c>
      <c r="N931" s="14"/>
      <c r="O931" s="15" t="str" cm="1">
        <f t="array" ref="O931">IFERROR(_xlfn.LET(
_xlpm.clean,TRIM(SUBSTITUTE(SUBSTITUTE(P931,CHAR(160),"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1" s="15"/>
      <c r="R931" t="str">
        <v/>
      </c>
      <c r="S931" t="str">
        <f t="shared" si="15"/>
        <v/>
      </c>
    </row>
    <row r="932" spans="1:19" ht="12.75">
      <c r="A932" s="15" t="str">
        <v/>
      </c>
      <c r="B932" s="15" t="str">
        <v/>
      </c>
      <c r="C932" s="15" t="str" cm="1">
        <f t="array" ref="C932">IFERROR(_xlfn.TEXTJOIN("",TRUE,_xlfn._xlws.FILTER(MID(S932,_xlfn.SEQUENCE(LEN(S932)),1),ISNUMBER(SEARCH(MID(S932,_xlfn.SEQUENCE(LEN(S932)),1),"ABCDEFGHIJKLMNOPQRSTUVWXYZabcdefghijklmnopqrstuvwxyz0123456789,")))),"")</f>
        <v/>
      </c>
      <c r="D932" s="15" t="str">
        <v/>
      </c>
      <c r="E932" s="16" t="str">
        <v/>
      </c>
      <c r="F932" s="15" t="str">
        <v/>
      </c>
      <c r="G932" s="20" t="str" cm="1">
        <f t="array" ref="G932">IF(TRIM(P932)="","",IF(SUM(COUNTIF(P932,{"*NLGD*","*FWG*"}))&gt;0,P932,IF(SUM(COUNTIF(P932,{"*GL*","*DGB*","*DGI*","*GT*","*CS*","*PWU*","*DBI*","*SWU*"}))=0,P932,IF(IFERROR(VALUE(SUBSTITUTE(SUBSTITUTE(O932,"W",""),"""","")),0)&gt;52,P932&amp;"-OVRSIZE-",P932))))</f>
        <v/>
      </c>
      <c r="H932" s="15" t="str">
        <v/>
      </c>
      <c r="I932" s="15" t="str">
        <v/>
      </c>
      <c r="J932" s="15" t="str">
        <v/>
      </c>
      <c r="K932" s="15" t="str">
        <v/>
      </c>
      <c r="L932" s="15" t="str">
        <v/>
      </c>
      <c r="M932" s="10" t="str">
        <v/>
      </c>
      <c r="N932" s="14"/>
      <c r="O932" s="15" t="str" cm="1">
        <f t="array" ref="O932">IFERROR(_xlfn.LET(
_xlpm.clean,TRIM(SUBSTITUTE(SUBSTITUTE(P932,CHAR(160),"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2" s="15"/>
      <c r="R932" t="str">
        <v/>
      </c>
      <c r="S932" t="str">
        <f t="shared" si="15"/>
        <v/>
      </c>
    </row>
    <row r="933" spans="1:19" ht="12.75">
      <c r="A933" s="15" t="str">
        <v/>
      </c>
      <c r="B933" s="15" t="str">
        <v/>
      </c>
      <c r="C933" s="15" t="str" cm="1">
        <f t="array" ref="C933">IFERROR(_xlfn.TEXTJOIN("",TRUE,_xlfn._xlws.FILTER(MID(S933,_xlfn.SEQUENCE(LEN(S933)),1),ISNUMBER(SEARCH(MID(S933,_xlfn.SEQUENCE(LEN(S933)),1),"ABCDEFGHIJKLMNOPQRSTUVWXYZabcdefghijklmnopqrstuvwxyz0123456789,")))),"")</f>
        <v/>
      </c>
      <c r="D933" s="15" t="str">
        <v/>
      </c>
      <c r="E933" s="16" t="str">
        <v/>
      </c>
      <c r="F933" s="15" t="str">
        <v/>
      </c>
      <c r="G933" s="20" t="str" cm="1">
        <f t="array" ref="G933">IF(TRIM(P933)="","",IF(SUM(COUNTIF(P933,{"*NLGD*","*FWG*"}))&gt;0,P933,IF(SUM(COUNTIF(P933,{"*GL*","*DGB*","*DGI*","*GT*","*CS*","*PWU*","*DBI*","*SWU*"}))=0,P933,IF(IFERROR(VALUE(SUBSTITUTE(SUBSTITUTE(O933,"W",""),"""","")),0)&gt;52,P933&amp;"-OVRSIZE-",P933))))</f>
        <v/>
      </c>
      <c r="H933" s="15" t="str">
        <v/>
      </c>
      <c r="I933" s="15" t="str">
        <v/>
      </c>
      <c r="J933" s="15" t="str">
        <v/>
      </c>
      <c r="K933" s="15" t="str">
        <v/>
      </c>
      <c r="L933" s="15" t="str">
        <v/>
      </c>
      <c r="M933" s="10" t="str">
        <v/>
      </c>
      <c r="N933" s="14"/>
      <c r="O933" s="15" t="str" cm="1">
        <f t="array" ref="O933">IFERROR(_xlfn.LET(
_xlpm.clean,TRIM(SUBSTITUTE(SUBSTITUTE(P933,CHAR(160),"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3" s="15"/>
      <c r="R933" t="str">
        <v/>
      </c>
      <c r="S933" t="str">
        <f t="shared" si="15"/>
        <v/>
      </c>
    </row>
    <row r="934" spans="1:19" ht="12.75">
      <c r="A934" s="15" t="str">
        <v/>
      </c>
      <c r="B934" s="15" t="str">
        <v/>
      </c>
      <c r="C934" s="15" t="str" cm="1">
        <f t="array" ref="C934">IFERROR(_xlfn.TEXTJOIN("",TRUE,_xlfn._xlws.FILTER(MID(S934,_xlfn.SEQUENCE(LEN(S934)),1),ISNUMBER(SEARCH(MID(S934,_xlfn.SEQUENCE(LEN(S934)),1),"ABCDEFGHIJKLMNOPQRSTUVWXYZabcdefghijklmnopqrstuvwxyz0123456789,")))),"")</f>
        <v/>
      </c>
      <c r="D934" s="15" t="str">
        <v/>
      </c>
      <c r="E934" s="16" t="str">
        <v/>
      </c>
      <c r="F934" s="15" t="str">
        <v/>
      </c>
      <c r="G934" s="20" t="str" cm="1">
        <f t="array" ref="G934">IF(TRIM(P934)="","",IF(SUM(COUNTIF(P934,{"*NLGD*","*FWG*"}))&gt;0,P934,IF(SUM(COUNTIF(P934,{"*GL*","*DGB*","*DGI*","*GT*","*CS*","*PWU*","*DBI*","*SWU*"}))=0,P934,IF(IFERROR(VALUE(SUBSTITUTE(SUBSTITUTE(O934,"W",""),"""","")),0)&gt;52,P934&amp;"-OVRSIZE-",P934))))</f>
        <v/>
      </c>
      <c r="H934" s="15" t="str">
        <v/>
      </c>
      <c r="I934" s="15" t="str">
        <v/>
      </c>
      <c r="J934" s="15" t="str">
        <v/>
      </c>
      <c r="K934" s="15" t="str">
        <v/>
      </c>
      <c r="L934" s="15" t="str">
        <v/>
      </c>
      <c r="M934" s="10" t="str">
        <v/>
      </c>
      <c r="N934" s="14"/>
      <c r="O934" s="15" t="str" cm="1">
        <f t="array" ref="O934">IFERROR(_xlfn.LET(
_xlpm.clean,TRIM(SUBSTITUTE(SUBSTITUTE(P934,CHAR(160),"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4" s="15"/>
      <c r="R934" t="str">
        <v/>
      </c>
      <c r="S934" t="str">
        <f t="shared" si="15"/>
        <v/>
      </c>
    </row>
    <row r="935" spans="1:19" ht="12.75">
      <c r="A935" s="15" t="str">
        <v/>
      </c>
      <c r="B935" s="15" t="str">
        <v/>
      </c>
      <c r="C935" s="15" t="str" cm="1">
        <f t="array" ref="C935">IFERROR(_xlfn.TEXTJOIN("",TRUE,_xlfn._xlws.FILTER(MID(S935,_xlfn.SEQUENCE(LEN(S935)),1),ISNUMBER(SEARCH(MID(S935,_xlfn.SEQUENCE(LEN(S935)),1),"ABCDEFGHIJKLMNOPQRSTUVWXYZabcdefghijklmnopqrstuvwxyz0123456789,")))),"")</f>
        <v/>
      </c>
      <c r="D935" s="15" t="str">
        <v/>
      </c>
      <c r="E935" s="16" t="str">
        <v/>
      </c>
      <c r="F935" s="15" t="str">
        <v/>
      </c>
      <c r="G935" s="20" t="str" cm="1">
        <f t="array" ref="G935">IF(TRIM(P935)="","",IF(SUM(COUNTIF(P935,{"*NLGD*","*FWG*"}))&gt;0,P935,IF(SUM(COUNTIF(P935,{"*GL*","*DGB*","*DGI*","*GT*","*CS*","*PWU*","*DBI*","*SWU*"}))=0,P935,IF(IFERROR(VALUE(SUBSTITUTE(SUBSTITUTE(O935,"W",""),"""","")),0)&gt;52,P935&amp;"-OVRSIZE-",P935))))</f>
        <v/>
      </c>
      <c r="H935" s="15" t="str">
        <v/>
      </c>
      <c r="I935" s="15" t="str">
        <v/>
      </c>
      <c r="J935" s="15" t="str">
        <v/>
      </c>
      <c r="K935" s="15" t="str">
        <v/>
      </c>
      <c r="L935" s="15" t="str">
        <v/>
      </c>
      <c r="M935" s="10" t="str">
        <v/>
      </c>
      <c r="N935" s="14"/>
      <c r="O935" s="15" t="str" cm="1">
        <f t="array" ref="O935">IFERROR(_xlfn.LET(
_xlpm.clean,TRIM(SUBSTITUTE(SUBSTITUTE(P935,CHAR(160),"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5" s="15"/>
      <c r="R935" t="str">
        <v/>
      </c>
      <c r="S935" t="str">
        <f t="shared" si="15"/>
        <v/>
      </c>
    </row>
    <row r="936" spans="1:19" ht="12.75">
      <c r="A936" s="15" t="str">
        <v/>
      </c>
      <c r="B936" s="15" t="str">
        <v/>
      </c>
      <c r="C936" s="15" t="str" cm="1">
        <f t="array" ref="C936">IFERROR(_xlfn.TEXTJOIN("",TRUE,_xlfn._xlws.FILTER(MID(S936,_xlfn.SEQUENCE(LEN(S936)),1),ISNUMBER(SEARCH(MID(S936,_xlfn.SEQUENCE(LEN(S936)),1),"ABCDEFGHIJKLMNOPQRSTUVWXYZabcdefghijklmnopqrstuvwxyz0123456789,")))),"")</f>
        <v/>
      </c>
      <c r="D936" s="15" t="str">
        <v/>
      </c>
      <c r="E936" s="16" t="str">
        <v/>
      </c>
      <c r="F936" s="15" t="str">
        <v/>
      </c>
      <c r="G936" s="20" t="str" cm="1">
        <f t="array" ref="G936">IF(TRIM(P936)="","",IF(SUM(COUNTIF(P936,{"*NLGD*","*FWG*"}))&gt;0,P936,IF(SUM(COUNTIF(P936,{"*GL*","*DGB*","*DGI*","*GT*","*CS*","*PWU*","*DBI*","*SWU*"}))=0,P936,IF(IFERROR(VALUE(SUBSTITUTE(SUBSTITUTE(O936,"W",""),"""","")),0)&gt;52,P936&amp;"-OVRSIZE-",P936))))</f>
        <v/>
      </c>
      <c r="H936" s="15" t="str">
        <v/>
      </c>
      <c r="I936" s="15" t="str">
        <v/>
      </c>
      <c r="J936" s="15" t="str">
        <v/>
      </c>
      <c r="K936" s="15" t="str">
        <v/>
      </c>
      <c r="L936" s="15" t="str">
        <v/>
      </c>
      <c r="M936" s="10" t="str">
        <v/>
      </c>
      <c r="N936" s="14"/>
      <c r="O936" s="15" t="str" cm="1">
        <f t="array" ref="O936">IFERROR(_xlfn.LET(
_xlpm.clean,TRIM(SUBSTITUTE(SUBSTITUTE(P936,CHAR(160),"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6" s="15"/>
      <c r="R936" t="str">
        <v/>
      </c>
      <c r="S936" t="str">
        <f t="shared" si="15"/>
        <v/>
      </c>
    </row>
    <row r="937" spans="1:19" ht="12.75">
      <c r="A937" s="15" t="str">
        <v/>
      </c>
      <c r="B937" s="15" t="str">
        <v/>
      </c>
      <c r="C937" s="15" t="str" cm="1">
        <f t="array" ref="C937">IFERROR(_xlfn.TEXTJOIN("",TRUE,_xlfn._xlws.FILTER(MID(S937,_xlfn.SEQUENCE(LEN(S937)),1),ISNUMBER(SEARCH(MID(S937,_xlfn.SEQUENCE(LEN(S937)),1),"ABCDEFGHIJKLMNOPQRSTUVWXYZabcdefghijklmnopqrstuvwxyz0123456789,")))),"")</f>
        <v/>
      </c>
      <c r="D937" s="15" t="str">
        <v/>
      </c>
      <c r="E937" s="16" t="str">
        <v/>
      </c>
      <c r="F937" s="15" t="str">
        <v/>
      </c>
      <c r="G937" s="20" t="str" cm="1">
        <f t="array" ref="G937">IF(TRIM(P937)="","",IF(SUM(COUNTIF(P937,{"*NLGD*","*FWG*"}))&gt;0,P937,IF(SUM(COUNTIF(P937,{"*GL*","*DGB*","*DGI*","*GT*","*CS*","*PWU*","*DBI*","*SWU*"}))=0,P937,IF(IFERROR(VALUE(SUBSTITUTE(SUBSTITUTE(O937,"W",""),"""","")),0)&gt;52,P937&amp;"-OVRSIZE-",P937))))</f>
        <v/>
      </c>
      <c r="H937" s="15" t="str">
        <v/>
      </c>
      <c r="I937" s="15" t="str">
        <v/>
      </c>
      <c r="J937" s="15" t="str">
        <v/>
      </c>
      <c r="K937" s="15" t="str">
        <v/>
      </c>
      <c r="L937" s="15" t="str">
        <v/>
      </c>
      <c r="M937" s="10" t="str">
        <v/>
      </c>
      <c r="N937" s="14"/>
      <c r="O937" s="15" t="str" cm="1">
        <f t="array" ref="O937">IFERROR(_xlfn.LET(
_xlpm.clean,TRIM(SUBSTITUTE(SUBSTITUTE(P937,CHAR(160),"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7" s="15"/>
      <c r="R937" t="str">
        <v/>
      </c>
      <c r="S937" t="str">
        <f t="shared" si="15"/>
        <v/>
      </c>
    </row>
    <row r="938" spans="1:19" ht="12.75">
      <c r="A938" s="15" t="str">
        <v/>
      </c>
      <c r="B938" s="15" t="str">
        <v/>
      </c>
      <c r="C938" s="15" t="str" cm="1">
        <f t="array" ref="C938">IFERROR(_xlfn.TEXTJOIN("",TRUE,_xlfn._xlws.FILTER(MID(S938,_xlfn.SEQUENCE(LEN(S938)),1),ISNUMBER(SEARCH(MID(S938,_xlfn.SEQUENCE(LEN(S938)),1),"ABCDEFGHIJKLMNOPQRSTUVWXYZabcdefghijklmnopqrstuvwxyz0123456789,")))),"")</f>
        <v/>
      </c>
      <c r="D938" s="15" t="str">
        <v/>
      </c>
      <c r="E938" s="16" t="str">
        <v/>
      </c>
      <c r="F938" s="15" t="str">
        <v/>
      </c>
      <c r="G938" s="20" t="str" cm="1">
        <f t="array" ref="G938">IF(TRIM(P938)="","",IF(SUM(COUNTIF(P938,{"*NLGD*","*FWG*"}))&gt;0,P938,IF(SUM(COUNTIF(P938,{"*GL*","*DGB*","*DGI*","*GT*","*CS*","*PWU*","*DBI*","*SWU*"}))=0,P938,IF(IFERROR(VALUE(SUBSTITUTE(SUBSTITUTE(O938,"W",""),"""","")),0)&gt;52,P938&amp;"-OVRSIZE-",P938))))</f>
        <v/>
      </c>
      <c r="H938" s="15" t="str">
        <v/>
      </c>
      <c r="I938" s="15" t="str">
        <v/>
      </c>
      <c r="J938" s="15" t="str">
        <v/>
      </c>
      <c r="K938" s="15" t="str">
        <v/>
      </c>
      <c r="L938" s="15" t="str">
        <v/>
      </c>
      <c r="M938" s="10" t="str">
        <v/>
      </c>
      <c r="N938" s="14"/>
      <c r="O938" s="15" t="str" cm="1">
        <f t="array" ref="O938">IFERROR(_xlfn.LET(
_xlpm.clean,TRIM(SUBSTITUTE(SUBSTITUTE(P938,CHAR(160),"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8" s="15"/>
      <c r="R938" t="str">
        <v/>
      </c>
      <c r="S938" t="str">
        <f t="shared" si="15"/>
        <v/>
      </c>
    </row>
    <row r="939" spans="1:19" ht="12.75">
      <c r="A939" s="15" t="str">
        <v/>
      </c>
      <c r="B939" s="15" t="str">
        <v/>
      </c>
      <c r="C939" s="15" t="str" cm="1">
        <f t="array" ref="C939">IFERROR(_xlfn.TEXTJOIN("",TRUE,_xlfn._xlws.FILTER(MID(S939,_xlfn.SEQUENCE(LEN(S939)),1),ISNUMBER(SEARCH(MID(S939,_xlfn.SEQUENCE(LEN(S939)),1),"ABCDEFGHIJKLMNOPQRSTUVWXYZabcdefghijklmnopqrstuvwxyz0123456789,")))),"")</f>
        <v/>
      </c>
      <c r="D939" s="15" t="str">
        <v/>
      </c>
      <c r="E939" s="16" t="str">
        <v/>
      </c>
      <c r="F939" s="15" t="str">
        <v/>
      </c>
      <c r="G939" s="20" t="str" cm="1">
        <f t="array" ref="G939">IF(TRIM(P939)="","",IF(SUM(COUNTIF(P939,{"*NLGD*","*FWG*"}))&gt;0,P939,IF(SUM(COUNTIF(P939,{"*GL*","*DGB*","*DGI*","*GT*","*CS*","*PWU*","*DBI*","*SWU*"}))=0,P939,IF(IFERROR(VALUE(SUBSTITUTE(SUBSTITUTE(O939,"W",""),"""","")),0)&gt;52,P939&amp;"-OVRSIZE-",P939))))</f>
        <v/>
      </c>
      <c r="H939" s="15" t="str">
        <v/>
      </c>
      <c r="I939" s="15" t="str">
        <v/>
      </c>
      <c r="J939" s="15" t="str">
        <v/>
      </c>
      <c r="K939" s="15" t="str">
        <v/>
      </c>
      <c r="L939" s="15" t="str">
        <v/>
      </c>
      <c r="M939" s="10" t="str">
        <v/>
      </c>
      <c r="N939" s="14"/>
      <c r="O939" s="15" t="str" cm="1">
        <f t="array" ref="O939">IFERROR(_xlfn.LET(
_xlpm.clean,TRIM(SUBSTITUTE(SUBSTITUTE(P939,CHAR(160),"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9" s="15"/>
      <c r="R939" t="str">
        <v/>
      </c>
      <c r="S939" t="str">
        <f t="shared" si="15"/>
        <v/>
      </c>
    </row>
    <row r="940" spans="1:19" ht="12.75">
      <c r="A940" s="15" t="str">
        <v/>
      </c>
      <c r="B940" s="15" t="str">
        <v/>
      </c>
      <c r="C940" s="15" t="str" cm="1">
        <f t="array" ref="C940">IFERROR(_xlfn.TEXTJOIN("",TRUE,_xlfn._xlws.FILTER(MID(S940,_xlfn.SEQUENCE(LEN(S940)),1),ISNUMBER(SEARCH(MID(S940,_xlfn.SEQUENCE(LEN(S940)),1),"ABCDEFGHIJKLMNOPQRSTUVWXYZabcdefghijklmnopqrstuvwxyz0123456789,")))),"")</f>
        <v/>
      </c>
      <c r="D940" s="15" t="str">
        <v/>
      </c>
      <c r="E940" s="16" t="str">
        <v/>
      </c>
      <c r="F940" s="15" t="str">
        <v/>
      </c>
      <c r="G940" s="20" t="str" cm="1">
        <f t="array" ref="G940">IF(TRIM(P940)="","",IF(SUM(COUNTIF(P940,{"*NLGD*","*FWG*"}))&gt;0,P940,IF(SUM(COUNTIF(P940,{"*GL*","*DGB*","*DGI*","*GT*","*CS*","*PWU*","*DBI*","*SWU*"}))=0,P940,IF(IFERROR(VALUE(SUBSTITUTE(SUBSTITUTE(O940,"W",""),"""","")),0)&gt;52,P940&amp;"-OVRSIZE-",P940))))</f>
        <v/>
      </c>
      <c r="H940" s="15" t="str">
        <v/>
      </c>
      <c r="I940" s="15" t="str">
        <v/>
      </c>
      <c r="J940" s="15" t="str">
        <v/>
      </c>
      <c r="K940" s="15" t="str">
        <v/>
      </c>
      <c r="L940" s="15" t="str">
        <v/>
      </c>
      <c r="M940" s="10" t="str">
        <v/>
      </c>
      <c r="N940" s="14"/>
      <c r="O940" s="15" t="str" cm="1">
        <f t="array" ref="O940">IFERROR(_xlfn.LET(
_xlpm.clean,TRIM(SUBSTITUTE(SUBSTITUTE(P940,CHAR(160),"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0" s="15"/>
      <c r="R940" t="str">
        <v/>
      </c>
      <c r="S940" t="str">
        <f t="shared" si="15"/>
        <v/>
      </c>
    </row>
    <row r="941" spans="1:19" ht="12.75">
      <c r="A941" s="15" t="str">
        <v/>
      </c>
      <c r="B941" s="15" t="str">
        <v/>
      </c>
      <c r="C941" s="15" t="str" cm="1">
        <f t="array" ref="C941">IFERROR(_xlfn.TEXTJOIN("",TRUE,_xlfn._xlws.FILTER(MID(S941,_xlfn.SEQUENCE(LEN(S941)),1),ISNUMBER(SEARCH(MID(S941,_xlfn.SEQUENCE(LEN(S941)),1),"ABCDEFGHIJKLMNOPQRSTUVWXYZabcdefghijklmnopqrstuvwxyz0123456789,")))),"")</f>
        <v/>
      </c>
      <c r="D941" s="15" t="str">
        <v/>
      </c>
      <c r="E941" s="16" t="str">
        <v/>
      </c>
      <c r="F941" s="15" t="str">
        <v/>
      </c>
      <c r="G941" s="20" t="str" cm="1">
        <f t="array" ref="G941">IF(TRIM(P941)="","",IF(SUM(COUNTIF(P941,{"*NLGD*","*FWG*"}))&gt;0,P941,IF(SUM(COUNTIF(P941,{"*GL*","*DGB*","*DGI*","*GT*","*CS*","*PWU*","*DBI*","*SWU*"}))=0,P941,IF(IFERROR(VALUE(SUBSTITUTE(SUBSTITUTE(O941,"W",""),"""","")),0)&gt;52,P941&amp;"-OVRSIZE-",P941))))</f>
        <v/>
      </c>
      <c r="H941" s="15" t="str">
        <v/>
      </c>
      <c r="I941" s="15" t="str">
        <v/>
      </c>
      <c r="J941" s="15" t="str">
        <v/>
      </c>
      <c r="K941" s="15" t="str">
        <v/>
      </c>
      <c r="L941" s="15" t="str">
        <v/>
      </c>
      <c r="M941" s="10" t="str">
        <v/>
      </c>
      <c r="N941" s="14"/>
      <c r="O941" s="15" t="str" cm="1">
        <f t="array" ref="O941">IFERROR(_xlfn.LET(
_xlpm.clean,TRIM(SUBSTITUTE(SUBSTITUTE(P941,CHAR(160),"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1" s="15"/>
      <c r="R941" t="str">
        <v/>
      </c>
      <c r="S941" t="str">
        <f t="shared" si="15"/>
        <v/>
      </c>
    </row>
    <row r="942" spans="1:19" ht="12.75">
      <c r="A942" s="15" t="str">
        <v/>
      </c>
      <c r="B942" s="15" t="str">
        <v/>
      </c>
      <c r="C942" s="15" t="str" cm="1">
        <f t="array" ref="C942">IFERROR(_xlfn.TEXTJOIN("",TRUE,_xlfn._xlws.FILTER(MID(S942,_xlfn.SEQUENCE(LEN(S942)),1),ISNUMBER(SEARCH(MID(S942,_xlfn.SEQUENCE(LEN(S942)),1),"ABCDEFGHIJKLMNOPQRSTUVWXYZabcdefghijklmnopqrstuvwxyz0123456789,")))),"")</f>
        <v/>
      </c>
      <c r="D942" s="15" t="str">
        <v/>
      </c>
      <c r="E942" s="16" t="str">
        <v/>
      </c>
      <c r="F942" s="15" t="str">
        <v/>
      </c>
      <c r="G942" s="20" t="str" cm="1">
        <f t="array" ref="G942">IF(TRIM(P942)="","",IF(SUM(COUNTIF(P942,{"*NLGD*","*FWG*"}))&gt;0,P942,IF(SUM(COUNTIF(P942,{"*GL*","*DGB*","*DGI*","*GT*","*CS*","*PWU*","*DBI*","*SWU*"}))=0,P942,IF(IFERROR(VALUE(SUBSTITUTE(SUBSTITUTE(O942,"W",""),"""","")),0)&gt;52,P942&amp;"-OVRSIZE-",P942))))</f>
        <v/>
      </c>
      <c r="H942" s="15" t="str">
        <v/>
      </c>
      <c r="I942" s="15" t="str">
        <v/>
      </c>
      <c r="J942" s="15" t="str">
        <v/>
      </c>
      <c r="K942" s="15" t="str">
        <v/>
      </c>
      <c r="L942" s="15" t="str">
        <v/>
      </c>
      <c r="M942" s="10" t="str">
        <v/>
      </c>
      <c r="N942" s="14"/>
      <c r="O942" s="15" t="str" cm="1">
        <f t="array" ref="O942">IFERROR(_xlfn.LET(
_xlpm.clean,TRIM(SUBSTITUTE(SUBSTITUTE(P942,CHAR(160),"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2" s="15"/>
      <c r="R942" t="str">
        <v/>
      </c>
      <c r="S942" t="str">
        <f t="shared" si="15"/>
        <v/>
      </c>
    </row>
    <row r="943" spans="1:19" ht="12.75">
      <c r="A943" s="15" t="str">
        <v/>
      </c>
      <c r="B943" s="15" t="str">
        <v/>
      </c>
      <c r="C943" s="15" t="str" cm="1">
        <f t="array" ref="C943">IFERROR(_xlfn.TEXTJOIN("",TRUE,_xlfn._xlws.FILTER(MID(S943,_xlfn.SEQUENCE(LEN(S943)),1),ISNUMBER(SEARCH(MID(S943,_xlfn.SEQUENCE(LEN(S943)),1),"ABCDEFGHIJKLMNOPQRSTUVWXYZabcdefghijklmnopqrstuvwxyz0123456789,")))),"")</f>
        <v/>
      </c>
      <c r="D943" s="15" t="str">
        <v/>
      </c>
      <c r="E943" s="16" t="str">
        <v/>
      </c>
      <c r="F943" s="15" t="str">
        <v/>
      </c>
      <c r="G943" s="20" t="str" cm="1">
        <f t="array" ref="G943">IF(TRIM(P943)="","",IF(SUM(COUNTIF(P943,{"*NLGD*","*FWG*"}))&gt;0,P943,IF(SUM(COUNTIF(P943,{"*GL*","*DGB*","*DGI*","*GT*","*CS*","*PWU*","*DBI*","*SWU*"}))=0,P943,IF(IFERROR(VALUE(SUBSTITUTE(SUBSTITUTE(O943,"W",""),"""","")),0)&gt;52,P943&amp;"-OVRSIZE-",P943))))</f>
        <v/>
      </c>
      <c r="H943" s="15" t="str">
        <v/>
      </c>
      <c r="I943" s="15" t="str">
        <v/>
      </c>
      <c r="J943" s="15" t="str">
        <v/>
      </c>
      <c r="K943" s="15" t="str">
        <v/>
      </c>
      <c r="L943" s="15" t="str">
        <v/>
      </c>
      <c r="M943" s="10" t="str">
        <v/>
      </c>
      <c r="N943" s="14"/>
      <c r="O943" s="15" t="str" cm="1">
        <f t="array" ref="O943">IFERROR(_xlfn.LET(
_xlpm.clean,TRIM(SUBSTITUTE(SUBSTITUTE(P943,CHAR(160),"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3" s="15"/>
      <c r="R943" t="str">
        <v/>
      </c>
      <c r="S943" t="str">
        <f t="shared" si="15"/>
        <v/>
      </c>
    </row>
    <row r="944" spans="1:19" ht="12.75">
      <c r="A944" s="15" t="str">
        <v/>
      </c>
      <c r="B944" s="15" t="str">
        <v/>
      </c>
      <c r="C944" s="15" t="str" cm="1">
        <f t="array" ref="C944">IFERROR(_xlfn.TEXTJOIN("",TRUE,_xlfn._xlws.FILTER(MID(S944,_xlfn.SEQUENCE(LEN(S944)),1),ISNUMBER(SEARCH(MID(S944,_xlfn.SEQUENCE(LEN(S944)),1),"ABCDEFGHIJKLMNOPQRSTUVWXYZabcdefghijklmnopqrstuvwxyz0123456789,")))),"")</f>
        <v/>
      </c>
      <c r="D944" s="15" t="str">
        <v/>
      </c>
      <c r="E944" s="16" t="str">
        <v/>
      </c>
      <c r="F944" s="15" t="str">
        <v/>
      </c>
      <c r="G944" s="20" t="str" cm="1">
        <f t="array" ref="G944">IF(TRIM(P944)="","",IF(SUM(COUNTIF(P944,{"*NLGD*","*FWG*"}))&gt;0,P944,IF(SUM(COUNTIF(P944,{"*GL*","*DGB*","*DGI*","*GT*","*CS*","*PWU*","*DBI*","*SWU*"}))=0,P944,IF(IFERROR(VALUE(SUBSTITUTE(SUBSTITUTE(O944,"W",""),"""","")),0)&gt;52,P944&amp;"-OVRSIZE-",P944))))</f>
        <v/>
      </c>
      <c r="H944" s="15" t="str">
        <v/>
      </c>
      <c r="I944" s="15" t="str">
        <v/>
      </c>
      <c r="J944" s="15" t="str">
        <v/>
      </c>
      <c r="K944" s="15" t="str">
        <v/>
      </c>
      <c r="L944" s="15" t="str">
        <v/>
      </c>
      <c r="M944" s="10" t="str">
        <v/>
      </c>
      <c r="N944" s="14"/>
      <c r="O944" s="15" t="str" cm="1">
        <f t="array" ref="O944">IFERROR(_xlfn.LET(
_xlpm.clean,TRIM(SUBSTITUTE(SUBSTITUTE(P944,CHAR(160),"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4" s="15"/>
      <c r="R944" t="str">
        <v/>
      </c>
      <c r="S944" t="str">
        <f t="shared" si="15"/>
        <v/>
      </c>
    </row>
    <row r="945" spans="1:19" ht="12.75">
      <c r="A945" s="15" t="str">
        <v/>
      </c>
      <c r="B945" s="15" t="str">
        <v/>
      </c>
      <c r="C945" s="15" t="str" cm="1">
        <f t="array" ref="C945">IFERROR(_xlfn.TEXTJOIN("",TRUE,_xlfn._xlws.FILTER(MID(S945,_xlfn.SEQUENCE(LEN(S945)),1),ISNUMBER(SEARCH(MID(S945,_xlfn.SEQUENCE(LEN(S945)),1),"ABCDEFGHIJKLMNOPQRSTUVWXYZabcdefghijklmnopqrstuvwxyz0123456789,")))),"")</f>
        <v/>
      </c>
      <c r="D945" s="15" t="str">
        <v/>
      </c>
      <c r="E945" s="16" t="str">
        <v/>
      </c>
      <c r="F945" s="15" t="str">
        <v/>
      </c>
      <c r="G945" s="20" t="str" cm="1">
        <f t="array" ref="G945">IF(TRIM(P945)="","",IF(SUM(COUNTIF(P945,{"*NLGD*","*FWG*"}))&gt;0,P945,IF(SUM(COUNTIF(P945,{"*GL*","*DGB*","*DGI*","*GT*","*CS*","*PWU*","*DBI*","*SWU*"}))=0,P945,IF(IFERROR(VALUE(SUBSTITUTE(SUBSTITUTE(O945,"W",""),"""","")),0)&gt;52,P945&amp;"-OVRSIZE-",P945))))</f>
        <v/>
      </c>
      <c r="H945" s="15" t="str">
        <v/>
      </c>
      <c r="I945" s="15" t="str">
        <v/>
      </c>
      <c r="J945" s="15" t="str">
        <v/>
      </c>
      <c r="K945" s="15" t="str">
        <v/>
      </c>
      <c r="L945" s="15" t="str">
        <v/>
      </c>
      <c r="M945" s="10" t="str">
        <v/>
      </c>
      <c r="N945" s="14"/>
      <c r="O945" s="15" t="str" cm="1">
        <f t="array" ref="O945">IFERROR(_xlfn.LET(
_xlpm.clean,TRIM(SUBSTITUTE(SUBSTITUTE(P945,CHAR(160),"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5" s="15"/>
      <c r="R945" t="str">
        <v/>
      </c>
      <c r="S945" t="str">
        <f t="shared" si="15"/>
        <v/>
      </c>
    </row>
    <row r="946" spans="1:19" ht="12.75">
      <c r="A946" s="15" t="str">
        <v/>
      </c>
      <c r="B946" s="15" t="str">
        <v/>
      </c>
      <c r="C946" s="15" t="str" cm="1">
        <f t="array" ref="C946">IFERROR(_xlfn.TEXTJOIN("",TRUE,_xlfn._xlws.FILTER(MID(S946,_xlfn.SEQUENCE(LEN(S946)),1),ISNUMBER(SEARCH(MID(S946,_xlfn.SEQUENCE(LEN(S946)),1),"ABCDEFGHIJKLMNOPQRSTUVWXYZabcdefghijklmnopqrstuvwxyz0123456789,")))),"")</f>
        <v/>
      </c>
      <c r="D946" s="15" t="str">
        <v/>
      </c>
      <c r="E946" s="16" t="str">
        <v/>
      </c>
      <c r="F946" s="15" t="str">
        <v/>
      </c>
      <c r="G946" s="20" t="str" cm="1">
        <f t="array" ref="G946">IF(TRIM(P946)="","",IF(SUM(COUNTIF(P946,{"*NLGD*","*FWG*"}))&gt;0,P946,IF(SUM(COUNTIF(P946,{"*GL*","*DGB*","*DGI*","*GT*","*CS*","*PWU*","*DBI*","*SWU*"}))=0,P946,IF(IFERROR(VALUE(SUBSTITUTE(SUBSTITUTE(O946,"W",""),"""","")),0)&gt;52,P946&amp;"-OVRSIZE-",P946))))</f>
        <v/>
      </c>
      <c r="H946" s="15" t="str">
        <v/>
      </c>
      <c r="I946" s="15" t="str">
        <v/>
      </c>
      <c r="J946" s="15" t="str">
        <v/>
      </c>
      <c r="K946" s="15" t="str">
        <v/>
      </c>
      <c r="L946" s="15" t="str">
        <v/>
      </c>
      <c r="M946" s="10" t="str">
        <v/>
      </c>
      <c r="N946" s="14"/>
      <c r="O946" s="15" t="str" cm="1">
        <f t="array" ref="O946">IFERROR(_xlfn.LET(
_xlpm.clean,TRIM(SUBSTITUTE(SUBSTITUTE(P946,CHAR(160),"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6" s="15"/>
      <c r="R946" t="str">
        <v/>
      </c>
      <c r="S946" t="str">
        <f t="shared" si="15"/>
        <v/>
      </c>
    </row>
    <row r="947" spans="1:19" ht="12.75">
      <c r="A947" s="15" t="str">
        <v/>
      </c>
      <c r="B947" s="15" t="str">
        <v/>
      </c>
      <c r="C947" s="15" t="str" cm="1">
        <f t="array" ref="C947">IFERROR(_xlfn.TEXTJOIN("",TRUE,_xlfn._xlws.FILTER(MID(S947,_xlfn.SEQUENCE(LEN(S947)),1),ISNUMBER(SEARCH(MID(S947,_xlfn.SEQUENCE(LEN(S947)),1),"ABCDEFGHIJKLMNOPQRSTUVWXYZabcdefghijklmnopqrstuvwxyz0123456789,")))),"")</f>
        <v/>
      </c>
      <c r="D947" s="15" t="str">
        <v/>
      </c>
      <c r="E947" s="16" t="str">
        <v/>
      </c>
      <c r="F947" s="15" t="str">
        <v/>
      </c>
      <c r="G947" s="20" t="str" cm="1">
        <f t="array" ref="G947">IF(TRIM(P947)="","",IF(SUM(COUNTIF(P947,{"*NLGD*","*FWG*"}))&gt;0,P947,IF(SUM(COUNTIF(P947,{"*GL*","*DGB*","*DGI*","*GT*","*CS*","*PWU*","*DBI*","*SWU*"}))=0,P947,IF(IFERROR(VALUE(SUBSTITUTE(SUBSTITUTE(O947,"W",""),"""","")),0)&gt;52,P947&amp;"-OVRSIZE-",P947))))</f>
        <v/>
      </c>
      <c r="H947" s="15" t="str">
        <v/>
      </c>
      <c r="I947" s="15" t="str">
        <v/>
      </c>
      <c r="J947" s="15" t="str">
        <v/>
      </c>
      <c r="K947" s="15" t="str">
        <v/>
      </c>
      <c r="L947" s="15" t="str">
        <v/>
      </c>
      <c r="M947" s="10" t="str">
        <v/>
      </c>
      <c r="N947" s="14"/>
      <c r="O947" s="15" t="str" cm="1">
        <f t="array" ref="O947">IFERROR(_xlfn.LET(
_xlpm.clean,TRIM(SUBSTITUTE(SUBSTITUTE(P947,CHAR(160),"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7" s="15"/>
      <c r="R947" t="str">
        <v/>
      </c>
      <c r="S947" t="str">
        <f t="shared" si="15"/>
        <v/>
      </c>
    </row>
    <row r="948" spans="1:19" ht="12.75">
      <c r="A948" s="15" t="str">
        <v/>
      </c>
      <c r="B948" s="15" t="str">
        <v/>
      </c>
      <c r="C948" s="15" t="str" cm="1">
        <f t="array" ref="C948">IFERROR(_xlfn.TEXTJOIN("",TRUE,_xlfn._xlws.FILTER(MID(S948,_xlfn.SEQUENCE(LEN(S948)),1),ISNUMBER(SEARCH(MID(S948,_xlfn.SEQUENCE(LEN(S948)),1),"ABCDEFGHIJKLMNOPQRSTUVWXYZabcdefghijklmnopqrstuvwxyz0123456789,")))),"")</f>
        <v/>
      </c>
      <c r="D948" s="15" t="str">
        <v/>
      </c>
      <c r="E948" s="16" t="str">
        <v/>
      </c>
      <c r="F948" s="15" t="str">
        <v/>
      </c>
      <c r="G948" s="20" t="str" cm="1">
        <f t="array" ref="G948">IF(TRIM(P948)="","",IF(SUM(COUNTIF(P948,{"*NLGD*","*FWG*"}))&gt;0,P948,IF(SUM(COUNTIF(P948,{"*GL*","*DGB*","*DGI*","*GT*","*CS*","*PWU*","*DBI*","*SWU*"}))=0,P948,IF(IFERROR(VALUE(SUBSTITUTE(SUBSTITUTE(O948,"W",""),"""","")),0)&gt;52,P948&amp;"-OVRSIZE-",P948))))</f>
        <v/>
      </c>
      <c r="H948" s="15" t="str">
        <v/>
      </c>
      <c r="I948" s="15" t="str">
        <v/>
      </c>
      <c r="J948" s="15" t="str">
        <v/>
      </c>
      <c r="K948" s="15" t="str">
        <v/>
      </c>
      <c r="L948" s="15" t="str">
        <v/>
      </c>
      <c r="M948" s="10" t="str">
        <v/>
      </c>
      <c r="N948" s="14"/>
      <c r="O948" s="15" t="str" cm="1">
        <f t="array" ref="O948">IFERROR(_xlfn.LET(
_xlpm.clean,TRIM(SUBSTITUTE(SUBSTITUTE(P948,CHAR(160),"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8" s="15"/>
      <c r="R948" t="str">
        <v/>
      </c>
      <c r="S948" t="str">
        <f t="shared" si="15"/>
        <v/>
      </c>
    </row>
    <row r="949" spans="1:19" ht="12.75">
      <c r="A949" s="15" t="str">
        <v/>
      </c>
      <c r="B949" s="15" t="str">
        <v/>
      </c>
      <c r="C949" s="15" t="str" cm="1">
        <f t="array" ref="C949">IFERROR(_xlfn.TEXTJOIN("",TRUE,_xlfn._xlws.FILTER(MID(S949,_xlfn.SEQUENCE(LEN(S949)),1),ISNUMBER(SEARCH(MID(S949,_xlfn.SEQUENCE(LEN(S949)),1),"ABCDEFGHIJKLMNOPQRSTUVWXYZabcdefghijklmnopqrstuvwxyz0123456789,")))),"")</f>
        <v/>
      </c>
      <c r="D949" s="15" t="str">
        <v/>
      </c>
      <c r="E949" s="16" t="str">
        <v/>
      </c>
      <c r="F949" s="15" t="str">
        <v/>
      </c>
      <c r="G949" s="20" t="str" cm="1">
        <f t="array" ref="G949">IF(TRIM(P949)="","",IF(SUM(COUNTIF(P949,{"*NLGD*","*FWG*"}))&gt;0,P949,IF(SUM(COUNTIF(P949,{"*GL*","*DGB*","*DGI*","*GT*","*CS*","*PWU*","*DBI*","*SWU*"}))=0,P949,IF(IFERROR(VALUE(SUBSTITUTE(SUBSTITUTE(O949,"W",""),"""","")),0)&gt;52,P949&amp;"-OVRSIZE-",P949))))</f>
        <v/>
      </c>
      <c r="H949" s="15" t="str">
        <v/>
      </c>
      <c r="I949" s="15" t="str">
        <v/>
      </c>
      <c r="J949" s="15" t="str">
        <v/>
      </c>
      <c r="K949" s="15" t="str">
        <v/>
      </c>
      <c r="L949" s="15" t="str">
        <v/>
      </c>
      <c r="M949" s="10" t="str">
        <v/>
      </c>
      <c r="N949" s="14"/>
      <c r="O949" s="15" t="str" cm="1">
        <f t="array" ref="O949">IFERROR(_xlfn.LET(
_xlpm.clean,TRIM(SUBSTITUTE(SUBSTITUTE(P949,CHAR(160),"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9" s="15"/>
      <c r="R949" t="str">
        <v/>
      </c>
      <c r="S949" t="str">
        <f t="shared" si="15"/>
        <v/>
      </c>
    </row>
    <row r="950" spans="1:19" ht="12.75">
      <c r="A950" s="15" t="str">
        <v/>
      </c>
      <c r="B950" s="15" t="str">
        <v/>
      </c>
      <c r="C950" s="15" t="str" cm="1">
        <f t="array" ref="C950">IFERROR(_xlfn.TEXTJOIN("",TRUE,_xlfn._xlws.FILTER(MID(S950,_xlfn.SEQUENCE(LEN(S950)),1),ISNUMBER(SEARCH(MID(S950,_xlfn.SEQUENCE(LEN(S950)),1),"ABCDEFGHIJKLMNOPQRSTUVWXYZabcdefghijklmnopqrstuvwxyz0123456789,")))),"")</f>
        <v/>
      </c>
      <c r="D950" s="15" t="str">
        <v/>
      </c>
      <c r="E950" s="16" t="str">
        <v/>
      </c>
      <c r="F950" s="15" t="str">
        <v/>
      </c>
      <c r="G950" s="20" t="str" cm="1">
        <f t="array" ref="G950">IF(TRIM(P950)="","",IF(SUM(COUNTIF(P950,{"*NLGD*","*FWG*"}))&gt;0,P950,IF(SUM(COUNTIF(P950,{"*GL*","*DGB*","*DGI*","*GT*","*CS*","*PWU*","*DBI*","*SWU*"}))=0,P950,IF(IFERROR(VALUE(SUBSTITUTE(SUBSTITUTE(O950,"W",""),"""","")),0)&gt;52,P950&amp;"-OVRSIZE-",P950))))</f>
        <v/>
      </c>
      <c r="H950" s="15" t="str">
        <v/>
      </c>
      <c r="I950" s="15" t="str">
        <v/>
      </c>
      <c r="J950" s="15" t="str">
        <v/>
      </c>
      <c r="K950" s="15" t="str">
        <v/>
      </c>
      <c r="L950" s="15" t="str">
        <v/>
      </c>
      <c r="M950" s="10" t="str">
        <v/>
      </c>
      <c r="N950" s="14"/>
      <c r="O950" s="15" t="str" cm="1">
        <f t="array" ref="O950">IFERROR(_xlfn.LET(
_xlpm.clean,TRIM(SUBSTITUTE(SUBSTITUTE(P950,CHAR(160),"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0" s="15"/>
      <c r="R950" t="str">
        <v/>
      </c>
      <c r="S950" t="str">
        <f t="shared" si="15"/>
        <v/>
      </c>
    </row>
    <row r="951" spans="1:19" ht="12.75">
      <c r="A951" s="15" t="str">
        <v/>
      </c>
      <c r="B951" s="15" t="str">
        <v/>
      </c>
      <c r="C951" s="15" t="str" cm="1">
        <f t="array" ref="C951">IFERROR(_xlfn.TEXTJOIN("",TRUE,_xlfn._xlws.FILTER(MID(S951,_xlfn.SEQUENCE(LEN(S951)),1),ISNUMBER(SEARCH(MID(S951,_xlfn.SEQUENCE(LEN(S951)),1),"ABCDEFGHIJKLMNOPQRSTUVWXYZabcdefghijklmnopqrstuvwxyz0123456789,")))),"")</f>
        <v/>
      </c>
      <c r="D951" s="15" t="str">
        <v/>
      </c>
      <c r="E951" s="16" t="str">
        <v/>
      </c>
      <c r="F951" s="15" t="str">
        <v/>
      </c>
      <c r="G951" s="20" t="str" cm="1">
        <f t="array" ref="G951">IF(TRIM(P951)="","",IF(SUM(COUNTIF(P951,{"*NLGD*","*FWG*"}))&gt;0,P951,IF(SUM(COUNTIF(P951,{"*GL*","*DGB*","*DGI*","*GT*","*CS*","*PWU*","*DBI*","*SWU*"}))=0,P951,IF(IFERROR(VALUE(SUBSTITUTE(SUBSTITUTE(O951,"W",""),"""","")),0)&gt;52,P951&amp;"-OVRSIZE-",P951))))</f>
        <v/>
      </c>
      <c r="H951" s="15" t="str">
        <v/>
      </c>
      <c r="I951" s="15" t="str">
        <v/>
      </c>
      <c r="J951" s="15" t="str">
        <v/>
      </c>
      <c r="K951" s="15" t="str">
        <v/>
      </c>
      <c r="L951" s="15" t="str">
        <v/>
      </c>
      <c r="M951" s="10" t="str">
        <v/>
      </c>
      <c r="N951" s="14"/>
      <c r="O951" s="15" t="str" cm="1">
        <f t="array" ref="O951">IFERROR(_xlfn.LET(
_xlpm.clean,TRIM(SUBSTITUTE(SUBSTITUTE(P951,CHAR(160),"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1" s="15"/>
      <c r="R951" t="str">
        <v/>
      </c>
      <c r="S951" t="str">
        <f t="shared" si="15"/>
        <v/>
      </c>
    </row>
    <row r="952" spans="1:19" ht="12.75">
      <c r="A952" s="15" t="str">
        <v/>
      </c>
      <c r="B952" s="15" t="str">
        <v/>
      </c>
      <c r="C952" s="15" t="str" cm="1">
        <f t="array" ref="C952">IFERROR(_xlfn.TEXTJOIN("",TRUE,_xlfn._xlws.FILTER(MID(S952,_xlfn.SEQUENCE(LEN(S952)),1),ISNUMBER(SEARCH(MID(S952,_xlfn.SEQUENCE(LEN(S952)),1),"ABCDEFGHIJKLMNOPQRSTUVWXYZabcdefghijklmnopqrstuvwxyz0123456789,")))),"")</f>
        <v/>
      </c>
      <c r="D952" s="15" t="str">
        <v/>
      </c>
      <c r="E952" s="16" t="str">
        <v/>
      </c>
      <c r="F952" s="15" t="str">
        <v/>
      </c>
      <c r="G952" s="20" t="str" cm="1">
        <f t="array" ref="G952">IF(TRIM(P952)="","",IF(SUM(COUNTIF(P952,{"*NLGD*","*FWG*"}))&gt;0,P952,IF(SUM(COUNTIF(P952,{"*GL*","*DGB*","*DGI*","*GT*","*CS*","*PWU*","*DBI*","*SWU*"}))=0,P952,IF(IFERROR(VALUE(SUBSTITUTE(SUBSTITUTE(O952,"W",""),"""","")),0)&gt;52,P952&amp;"-OVRSIZE-",P952))))</f>
        <v/>
      </c>
      <c r="H952" s="15" t="str">
        <v/>
      </c>
      <c r="I952" s="15" t="str">
        <v/>
      </c>
      <c r="J952" s="15" t="str">
        <v/>
      </c>
      <c r="K952" s="15" t="str">
        <v/>
      </c>
      <c r="L952" s="15" t="str">
        <v/>
      </c>
      <c r="M952" s="10" t="str">
        <v/>
      </c>
      <c r="N952" s="14"/>
      <c r="O952" s="15" t="str" cm="1">
        <f t="array" ref="O952">IFERROR(_xlfn.LET(
_xlpm.clean,TRIM(SUBSTITUTE(SUBSTITUTE(P952,CHAR(160),"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2" s="15"/>
      <c r="R952" t="str">
        <v/>
      </c>
      <c r="S952" t="str">
        <f t="shared" si="15"/>
        <v/>
      </c>
    </row>
    <row r="953" spans="1:19" ht="12.75">
      <c r="A953" s="15" t="str">
        <v/>
      </c>
      <c r="B953" s="15" t="str">
        <v/>
      </c>
      <c r="C953" s="15" t="str" cm="1">
        <f t="array" ref="C953">IFERROR(_xlfn.TEXTJOIN("",TRUE,_xlfn._xlws.FILTER(MID(S953,_xlfn.SEQUENCE(LEN(S953)),1),ISNUMBER(SEARCH(MID(S953,_xlfn.SEQUENCE(LEN(S953)),1),"ABCDEFGHIJKLMNOPQRSTUVWXYZabcdefghijklmnopqrstuvwxyz0123456789,")))),"")</f>
        <v/>
      </c>
      <c r="D953" s="15" t="str">
        <v/>
      </c>
      <c r="E953" s="16" t="str">
        <v/>
      </c>
      <c r="F953" s="15" t="str">
        <v/>
      </c>
      <c r="G953" s="20" t="str" cm="1">
        <f t="array" ref="G953">IF(TRIM(P953)="","",IF(SUM(COUNTIF(P953,{"*NLGD*","*FWG*"}))&gt;0,P953,IF(SUM(COUNTIF(P953,{"*GL*","*DGB*","*DGI*","*GT*","*CS*","*PWU*","*DBI*","*SWU*"}))=0,P953,IF(IFERROR(VALUE(SUBSTITUTE(SUBSTITUTE(O953,"W",""),"""","")),0)&gt;52,P953&amp;"-OVRSIZE-",P953))))</f>
        <v/>
      </c>
      <c r="H953" s="15" t="str">
        <v/>
      </c>
      <c r="I953" s="15" t="str">
        <v/>
      </c>
      <c r="J953" s="15" t="str">
        <v/>
      </c>
      <c r="K953" s="15" t="str">
        <v/>
      </c>
      <c r="L953" s="15" t="str">
        <v/>
      </c>
      <c r="M953" s="10" t="str">
        <v/>
      </c>
      <c r="N953" s="14"/>
      <c r="O953" s="15" t="str" cm="1">
        <f t="array" ref="O953">IFERROR(_xlfn.LET(
_xlpm.clean,TRIM(SUBSTITUTE(SUBSTITUTE(P953,CHAR(160),"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3" s="15"/>
      <c r="R953" t="str">
        <v/>
      </c>
      <c r="S953" t="str">
        <f t="shared" si="15"/>
        <v/>
      </c>
    </row>
    <row r="954" spans="1:19" ht="12.75">
      <c r="A954" s="15" t="str">
        <v/>
      </c>
      <c r="B954" s="15" t="str">
        <v/>
      </c>
      <c r="C954" s="15" t="str" cm="1">
        <f t="array" ref="C954">IFERROR(_xlfn.TEXTJOIN("",TRUE,_xlfn._xlws.FILTER(MID(S954,_xlfn.SEQUENCE(LEN(S954)),1),ISNUMBER(SEARCH(MID(S954,_xlfn.SEQUENCE(LEN(S954)),1),"ABCDEFGHIJKLMNOPQRSTUVWXYZabcdefghijklmnopqrstuvwxyz0123456789,")))),"")</f>
        <v/>
      </c>
      <c r="D954" s="15" t="str">
        <v/>
      </c>
      <c r="E954" s="16" t="str">
        <v/>
      </c>
      <c r="F954" s="15" t="str">
        <v/>
      </c>
      <c r="G954" s="20" t="str" cm="1">
        <f t="array" ref="G954">IF(TRIM(P954)="","",IF(SUM(COUNTIF(P954,{"*NLGD*","*FWG*"}))&gt;0,P954,IF(SUM(COUNTIF(P954,{"*GL*","*DGB*","*DGI*","*GT*","*CS*","*PWU*","*DBI*","*SWU*"}))=0,P954,IF(IFERROR(VALUE(SUBSTITUTE(SUBSTITUTE(O954,"W",""),"""","")),0)&gt;52,P954&amp;"-OVRSIZE-",P954))))</f>
        <v/>
      </c>
      <c r="H954" s="15" t="str">
        <v/>
      </c>
      <c r="I954" s="15" t="str">
        <v/>
      </c>
      <c r="J954" s="15" t="str">
        <v/>
      </c>
      <c r="K954" s="15" t="str">
        <v/>
      </c>
      <c r="L954" s="15" t="str">
        <v/>
      </c>
      <c r="M954" s="10" t="str">
        <v/>
      </c>
      <c r="N954" s="14"/>
      <c r="O954" s="15" t="str" cm="1">
        <f t="array" ref="O954">IFERROR(_xlfn.LET(
_xlpm.clean,TRIM(SUBSTITUTE(SUBSTITUTE(P954,CHAR(160),"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4" s="15"/>
      <c r="R954" t="str">
        <v/>
      </c>
      <c r="S954" t="str">
        <f t="shared" si="15"/>
        <v/>
      </c>
    </row>
    <row r="955" spans="1:19" ht="12.75">
      <c r="A955" s="15" t="str">
        <v/>
      </c>
      <c r="B955" s="15" t="str">
        <v/>
      </c>
      <c r="C955" s="15" t="str" cm="1">
        <f t="array" ref="C955">IFERROR(_xlfn.TEXTJOIN("",TRUE,_xlfn._xlws.FILTER(MID(S955,_xlfn.SEQUENCE(LEN(S955)),1),ISNUMBER(SEARCH(MID(S955,_xlfn.SEQUENCE(LEN(S955)),1),"ABCDEFGHIJKLMNOPQRSTUVWXYZabcdefghijklmnopqrstuvwxyz0123456789,")))),"")</f>
        <v/>
      </c>
      <c r="D955" s="15" t="str">
        <v/>
      </c>
      <c r="E955" s="16" t="str">
        <v/>
      </c>
      <c r="F955" s="15" t="str">
        <v/>
      </c>
      <c r="G955" s="20" t="str" cm="1">
        <f t="array" ref="G955">IF(TRIM(P955)="","",IF(SUM(COUNTIF(P955,{"*NLGD*","*FWG*"}))&gt;0,P955,IF(SUM(COUNTIF(P955,{"*GL*","*DGB*","*DGI*","*GT*","*CS*","*PWU*","*DBI*","*SWU*"}))=0,P955,IF(IFERROR(VALUE(SUBSTITUTE(SUBSTITUTE(O955,"W",""),"""","")),0)&gt;52,P955&amp;"-OVRSIZE-",P955))))</f>
        <v/>
      </c>
      <c r="H955" s="15" t="str">
        <v/>
      </c>
      <c r="I955" s="15" t="str">
        <v/>
      </c>
      <c r="J955" s="15" t="str">
        <v/>
      </c>
      <c r="K955" s="15" t="str">
        <v/>
      </c>
      <c r="L955" s="15" t="str">
        <v/>
      </c>
      <c r="M955" s="10" t="str">
        <v/>
      </c>
      <c r="N955" s="14"/>
      <c r="O955" s="15" t="str" cm="1">
        <f t="array" ref="O955">IFERROR(_xlfn.LET(
_xlpm.clean,TRIM(SUBSTITUTE(SUBSTITUTE(P955,CHAR(160),"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5" s="15"/>
      <c r="R955" t="str">
        <v/>
      </c>
      <c r="S955" t="str">
        <f t="shared" si="15"/>
        <v/>
      </c>
    </row>
    <row r="956" spans="1:19" ht="12.75">
      <c r="A956" s="15" t="str">
        <v/>
      </c>
      <c r="B956" s="15" t="str">
        <v/>
      </c>
      <c r="C956" s="15" t="str" cm="1">
        <f t="array" ref="C956">IFERROR(_xlfn.TEXTJOIN("",TRUE,_xlfn._xlws.FILTER(MID(S956,_xlfn.SEQUENCE(LEN(S956)),1),ISNUMBER(SEARCH(MID(S956,_xlfn.SEQUENCE(LEN(S956)),1),"ABCDEFGHIJKLMNOPQRSTUVWXYZabcdefghijklmnopqrstuvwxyz0123456789,")))),"")</f>
        <v/>
      </c>
      <c r="D956" s="15" t="str">
        <v/>
      </c>
      <c r="E956" s="16" t="str">
        <v/>
      </c>
      <c r="F956" s="15" t="str">
        <v/>
      </c>
      <c r="G956" s="20" t="str" cm="1">
        <f t="array" ref="G956">IF(TRIM(P956)="","",IF(SUM(COUNTIF(P956,{"*NLGD*","*FWG*"}))&gt;0,P956,IF(SUM(COUNTIF(P956,{"*GL*","*DGB*","*DGI*","*GT*","*CS*","*PWU*","*DBI*","*SWU*"}))=0,P956,IF(IFERROR(VALUE(SUBSTITUTE(SUBSTITUTE(O956,"W",""),"""","")),0)&gt;52,P956&amp;"-OVRSIZE-",P956))))</f>
        <v/>
      </c>
      <c r="H956" s="15" t="str">
        <v/>
      </c>
      <c r="I956" s="15" t="str">
        <v/>
      </c>
      <c r="J956" s="15" t="str">
        <v/>
      </c>
      <c r="K956" s="15" t="str">
        <v/>
      </c>
      <c r="L956" s="15" t="str">
        <v/>
      </c>
      <c r="M956" s="10" t="str">
        <v/>
      </c>
      <c r="N956" s="14"/>
      <c r="O956" s="15" t="str" cm="1">
        <f t="array" ref="O956">IFERROR(_xlfn.LET(
_xlpm.clean,TRIM(SUBSTITUTE(SUBSTITUTE(P956,CHAR(160),"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6" s="15"/>
      <c r="R956" t="str">
        <v/>
      </c>
      <c r="S956" t="str">
        <f t="shared" si="15"/>
        <v/>
      </c>
    </row>
    <row r="957" spans="1:19" ht="12.75">
      <c r="A957" s="15" t="str">
        <v/>
      </c>
      <c r="B957" s="15" t="str">
        <v/>
      </c>
      <c r="C957" s="15" t="str" cm="1">
        <f t="array" ref="C957">IFERROR(_xlfn.TEXTJOIN("",TRUE,_xlfn._xlws.FILTER(MID(S957,_xlfn.SEQUENCE(LEN(S957)),1),ISNUMBER(SEARCH(MID(S957,_xlfn.SEQUENCE(LEN(S957)),1),"ABCDEFGHIJKLMNOPQRSTUVWXYZabcdefghijklmnopqrstuvwxyz0123456789,")))),"")</f>
        <v/>
      </c>
      <c r="D957" s="15" t="str">
        <v/>
      </c>
      <c r="E957" s="16" t="str">
        <v/>
      </c>
      <c r="F957" s="15" t="str">
        <v/>
      </c>
      <c r="G957" s="20" t="str" cm="1">
        <f t="array" ref="G957">IF(TRIM(P957)="","",IF(SUM(COUNTIF(P957,{"*NLGD*","*FWG*"}))&gt;0,P957,IF(SUM(COUNTIF(P957,{"*GL*","*DGB*","*DGI*","*GT*","*CS*","*PWU*","*DBI*","*SWU*"}))=0,P957,IF(IFERROR(VALUE(SUBSTITUTE(SUBSTITUTE(O957,"W",""),"""","")),0)&gt;52,P957&amp;"-OVRSIZE-",P957))))</f>
        <v/>
      </c>
      <c r="H957" s="15" t="str">
        <v/>
      </c>
      <c r="I957" s="15" t="str">
        <v/>
      </c>
      <c r="J957" s="15" t="str">
        <v/>
      </c>
      <c r="K957" s="15" t="str">
        <v/>
      </c>
      <c r="L957" s="15" t="str">
        <v/>
      </c>
      <c r="M957" s="10" t="str">
        <v/>
      </c>
      <c r="N957" s="14"/>
      <c r="O957" s="15" t="str" cm="1">
        <f t="array" ref="O957">IFERROR(_xlfn.LET(
_xlpm.clean,TRIM(SUBSTITUTE(SUBSTITUTE(P957,CHAR(160),"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7" s="15"/>
      <c r="R957" t="str">
        <v/>
      </c>
      <c r="S957" t="str">
        <f t="shared" si="15"/>
        <v/>
      </c>
    </row>
    <row r="958" spans="1:19" ht="12.75">
      <c r="A958" s="15" t="str">
        <v/>
      </c>
      <c r="B958" s="15" t="str">
        <v/>
      </c>
      <c r="C958" s="15" t="str" cm="1">
        <f t="array" ref="C958">IFERROR(_xlfn.TEXTJOIN("",TRUE,_xlfn._xlws.FILTER(MID(S958,_xlfn.SEQUENCE(LEN(S958)),1),ISNUMBER(SEARCH(MID(S958,_xlfn.SEQUENCE(LEN(S958)),1),"ABCDEFGHIJKLMNOPQRSTUVWXYZabcdefghijklmnopqrstuvwxyz0123456789,")))),"")</f>
        <v/>
      </c>
      <c r="D958" s="15" t="str">
        <v/>
      </c>
      <c r="E958" s="16" t="str">
        <v/>
      </c>
      <c r="F958" s="15" t="str">
        <v/>
      </c>
      <c r="G958" s="20" t="str" cm="1">
        <f t="array" ref="G958">IF(TRIM(P958)="","",IF(SUM(COUNTIF(P958,{"*NLGD*","*FWG*"}))&gt;0,P958,IF(SUM(COUNTIF(P958,{"*GL*","*DGB*","*DGI*","*GT*","*CS*","*PWU*","*DBI*","*SWU*"}))=0,P958,IF(IFERROR(VALUE(SUBSTITUTE(SUBSTITUTE(O958,"W",""),"""","")),0)&gt;52,P958&amp;"-OVRSIZE-",P958))))</f>
        <v/>
      </c>
      <c r="H958" s="15" t="str">
        <v/>
      </c>
      <c r="I958" s="15" t="str">
        <v/>
      </c>
      <c r="J958" s="15" t="str">
        <v/>
      </c>
      <c r="K958" s="15" t="str">
        <v/>
      </c>
      <c r="L958" s="15" t="str">
        <v/>
      </c>
      <c r="M958" s="10" t="str">
        <v/>
      </c>
      <c r="N958" s="14"/>
      <c r="O958" s="15" t="str" cm="1">
        <f t="array" ref="O958">IFERROR(_xlfn.LET(
_xlpm.clean,TRIM(SUBSTITUTE(SUBSTITUTE(P958,CHAR(160),"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8" s="15"/>
      <c r="R958" t="str">
        <v/>
      </c>
      <c r="S958" t="str">
        <f t="shared" si="15"/>
        <v/>
      </c>
    </row>
    <row r="959" spans="1:19" ht="12.75">
      <c r="A959" s="15" t="str">
        <v/>
      </c>
      <c r="B959" s="15" t="str">
        <v/>
      </c>
      <c r="C959" s="15" t="str" cm="1">
        <f t="array" ref="C959">IFERROR(_xlfn.TEXTJOIN("",TRUE,_xlfn._xlws.FILTER(MID(S959,_xlfn.SEQUENCE(LEN(S959)),1),ISNUMBER(SEARCH(MID(S959,_xlfn.SEQUENCE(LEN(S959)),1),"ABCDEFGHIJKLMNOPQRSTUVWXYZabcdefghijklmnopqrstuvwxyz0123456789,")))),"")</f>
        <v/>
      </c>
      <c r="D959" s="15" t="str">
        <v/>
      </c>
      <c r="E959" s="16" t="str">
        <v/>
      </c>
      <c r="F959" s="15" t="str">
        <v/>
      </c>
      <c r="G959" s="20" t="str" cm="1">
        <f t="array" ref="G959">IF(TRIM(P959)="","",IF(SUM(COUNTIF(P959,{"*NLGD*","*FWG*"}))&gt;0,P959,IF(SUM(COUNTIF(P959,{"*GL*","*DGB*","*DGI*","*GT*","*CS*","*PWU*","*DBI*","*SWU*"}))=0,P959,IF(IFERROR(VALUE(SUBSTITUTE(SUBSTITUTE(O959,"W",""),"""","")),0)&gt;52,P959&amp;"-OVRSIZE-",P959))))</f>
        <v/>
      </c>
      <c r="H959" s="15" t="str">
        <v/>
      </c>
      <c r="I959" s="15" t="str">
        <v/>
      </c>
      <c r="J959" s="15" t="str">
        <v/>
      </c>
      <c r="K959" s="15" t="str">
        <v/>
      </c>
      <c r="L959" s="15" t="str">
        <v/>
      </c>
      <c r="M959" s="10" t="str">
        <v/>
      </c>
      <c r="N959" s="14"/>
      <c r="O959" s="15" t="str" cm="1">
        <f t="array" ref="O959">IFERROR(_xlfn.LET(
_xlpm.clean,TRIM(SUBSTITUTE(SUBSTITUTE(P959,CHAR(160),"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9" s="15"/>
      <c r="R959" t="str">
        <v/>
      </c>
      <c r="S959" t="str">
        <f t="shared" si="15"/>
        <v/>
      </c>
    </row>
    <row r="960" spans="1:19" ht="12.75">
      <c r="A960" s="15" t="str">
        <v/>
      </c>
      <c r="B960" s="15" t="str">
        <v/>
      </c>
      <c r="C960" s="15" t="str" cm="1">
        <f t="array" ref="C960">IFERROR(_xlfn.TEXTJOIN("",TRUE,_xlfn._xlws.FILTER(MID(S960,_xlfn.SEQUENCE(LEN(S960)),1),ISNUMBER(SEARCH(MID(S960,_xlfn.SEQUENCE(LEN(S960)),1),"ABCDEFGHIJKLMNOPQRSTUVWXYZabcdefghijklmnopqrstuvwxyz0123456789,")))),"")</f>
        <v/>
      </c>
      <c r="D960" s="15" t="str">
        <v/>
      </c>
      <c r="E960" s="16" t="str">
        <v/>
      </c>
      <c r="F960" s="15" t="str">
        <v/>
      </c>
      <c r="G960" s="20" t="str" cm="1">
        <f t="array" ref="G960">IF(TRIM(P960)="","",IF(SUM(COUNTIF(P960,{"*NLGD*","*FWG*"}))&gt;0,P960,IF(SUM(COUNTIF(P960,{"*GL*","*DGB*","*DGI*","*GT*","*CS*","*PWU*","*DBI*","*SWU*"}))=0,P960,IF(IFERROR(VALUE(SUBSTITUTE(SUBSTITUTE(O960,"W",""),"""","")),0)&gt;52,P960&amp;"-OVRSIZE-",P960))))</f>
        <v/>
      </c>
      <c r="H960" s="15" t="str">
        <v/>
      </c>
      <c r="I960" s="15" t="str">
        <v/>
      </c>
      <c r="J960" s="15" t="str">
        <v/>
      </c>
      <c r="K960" s="15" t="str">
        <v/>
      </c>
      <c r="L960" s="15" t="str">
        <v/>
      </c>
      <c r="M960" s="10" t="str">
        <v/>
      </c>
      <c r="N960" s="14"/>
      <c r="O960" s="15" t="str" cm="1">
        <f t="array" ref="O960">IFERROR(_xlfn.LET(
_xlpm.clean,TRIM(SUBSTITUTE(SUBSTITUTE(P960,CHAR(160),"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0" s="15"/>
      <c r="R960" t="str">
        <v/>
      </c>
      <c r="S960" t="str">
        <f t="shared" si="15"/>
        <v/>
      </c>
    </row>
    <row r="961" spans="1:19" ht="12.75">
      <c r="A961" s="15" t="str">
        <v/>
      </c>
      <c r="B961" s="15" t="str">
        <v/>
      </c>
      <c r="C961" s="15" t="str" cm="1">
        <f t="array" ref="C961">IFERROR(_xlfn.TEXTJOIN("",TRUE,_xlfn._xlws.FILTER(MID(S961,_xlfn.SEQUENCE(LEN(S961)),1),ISNUMBER(SEARCH(MID(S961,_xlfn.SEQUENCE(LEN(S961)),1),"ABCDEFGHIJKLMNOPQRSTUVWXYZabcdefghijklmnopqrstuvwxyz0123456789,")))),"")</f>
        <v/>
      </c>
      <c r="D961" s="15" t="str">
        <v/>
      </c>
      <c r="E961" s="16" t="str">
        <v/>
      </c>
      <c r="F961" s="15" t="str">
        <v/>
      </c>
      <c r="G961" s="20" t="str" cm="1">
        <f t="array" ref="G961">IF(TRIM(P961)="","",IF(SUM(COUNTIF(P961,{"*NLGD*","*FWG*"}))&gt;0,P961,IF(SUM(COUNTIF(P961,{"*GL*","*DGB*","*DGI*","*GT*","*CS*","*PWU*","*DBI*","*SWU*"}))=0,P961,IF(IFERROR(VALUE(SUBSTITUTE(SUBSTITUTE(O961,"W",""),"""","")),0)&gt;52,P961&amp;"-OVRSIZE-",P961))))</f>
        <v/>
      </c>
      <c r="H961" s="15" t="str">
        <v/>
      </c>
      <c r="I961" s="15" t="str">
        <v/>
      </c>
      <c r="J961" s="15" t="str">
        <v/>
      </c>
      <c r="K961" s="15" t="str">
        <v/>
      </c>
      <c r="L961" s="15" t="str">
        <v/>
      </c>
      <c r="M961" s="10" t="str">
        <v/>
      </c>
      <c r="N961" s="14"/>
      <c r="O961" s="15" t="str" cm="1">
        <f t="array" ref="O961">IFERROR(_xlfn.LET(
_xlpm.clean,TRIM(SUBSTITUTE(SUBSTITUTE(P961,CHAR(160),"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1" s="15"/>
      <c r="R961" t="str">
        <v/>
      </c>
      <c r="S961" t="str">
        <f t="shared" si="15"/>
        <v/>
      </c>
    </row>
    <row r="962" spans="1:19" ht="12.75">
      <c r="A962" s="15" t="str">
        <v/>
      </c>
      <c r="B962" s="15" t="str">
        <v/>
      </c>
      <c r="C962" s="15" t="str" cm="1">
        <f t="array" ref="C962">IFERROR(_xlfn.TEXTJOIN("",TRUE,_xlfn._xlws.FILTER(MID(S962,_xlfn.SEQUENCE(LEN(S962)),1),ISNUMBER(SEARCH(MID(S962,_xlfn.SEQUENCE(LEN(S962)),1),"ABCDEFGHIJKLMNOPQRSTUVWXYZabcdefghijklmnopqrstuvwxyz0123456789,")))),"")</f>
        <v/>
      </c>
      <c r="D962" s="15" t="str">
        <v/>
      </c>
      <c r="E962" s="16" t="str">
        <v/>
      </c>
      <c r="F962" s="15" t="str">
        <v/>
      </c>
      <c r="G962" s="20" t="str" cm="1">
        <f t="array" ref="G962">IF(TRIM(P962)="","",IF(SUM(COUNTIF(P962,{"*NLGD*","*FWG*"}))&gt;0,P962,IF(SUM(COUNTIF(P962,{"*GL*","*DGB*","*DGI*","*GT*","*CS*","*PWU*","*DBI*","*SWU*"}))=0,P962,IF(IFERROR(VALUE(SUBSTITUTE(SUBSTITUTE(O962,"W",""),"""","")),0)&gt;52,P962&amp;"-OVRSIZE-",P962))))</f>
        <v/>
      </c>
      <c r="H962" s="15" t="str">
        <v/>
      </c>
      <c r="I962" s="15" t="str">
        <v/>
      </c>
      <c r="J962" s="15" t="str">
        <v/>
      </c>
      <c r="K962" s="15" t="str">
        <v/>
      </c>
      <c r="L962" s="15" t="str">
        <v/>
      </c>
      <c r="M962" s="10" t="str">
        <v/>
      </c>
      <c r="N962" s="14"/>
      <c r="O962" s="15" t="str" cm="1">
        <f t="array" ref="O962">IFERROR(_xlfn.LET(
_xlpm.clean,TRIM(SUBSTITUTE(SUBSTITUTE(P962,CHAR(160),"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2" s="15"/>
      <c r="R962" t="str">
        <v/>
      </c>
      <c r="S962" t="str">
        <f t="shared" si="15"/>
        <v/>
      </c>
    </row>
    <row r="963" spans="1:19" ht="12.75">
      <c r="A963" s="15" t="str">
        <v/>
      </c>
      <c r="B963" s="15" t="str">
        <v/>
      </c>
      <c r="C963" s="15" t="str" cm="1">
        <f t="array" ref="C963">IFERROR(_xlfn.TEXTJOIN("",TRUE,_xlfn._xlws.FILTER(MID(S963,_xlfn.SEQUENCE(LEN(S963)),1),ISNUMBER(SEARCH(MID(S963,_xlfn.SEQUENCE(LEN(S963)),1),"ABCDEFGHIJKLMNOPQRSTUVWXYZabcdefghijklmnopqrstuvwxyz0123456789,")))),"")</f>
        <v/>
      </c>
      <c r="D963" s="15" t="str">
        <v/>
      </c>
      <c r="E963" s="16" t="str">
        <v/>
      </c>
      <c r="F963" s="15" t="str">
        <v/>
      </c>
      <c r="G963" s="20" t="str" cm="1">
        <f t="array" ref="G963">IF(TRIM(P963)="","",IF(SUM(COUNTIF(P963,{"*NLGD*","*FWG*"}))&gt;0,P963,IF(SUM(COUNTIF(P963,{"*GL*","*DGB*","*DGI*","*GT*","*CS*","*PWU*","*DBI*","*SWU*"}))=0,P963,IF(IFERROR(VALUE(SUBSTITUTE(SUBSTITUTE(O963,"W",""),"""","")),0)&gt;52,P963&amp;"-OVRSIZE-",P963))))</f>
        <v/>
      </c>
      <c r="H963" s="15" t="str">
        <v/>
      </c>
      <c r="I963" s="15" t="str">
        <v/>
      </c>
      <c r="J963" s="15" t="str">
        <v/>
      </c>
      <c r="K963" s="15" t="str">
        <v/>
      </c>
      <c r="L963" s="15" t="str">
        <v/>
      </c>
      <c r="M963" s="10" t="str">
        <v/>
      </c>
      <c r="N963" s="14"/>
      <c r="O963" s="15" t="str" cm="1">
        <f t="array" ref="O963">IFERROR(_xlfn.LET(
_xlpm.clean,TRIM(SUBSTITUTE(SUBSTITUTE(P963,CHAR(160),"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3" s="15"/>
      <c r="R963" t="str">
        <v/>
      </c>
      <c r="S963" t="str">
        <f t="shared" si="15"/>
        <v/>
      </c>
    </row>
    <row r="964" spans="1:19" ht="12.75">
      <c r="A964" s="15" t="str">
        <v/>
      </c>
      <c r="B964" s="15" t="str">
        <v/>
      </c>
      <c r="C964" s="15" t="str" cm="1">
        <f t="array" ref="C964">IFERROR(_xlfn.TEXTJOIN("",TRUE,_xlfn._xlws.FILTER(MID(S964,_xlfn.SEQUENCE(LEN(S964)),1),ISNUMBER(SEARCH(MID(S964,_xlfn.SEQUENCE(LEN(S964)),1),"ABCDEFGHIJKLMNOPQRSTUVWXYZabcdefghijklmnopqrstuvwxyz0123456789,")))),"")</f>
        <v/>
      </c>
      <c r="D964" s="15" t="str">
        <v/>
      </c>
      <c r="E964" s="16" t="str">
        <v/>
      </c>
      <c r="F964" s="15" t="str">
        <v/>
      </c>
      <c r="G964" s="20" t="str" cm="1">
        <f t="array" ref="G964">IF(TRIM(P964)="","",IF(SUM(COUNTIF(P964,{"*NLGD*","*FWG*"}))&gt;0,P964,IF(SUM(COUNTIF(P964,{"*GL*","*DGB*","*DGI*","*GT*","*CS*","*PWU*","*DBI*","*SWU*"}))=0,P964,IF(IFERROR(VALUE(SUBSTITUTE(SUBSTITUTE(O964,"W",""),"""","")),0)&gt;52,P964&amp;"-OVRSIZE-",P964))))</f>
        <v/>
      </c>
      <c r="H964" s="15" t="str">
        <v/>
      </c>
      <c r="I964" s="15" t="str">
        <v/>
      </c>
      <c r="J964" s="15" t="str">
        <v/>
      </c>
      <c r="K964" s="15" t="str">
        <v/>
      </c>
      <c r="L964" s="15" t="str">
        <v/>
      </c>
      <c r="M964" s="10" t="str">
        <v/>
      </c>
      <c r="N964" s="14"/>
      <c r="O964" s="15" t="str" cm="1">
        <f t="array" ref="O964">IFERROR(_xlfn.LET(
_xlpm.clean,TRIM(SUBSTITUTE(SUBSTITUTE(P964,CHAR(160),"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4" s="15"/>
      <c r="R964" t="str">
        <v/>
      </c>
      <c r="S964" t="str">
        <f t="shared" si="15"/>
        <v/>
      </c>
    </row>
    <row r="965" spans="1:19" ht="12.75">
      <c r="A965" s="15" t="str">
        <v/>
      </c>
      <c r="B965" s="15" t="str">
        <v/>
      </c>
      <c r="C965" s="15" t="str" cm="1">
        <f t="array" ref="C965">IFERROR(_xlfn.TEXTJOIN("",TRUE,_xlfn._xlws.FILTER(MID(S965,_xlfn.SEQUENCE(LEN(S965)),1),ISNUMBER(SEARCH(MID(S965,_xlfn.SEQUENCE(LEN(S965)),1),"ABCDEFGHIJKLMNOPQRSTUVWXYZabcdefghijklmnopqrstuvwxyz0123456789,")))),"")</f>
        <v/>
      </c>
      <c r="D965" s="15" t="str">
        <v/>
      </c>
      <c r="E965" s="16" t="str">
        <v/>
      </c>
      <c r="F965" s="15" t="str">
        <v/>
      </c>
      <c r="G965" s="20" t="str" cm="1">
        <f t="array" ref="G965">IF(TRIM(P965)="","",IF(SUM(COUNTIF(P965,{"*NLGD*","*FWG*"}))&gt;0,P965,IF(SUM(COUNTIF(P965,{"*GL*","*DGB*","*DGI*","*GT*","*CS*","*PWU*","*DBI*","*SWU*"}))=0,P965,IF(IFERROR(VALUE(SUBSTITUTE(SUBSTITUTE(O965,"W",""),"""","")),0)&gt;52,P965&amp;"-OVRSIZE-",P965))))</f>
        <v/>
      </c>
      <c r="H965" s="15" t="str">
        <v/>
      </c>
      <c r="I965" s="15" t="str">
        <v/>
      </c>
      <c r="J965" s="15" t="str">
        <v/>
      </c>
      <c r="K965" s="15" t="str">
        <v/>
      </c>
      <c r="L965" s="15" t="str">
        <v/>
      </c>
      <c r="M965" s="10" t="str">
        <v/>
      </c>
      <c r="N965" s="14"/>
      <c r="O965" s="15" t="str" cm="1">
        <f t="array" ref="O965">IFERROR(_xlfn.LET(
_xlpm.clean,TRIM(SUBSTITUTE(SUBSTITUTE(P965,CHAR(160),"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5" s="15"/>
      <c r="R965" t="str">
        <v/>
      </c>
      <c r="S965" t="str">
        <f t="shared" si="15"/>
        <v/>
      </c>
    </row>
    <row r="966" spans="1:19" ht="12.75">
      <c r="A966" s="15" t="str">
        <v/>
      </c>
      <c r="B966" s="15" t="str">
        <v/>
      </c>
      <c r="C966" s="15" t="str" cm="1">
        <f t="array" ref="C966">IFERROR(_xlfn.TEXTJOIN("",TRUE,_xlfn._xlws.FILTER(MID(S966,_xlfn.SEQUENCE(LEN(S966)),1),ISNUMBER(SEARCH(MID(S966,_xlfn.SEQUENCE(LEN(S966)),1),"ABCDEFGHIJKLMNOPQRSTUVWXYZabcdefghijklmnopqrstuvwxyz0123456789,")))),"")</f>
        <v/>
      </c>
      <c r="D966" s="15" t="str">
        <v/>
      </c>
      <c r="E966" s="16" t="str">
        <v/>
      </c>
      <c r="F966" s="15" t="str">
        <v/>
      </c>
      <c r="G966" s="20" t="str" cm="1">
        <f t="array" ref="G966">IF(TRIM(P966)="","",IF(SUM(COUNTIF(P966,{"*NLGD*","*FWG*"}))&gt;0,P966,IF(SUM(COUNTIF(P966,{"*GL*","*DGB*","*DGI*","*GT*","*CS*","*PWU*","*DBI*","*SWU*"}))=0,P966,IF(IFERROR(VALUE(SUBSTITUTE(SUBSTITUTE(O966,"W",""),"""","")),0)&gt;52,P966&amp;"-OVRSIZE-",P966))))</f>
        <v/>
      </c>
      <c r="H966" s="15" t="str">
        <v/>
      </c>
      <c r="I966" s="15" t="str">
        <v/>
      </c>
      <c r="J966" s="15" t="str">
        <v/>
      </c>
      <c r="K966" s="15" t="str">
        <v/>
      </c>
      <c r="L966" s="15" t="str">
        <v/>
      </c>
      <c r="M966" s="10" t="str">
        <v/>
      </c>
      <c r="N966" s="14"/>
      <c r="O966" s="15" t="str" cm="1">
        <f t="array" ref="O966">IFERROR(_xlfn.LET(
_xlpm.clean,TRIM(SUBSTITUTE(SUBSTITUTE(P966,CHAR(160),"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6" s="15"/>
      <c r="R966" t="str">
        <v/>
      </c>
      <c r="S966" t="str">
        <f t="shared" si="15"/>
        <v/>
      </c>
    </row>
    <row r="967" spans="1:19" ht="12.75">
      <c r="A967" s="15" t="str">
        <v/>
      </c>
      <c r="B967" s="15" t="str">
        <v/>
      </c>
      <c r="C967" s="15" t="str" cm="1">
        <f t="array" ref="C967">IFERROR(_xlfn.TEXTJOIN("",TRUE,_xlfn._xlws.FILTER(MID(S967,_xlfn.SEQUENCE(LEN(S967)),1),ISNUMBER(SEARCH(MID(S967,_xlfn.SEQUENCE(LEN(S967)),1),"ABCDEFGHIJKLMNOPQRSTUVWXYZabcdefghijklmnopqrstuvwxyz0123456789,")))),"")</f>
        <v/>
      </c>
      <c r="D967" s="15" t="str">
        <v/>
      </c>
      <c r="E967" s="16" t="str">
        <v/>
      </c>
      <c r="F967" s="15" t="str">
        <v/>
      </c>
      <c r="G967" s="20" t="str" cm="1">
        <f t="array" ref="G967">IF(TRIM(P967)="","",IF(SUM(COUNTIF(P967,{"*NLGD*","*FWG*"}))&gt;0,P967,IF(SUM(COUNTIF(P967,{"*GL*","*DGB*","*DGI*","*GT*","*CS*","*PWU*","*DBI*","*SWU*"}))=0,P967,IF(IFERROR(VALUE(SUBSTITUTE(SUBSTITUTE(O967,"W",""),"""","")),0)&gt;52,P967&amp;"-OVRSIZE-",P967))))</f>
        <v/>
      </c>
      <c r="H967" s="15" t="str">
        <v/>
      </c>
      <c r="I967" s="15" t="str">
        <v/>
      </c>
      <c r="J967" s="15" t="str">
        <v/>
      </c>
      <c r="K967" s="15" t="str">
        <v/>
      </c>
      <c r="L967" s="15" t="str">
        <v/>
      </c>
      <c r="M967" s="10" t="str">
        <v/>
      </c>
      <c r="N967" s="14"/>
      <c r="O967" s="15" t="str" cm="1">
        <f t="array" ref="O967">IFERROR(_xlfn.LET(
_xlpm.clean,TRIM(SUBSTITUTE(SUBSTITUTE(P967,CHAR(160),"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7" s="15"/>
      <c r="R967" t="str">
        <v/>
      </c>
      <c r="S967" t="str">
        <f t="shared" si="15"/>
        <v/>
      </c>
    </row>
    <row r="968" spans="1:19" ht="12.75">
      <c r="A968" s="15" t="str">
        <v/>
      </c>
      <c r="B968" s="15" t="str">
        <v/>
      </c>
      <c r="C968" s="15" t="str" cm="1">
        <f t="array" ref="C968">IFERROR(_xlfn.TEXTJOIN("",TRUE,_xlfn._xlws.FILTER(MID(S968,_xlfn.SEQUENCE(LEN(S968)),1),ISNUMBER(SEARCH(MID(S968,_xlfn.SEQUENCE(LEN(S968)),1),"ABCDEFGHIJKLMNOPQRSTUVWXYZabcdefghijklmnopqrstuvwxyz0123456789,")))),"")</f>
        <v/>
      </c>
      <c r="D968" s="15" t="str">
        <v/>
      </c>
      <c r="E968" s="16" t="str">
        <v/>
      </c>
      <c r="F968" s="15" t="str">
        <v/>
      </c>
      <c r="G968" s="20" t="str" cm="1">
        <f t="array" ref="G968">IF(TRIM(P968)="","",IF(SUM(COUNTIF(P968,{"*NLGD*","*FWG*"}))&gt;0,P968,IF(SUM(COUNTIF(P968,{"*GL*","*DGB*","*DGI*","*GT*","*CS*","*PWU*","*DBI*","*SWU*"}))=0,P968,IF(IFERROR(VALUE(SUBSTITUTE(SUBSTITUTE(O968,"W",""),"""","")),0)&gt;52,P968&amp;"-OVRSIZE-",P968))))</f>
        <v/>
      </c>
      <c r="H968" s="15" t="str">
        <v/>
      </c>
      <c r="I968" s="15" t="str">
        <v/>
      </c>
      <c r="J968" s="15" t="str">
        <v/>
      </c>
      <c r="K968" s="15" t="str">
        <v/>
      </c>
      <c r="L968" s="15" t="str">
        <v/>
      </c>
      <c r="M968" s="10" t="str">
        <v/>
      </c>
      <c r="N968" s="14"/>
      <c r="O968" s="15" t="str" cm="1">
        <f t="array" ref="O968">IFERROR(_xlfn.LET(
_xlpm.clean,TRIM(SUBSTITUTE(SUBSTITUTE(P968,CHAR(160),"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8" s="15"/>
      <c r="R968" t="str">
        <v/>
      </c>
      <c r="S968" t="str">
        <f t="shared" ref="S968:S1031" si="16">IF(R968="","",_xlfn.LET(
_xlpm.x,TRIM(SUBSTITUTE(SUBSTITUTE(SUBSTITUTE(SUBSTITUTE(R968,":","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969" spans="1:19" ht="12.75">
      <c r="A969" s="15" t="str">
        <v/>
      </c>
      <c r="B969" s="15" t="str">
        <v/>
      </c>
      <c r="C969" s="15" t="str" cm="1">
        <f t="array" ref="C969">IFERROR(_xlfn.TEXTJOIN("",TRUE,_xlfn._xlws.FILTER(MID(S969,_xlfn.SEQUENCE(LEN(S969)),1),ISNUMBER(SEARCH(MID(S969,_xlfn.SEQUENCE(LEN(S969)),1),"ABCDEFGHIJKLMNOPQRSTUVWXYZabcdefghijklmnopqrstuvwxyz0123456789,")))),"")</f>
        <v/>
      </c>
      <c r="D969" s="15" t="str">
        <v/>
      </c>
      <c r="E969" s="16" t="str">
        <v/>
      </c>
      <c r="F969" s="15" t="str">
        <v/>
      </c>
      <c r="G969" s="20" t="str" cm="1">
        <f t="array" ref="G969">IF(TRIM(P969)="","",IF(SUM(COUNTIF(P969,{"*NLGD*","*FWG*"}))&gt;0,P969,IF(SUM(COUNTIF(P969,{"*GL*","*DGB*","*DGI*","*GT*","*CS*","*PWU*","*DBI*","*SWU*"}))=0,P969,IF(IFERROR(VALUE(SUBSTITUTE(SUBSTITUTE(O969,"W",""),"""","")),0)&gt;52,P969&amp;"-OVRSIZE-",P969))))</f>
        <v/>
      </c>
      <c r="H969" s="15" t="str">
        <v/>
      </c>
      <c r="I969" s="15" t="str">
        <v/>
      </c>
      <c r="J969" s="15" t="str">
        <v/>
      </c>
      <c r="K969" s="15" t="str">
        <v/>
      </c>
      <c r="L969" s="15" t="str">
        <v/>
      </c>
      <c r="M969" s="10" t="str">
        <v/>
      </c>
      <c r="N969" s="14"/>
      <c r="O969" s="15" t="str" cm="1">
        <f t="array" ref="O969">IFERROR(_xlfn.LET(
_xlpm.clean,TRIM(SUBSTITUTE(SUBSTITUTE(P969,CHAR(160),"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9" s="15"/>
      <c r="R969" t="str">
        <v/>
      </c>
      <c r="S969" t="str">
        <f t="shared" si="16"/>
        <v/>
      </c>
    </row>
    <row r="970" spans="1:19" ht="12.75">
      <c r="A970" s="15" t="str">
        <v/>
      </c>
      <c r="B970" s="15" t="str">
        <v/>
      </c>
      <c r="C970" s="15" t="str" cm="1">
        <f t="array" ref="C970">IFERROR(_xlfn.TEXTJOIN("",TRUE,_xlfn._xlws.FILTER(MID(S970,_xlfn.SEQUENCE(LEN(S970)),1),ISNUMBER(SEARCH(MID(S970,_xlfn.SEQUENCE(LEN(S970)),1),"ABCDEFGHIJKLMNOPQRSTUVWXYZabcdefghijklmnopqrstuvwxyz0123456789,")))),"")</f>
        <v/>
      </c>
      <c r="D970" s="15" t="str">
        <v/>
      </c>
      <c r="E970" s="16" t="str">
        <v/>
      </c>
      <c r="F970" s="15" t="str">
        <v/>
      </c>
      <c r="G970" s="20" t="str" cm="1">
        <f t="array" ref="G970">IF(TRIM(P970)="","",IF(SUM(COUNTIF(P970,{"*NLGD*","*FWG*"}))&gt;0,P970,IF(SUM(COUNTIF(P970,{"*GL*","*DGB*","*DGI*","*GT*","*CS*","*PWU*","*DBI*","*SWU*"}))=0,P970,IF(IFERROR(VALUE(SUBSTITUTE(SUBSTITUTE(O970,"W",""),"""","")),0)&gt;52,P970&amp;"-OVRSIZE-",P970))))</f>
        <v/>
      </c>
      <c r="H970" s="15" t="str">
        <v/>
      </c>
      <c r="I970" s="15" t="str">
        <v/>
      </c>
      <c r="J970" s="15" t="str">
        <v/>
      </c>
      <c r="K970" s="15" t="str">
        <v/>
      </c>
      <c r="L970" s="15" t="str">
        <v/>
      </c>
      <c r="M970" s="10" t="str">
        <v/>
      </c>
      <c r="N970" s="14"/>
      <c r="O970" s="15" t="str" cm="1">
        <f t="array" ref="O970">IFERROR(_xlfn.LET(
_xlpm.clean,TRIM(SUBSTITUTE(SUBSTITUTE(P970,CHAR(160),"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0" s="15"/>
      <c r="R970" t="str">
        <v/>
      </c>
      <c r="S970" t="str">
        <f t="shared" si="16"/>
        <v/>
      </c>
    </row>
    <row r="971" spans="1:19" ht="12.75">
      <c r="A971" s="15" t="str">
        <v/>
      </c>
      <c r="B971" s="15" t="str">
        <v/>
      </c>
      <c r="C971" s="15" t="str" cm="1">
        <f t="array" ref="C971">IFERROR(_xlfn.TEXTJOIN("",TRUE,_xlfn._xlws.FILTER(MID(S971,_xlfn.SEQUENCE(LEN(S971)),1),ISNUMBER(SEARCH(MID(S971,_xlfn.SEQUENCE(LEN(S971)),1),"ABCDEFGHIJKLMNOPQRSTUVWXYZabcdefghijklmnopqrstuvwxyz0123456789,")))),"")</f>
        <v/>
      </c>
      <c r="D971" s="15" t="str">
        <v/>
      </c>
      <c r="E971" s="16" t="str">
        <v/>
      </c>
      <c r="F971" s="15" t="str">
        <v/>
      </c>
      <c r="G971" s="20" t="str" cm="1">
        <f t="array" ref="G971">IF(TRIM(P971)="","",IF(SUM(COUNTIF(P971,{"*NLGD*","*FWG*"}))&gt;0,P971,IF(SUM(COUNTIF(P971,{"*GL*","*DGB*","*DGI*","*GT*","*CS*","*PWU*","*DBI*","*SWU*"}))=0,P971,IF(IFERROR(VALUE(SUBSTITUTE(SUBSTITUTE(O971,"W",""),"""","")),0)&gt;52,P971&amp;"-OVRSIZE-",P971))))</f>
        <v/>
      </c>
      <c r="H971" s="15" t="str">
        <v/>
      </c>
      <c r="I971" s="15" t="str">
        <v/>
      </c>
      <c r="J971" s="15" t="str">
        <v/>
      </c>
      <c r="K971" s="15" t="str">
        <v/>
      </c>
      <c r="L971" s="15" t="str">
        <v/>
      </c>
      <c r="M971" s="10" t="str">
        <v/>
      </c>
      <c r="N971" s="14"/>
      <c r="O971" s="15" t="str" cm="1">
        <f t="array" ref="O971">IFERROR(_xlfn.LET(
_xlpm.clean,TRIM(SUBSTITUTE(SUBSTITUTE(P971,CHAR(160),"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1" s="15"/>
      <c r="R971" t="str">
        <v/>
      </c>
      <c r="S971" t="str">
        <f t="shared" si="16"/>
        <v/>
      </c>
    </row>
    <row r="972" spans="1:19" ht="12.75">
      <c r="A972" s="15" t="str">
        <v/>
      </c>
      <c r="B972" s="15" t="str">
        <v/>
      </c>
      <c r="C972" s="15" t="str" cm="1">
        <f t="array" ref="C972">IFERROR(_xlfn.TEXTJOIN("",TRUE,_xlfn._xlws.FILTER(MID(S972,_xlfn.SEQUENCE(LEN(S972)),1),ISNUMBER(SEARCH(MID(S972,_xlfn.SEQUENCE(LEN(S972)),1),"ABCDEFGHIJKLMNOPQRSTUVWXYZabcdefghijklmnopqrstuvwxyz0123456789,")))),"")</f>
        <v/>
      </c>
      <c r="D972" s="15" t="str">
        <v/>
      </c>
      <c r="E972" s="16" t="str">
        <v/>
      </c>
      <c r="F972" s="15" t="str">
        <v/>
      </c>
      <c r="G972" s="20" t="str" cm="1">
        <f t="array" ref="G972">IF(TRIM(P972)="","",IF(SUM(COUNTIF(P972,{"*NLGD*","*FWG*"}))&gt;0,P972,IF(SUM(COUNTIF(P972,{"*GL*","*DGB*","*DGI*","*GT*","*CS*","*PWU*","*DBI*","*SWU*"}))=0,P972,IF(IFERROR(VALUE(SUBSTITUTE(SUBSTITUTE(O972,"W",""),"""","")),0)&gt;52,P972&amp;"-OVRSIZE-",P972))))</f>
        <v/>
      </c>
      <c r="H972" s="15" t="str">
        <v/>
      </c>
      <c r="I972" s="15" t="str">
        <v/>
      </c>
      <c r="J972" s="15" t="str">
        <v/>
      </c>
      <c r="K972" s="15" t="str">
        <v/>
      </c>
      <c r="L972" s="15" t="str">
        <v/>
      </c>
      <c r="M972" s="10" t="str">
        <v/>
      </c>
      <c r="N972" s="14"/>
      <c r="O972" s="15" t="str" cm="1">
        <f t="array" ref="O972">IFERROR(_xlfn.LET(
_xlpm.clean,TRIM(SUBSTITUTE(SUBSTITUTE(P972,CHAR(160),"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2" s="15"/>
      <c r="R972" t="str">
        <v/>
      </c>
      <c r="S972" t="str">
        <f t="shared" si="16"/>
        <v/>
      </c>
    </row>
    <row r="973" spans="1:19" ht="12.75">
      <c r="A973" s="15" t="str">
        <v/>
      </c>
      <c r="B973" s="15" t="str">
        <v/>
      </c>
      <c r="C973" s="15" t="str" cm="1">
        <f t="array" ref="C973">IFERROR(_xlfn.TEXTJOIN("",TRUE,_xlfn._xlws.FILTER(MID(S973,_xlfn.SEQUENCE(LEN(S973)),1),ISNUMBER(SEARCH(MID(S973,_xlfn.SEQUENCE(LEN(S973)),1),"ABCDEFGHIJKLMNOPQRSTUVWXYZabcdefghijklmnopqrstuvwxyz0123456789,")))),"")</f>
        <v/>
      </c>
      <c r="D973" s="15" t="str">
        <v/>
      </c>
      <c r="E973" s="16" t="str">
        <v/>
      </c>
      <c r="F973" s="15" t="str">
        <v/>
      </c>
      <c r="G973" s="20" t="str" cm="1">
        <f t="array" ref="G973">IF(TRIM(P973)="","",IF(SUM(COUNTIF(P973,{"*NLGD*","*FWG*"}))&gt;0,P973,IF(SUM(COUNTIF(P973,{"*GL*","*DGB*","*DGI*","*GT*","*CS*","*PWU*","*DBI*","*SWU*"}))=0,P973,IF(IFERROR(VALUE(SUBSTITUTE(SUBSTITUTE(O973,"W",""),"""","")),0)&gt;52,P973&amp;"-OVRSIZE-",P973))))</f>
        <v/>
      </c>
      <c r="H973" s="15" t="str">
        <v/>
      </c>
      <c r="I973" s="15" t="str">
        <v/>
      </c>
      <c r="J973" s="15" t="str">
        <v/>
      </c>
      <c r="K973" s="15" t="str">
        <v/>
      </c>
      <c r="L973" s="15" t="str">
        <v/>
      </c>
      <c r="M973" s="10" t="str">
        <v/>
      </c>
      <c r="N973" s="14"/>
      <c r="O973" s="15" t="str" cm="1">
        <f t="array" ref="O973">IFERROR(_xlfn.LET(
_xlpm.clean,TRIM(SUBSTITUTE(SUBSTITUTE(P973,CHAR(160),"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3" s="15"/>
      <c r="R973" t="str">
        <v/>
      </c>
      <c r="S973" t="str">
        <f t="shared" si="16"/>
        <v/>
      </c>
    </row>
    <row r="974" spans="1:19" ht="12.75">
      <c r="A974" s="15" t="str">
        <v/>
      </c>
      <c r="B974" s="15" t="str">
        <v/>
      </c>
      <c r="C974" s="15" t="str" cm="1">
        <f t="array" ref="C974">IFERROR(_xlfn.TEXTJOIN("",TRUE,_xlfn._xlws.FILTER(MID(S974,_xlfn.SEQUENCE(LEN(S974)),1),ISNUMBER(SEARCH(MID(S974,_xlfn.SEQUENCE(LEN(S974)),1),"ABCDEFGHIJKLMNOPQRSTUVWXYZabcdefghijklmnopqrstuvwxyz0123456789,")))),"")</f>
        <v/>
      </c>
      <c r="D974" s="15" t="str">
        <v/>
      </c>
      <c r="E974" s="16" t="str">
        <v/>
      </c>
      <c r="F974" s="15" t="str">
        <v/>
      </c>
      <c r="G974" s="20" t="str" cm="1">
        <f t="array" ref="G974">IF(TRIM(P974)="","",IF(SUM(COUNTIF(P974,{"*NLGD*","*FWG*"}))&gt;0,P974,IF(SUM(COUNTIF(P974,{"*GL*","*DGB*","*DGI*","*GT*","*CS*","*PWU*","*DBI*","*SWU*"}))=0,P974,IF(IFERROR(VALUE(SUBSTITUTE(SUBSTITUTE(O974,"W",""),"""","")),0)&gt;52,P974&amp;"-OVRSIZE-",P974))))</f>
        <v/>
      </c>
      <c r="H974" s="15" t="str">
        <v/>
      </c>
      <c r="I974" s="15" t="str">
        <v/>
      </c>
      <c r="J974" s="15" t="str">
        <v/>
      </c>
      <c r="K974" s="15" t="str">
        <v/>
      </c>
      <c r="L974" s="15" t="str">
        <v/>
      </c>
      <c r="M974" s="10" t="str">
        <v/>
      </c>
      <c r="N974" s="14"/>
      <c r="O974" s="15" t="str" cm="1">
        <f t="array" ref="O974">IFERROR(_xlfn.LET(
_xlpm.clean,TRIM(SUBSTITUTE(SUBSTITUTE(P974,CHAR(160),"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4" s="15"/>
      <c r="R974" t="str">
        <v/>
      </c>
      <c r="S974" t="str">
        <f t="shared" si="16"/>
        <v/>
      </c>
    </row>
    <row r="975" spans="1:19" ht="12.75">
      <c r="A975" s="15" t="str">
        <v/>
      </c>
      <c r="B975" s="15" t="str">
        <v/>
      </c>
      <c r="C975" s="15" t="str" cm="1">
        <f t="array" ref="C975">IFERROR(_xlfn.TEXTJOIN("",TRUE,_xlfn._xlws.FILTER(MID(S975,_xlfn.SEQUENCE(LEN(S975)),1),ISNUMBER(SEARCH(MID(S975,_xlfn.SEQUENCE(LEN(S975)),1),"ABCDEFGHIJKLMNOPQRSTUVWXYZabcdefghijklmnopqrstuvwxyz0123456789,")))),"")</f>
        <v/>
      </c>
      <c r="D975" s="15" t="str">
        <v/>
      </c>
      <c r="E975" s="16" t="str">
        <v/>
      </c>
      <c r="F975" s="15" t="str">
        <v/>
      </c>
      <c r="G975" s="20" t="str" cm="1">
        <f t="array" ref="G975">IF(TRIM(P975)="","",IF(SUM(COUNTIF(P975,{"*NLGD*","*FWG*"}))&gt;0,P975,IF(SUM(COUNTIF(P975,{"*GL*","*DGB*","*DGI*","*GT*","*CS*","*PWU*","*DBI*","*SWU*"}))=0,P975,IF(IFERROR(VALUE(SUBSTITUTE(SUBSTITUTE(O975,"W",""),"""","")),0)&gt;52,P975&amp;"-OVRSIZE-",P975))))</f>
        <v/>
      </c>
      <c r="H975" s="15" t="str">
        <v/>
      </c>
      <c r="I975" s="15" t="str">
        <v/>
      </c>
      <c r="J975" s="15" t="str">
        <v/>
      </c>
      <c r="K975" s="15" t="str">
        <v/>
      </c>
      <c r="L975" s="15" t="str">
        <v/>
      </c>
      <c r="M975" s="10" t="str">
        <v/>
      </c>
      <c r="N975" s="14"/>
      <c r="O975" s="15" t="str" cm="1">
        <f t="array" ref="O975">IFERROR(_xlfn.LET(
_xlpm.clean,TRIM(SUBSTITUTE(SUBSTITUTE(P975,CHAR(160),"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5" s="15"/>
      <c r="R975" t="str">
        <v/>
      </c>
      <c r="S975" t="str">
        <f t="shared" si="16"/>
        <v/>
      </c>
    </row>
    <row r="976" spans="1:19" ht="12.75">
      <c r="A976" s="15" t="str">
        <v/>
      </c>
      <c r="B976" s="15" t="str">
        <v/>
      </c>
      <c r="C976" s="15" t="str" cm="1">
        <f t="array" ref="C976">IFERROR(_xlfn.TEXTJOIN("",TRUE,_xlfn._xlws.FILTER(MID(S976,_xlfn.SEQUENCE(LEN(S976)),1),ISNUMBER(SEARCH(MID(S976,_xlfn.SEQUENCE(LEN(S976)),1),"ABCDEFGHIJKLMNOPQRSTUVWXYZabcdefghijklmnopqrstuvwxyz0123456789,")))),"")</f>
        <v/>
      </c>
      <c r="D976" s="15" t="str">
        <v/>
      </c>
      <c r="E976" s="16" t="str">
        <v/>
      </c>
      <c r="F976" s="15" t="str">
        <v/>
      </c>
      <c r="G976" s="20" t="str" cm="1">
        <f t="array" ref="G976">IF(TRIM(P976)="","",IF(SUM(COUNTIF(P976,{"*NLGD*","*FWG*"}))&gt;0,P976,IF(SUM(COUNTIF(P976,{"*GL*","*DGB*","*DGI*","*GT*","*CS*","*PWU*","*DBI*","*SWU*"}))=0,P976,IF(IFERROR(VALUE(SUBSTITUTE(SUBSTITUTE(O976,"W",""),"""","")),0)&gt;52,P976&amp;"-OVRSIZE-",P976))))</f>
        <v/>
      </c>
      <c r="H976" s="15" t="str">
        <v/>
      </c>
      <c r="I976" s="15" t="str">
        <v/>
      </c>
      <c r="J976" s="15" t="str">
        <v/>
      </c>
      <c r="K976" s="15" t="str">
        <v/>
      </c>
      <c r="L976" s="15" t="str">
        <v/>
      </c>
      <c r="M976" s="10" t="str">
        <v/>
      </c>
      <c r="N976" s="14"/>
      <c r="O976" s="15" t="str" cm="1">
        <f t="array" ref="O976">IFERROR(_xlfn.LET(
_xlpm.clean,TRIM(SUBSTITUTE(SUBSTITUTE(P976,CHAR(160),"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6" s="15"/>
      <c r="R976" t="str">
        <v/>
      </c>
      <c r="S976" t="str">
        <f t="shared" si="16"/>
        <v/>
      </c>
    </row>
    <row r="977" spans="1:19" ht="12.75">
      <c r="A977" s="15" t="str">
        <v/>
      </c>
      <c r="B977" s="15" t="str">
        <v/>
      </c>
      <c r="C977" s="15" t="str" cm="1">
        <f t="array" ref="C977">IFERROR(_xlfn.TEXTJOIN("",TRUE,_xlfn._xlws.FILTER(MID(S977,_xlfn.SEQUENCE(LEN(S977)),1),ISNUMBER(SEARCH(MID(S977,_xlfn.SEQUENCE(LEN(S977)),1),"ABCDEFGHIJKLMNOPQRSTUVWXYZabcdefghijklmnopqrstuvwxyz0123456789,")))),"")</f>
        <v/>
      </c>
      <c r="D977" s="15" t="str">
        <v/>
      </c>
      <c r="E977" s="16" t="str">
        <v/>
      </c>
      <c r="F977" s="15" t="str">
        <v/>
      </c>
      <c r="G977" s="20" t="str" cm="1">
        <f t="array" ref="G977">IF(TRIM(P977)="","",IF(SUM(COUNTIF(P977,{"*NLGD*","*FWG*"}))&gt;0,P977,IF(SUM(COUNTIF(P977,{"*GL*","*DGB*","*DGI*","*GT*","*CS*","*PWU*","*DBI*","*SWU*"}))=0,P977,IF(IFERROR(VALUE(SUBSTITUTE(SUBSTITUTE(O977,"W",""),"""","")),0)&gt;52,P977&amp;"-OVRSIZE-",P977))))</f>
        <v/>
      </c>
      <c r="H977" s="15" t="str">
        <v/>
      </c>
      <c r="I977" s="15" t="str">
        <v/>
      </c>
      <c r="J977" s="15" t="str">
        <v/>
      </c>
      <c r="K977" s="15" t="str">
        <v/>
      </c>
      <c r="L977" s="15" t="str">
        <v/>
      </c>
      <c r="M977" s="10" t="str">
        <v/>
      </c>
      <c r="N977" s="14"/>
      <c r="O977" s="15" t="str" cm="1">
        <f t="array" ref="O977">IFERROR(_xlfn.LET(
_xlpm.clean,TRIM(SUBSTITUTE(SUBSTITUTE(P977,CHAR(160),"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7" s="15"/>
      <c r="R977" t="str">
        <v/>
      </c>
      <c r="S977" t="str">
        <f t="shared" si="16"/>
        <v/>
      </c>
    </row>
    <row r="978" spans="1:19" ht="12.75">
      <c r="A978" s="15" t="str">
        <v/>
      </c>
      <c r="B978" s="15" t="str">
        <v/>
      </c>
      <c r="C978" s="15" t="str" cm="1">
        <f t="array" ref="C978">IFERROR(_xlfn.TEXTJOIN("",TRUE,_xlfn._xlws.FILTER(MID(S978,_xlfn.SEQUENCE(LEN(S978)),1),ISNUMBER(SEARCH(MID(S978,_xlfn.SEQUENCE(LEN(S978)),1),"ABCDEFGHIJKLMNOPQRSTUVWXYZabcdefghijklmnopqrstuvwxyz0123456789,")))),"")</f>
        <v/>
      </c>
      <c r="D978" s="15" t="str">
        <v/>
      </c>
      <c r="E978" s="16" t="str">
        <v/>
      </c>
      <c r="F978" s="15" t="str">
        <v/>
      </c>
      <c r="G978" s="20" t="str" cm="1">
        <f t="array" ref="G978">IF(TRIM(P978)="","",IF(SUM(COUNTIF(P978,{"*NLGD*","*FWG*"}))&gt;0,P978,IF(SUM(COUNTIF(P978,{"*GL*","*DGB*","*DGI*","*GT*","*CS*","*PWU*","*DBI*","*SWU*"}))=0,P978,IF(IFERROR(VALUE(SUBSTITUTE(SUBSTITUTE(O978,"W",""),"""","")),0)&gt;52,P978&amp;"-OVRSIZE-",P978))))</f>
        <v/>
      </c>
      <c r="H978" s="15" t="str">
        <v/>
      </c>
      <c r="I978" s="15" t="str">
        <v/>
      </c>
      <c r="J978" s="15" t="str">
        <v/>
      </c>
      <c r="K978" s="15" t="str">
        <v/>
      </c>
      <c r="L978" s="15" t="str">
        <v/>
      </c>
      <c r="M978" s="10" t="str">
        <v/>
      </c>
      <c r="N978" s="14"/>
      <c r="O978" s="15" t="str" cm="1">
        <f t="array" ref="O978">IFERROR(_xlfn.LET(
_xlpm.clean,TRIM(SUBSTITUTE(SUBSTITUTE(P978,CHAR(160),"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8" s="15"/>
      <c r="R978" t="str">
        <v/>
      </c>
      <c r="S978" t="str">
        <f t="shared" si="16"/>
        <v/>
      </c>
    </row>
    <row r="979" spans="1:19" ht="12.75">
      <c r="A979" s="15" t="str">
        <v/>
      </c>
      <c r="B979" s="15" t="str">
        <v/>
      </c>
      <c r="C979" s="15" t="str" cm="1">
        <f t="array" ref="C979">IFERROR(_xlfn.TEXTJOIN("",TRUE,_xlfn._xlws.FILTER(MID(S979,_xlfn.SEQUENCE(LEN(S979)),1),ISNUMBER(SEARCH(MID(S979,_xlfn.SEQUENCE(LEN(S979)),1),"ABCDEFGHIJKLMNOPQRSTUVWXYZabcdefghijklmnopqrstuvwxyz0123456789,")))),"")</f>
        <v/>
      </c>
      <c r="D979" s="15" t="str">
        <v/>
      </c>
      <c r="E979" s="16" t="str">
        <v/>
      </c>
      <c r="F979" s="15" t="str">
        <v/>
      </c>
      <c r="G979" s="20" t="str" cm="1">
        <f t="array" ref="G979">IF(TRIM(P979)="","",IF(SUM(COUNTIF(P979,{"*NLGD*","*FWG*"}))&gt;0,P979,IF(SUM(COUNTIF(P979,{"*GL*","*DGB*","*DGI*","*GT*","*CS*","*PWU*","*DBI*","*SWU*"}))=0,P979,IF(IFERROR(VALUE(SUBSTITUTE(SUBSTITUTE(O979,"W",""),"""","")),0)&gt;52,P979&amp;"-OVRSIZE-",P979))))</f>
        <v/>
      </c>
      <c r="H979" s="15" t="str">
        <v/>
      </c>
      <c r="I979" s="15" t="str">
        <v/>
      </c>
      <c r="J979" s="15" t="str">
        <v/>
      </c>
      <c r="K979" s="15" t="str">
        <v/>
      </c>
      <c r="L979" s="15" t="str">
        <v/>
      </c>
      <c r="M979" s="10" t="str">
        <v/>
      </c>
      <c r="N979" s="14"/>
      <c r="O979" s="15" t="str" cm="1">
        <f t="array" ref="O979">IFERROR(_xlfn.LET(
_xlpm.clean,TRIM(SUBSTITUTE(SUBSTITUTE(P979,CHAR(160),"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9" s="15"/>
      <c r="R979" t="str">
        <v/>
      </c>
      <c r="S979" t="str">
        <f t="shared" si="16"/>
        <v/>
      </c>
    </row>
    <row r="980" spans="1:19" ht="12.75">
      <c r="A980" s="15" t="str">
        <v/>
      </c>
      <c r="B980" s="15" t="str">
        <v/>
      </c>
      <c r="C980" s="15" t="str" cm="1">
        <f t="array" ref="C980">IFERROR(_xlfn.TEXTJOIN("",TRUE,_xlfn._xlws.FILTER(MID(S980,_xlfn.SEQUENCE(LEN(S980)),1),ISNUMBER(SEARCH(MID(S980,_xlfn.SEQUENCE(LEN(S980)),1),"ABCDEFGHIJKLMNOPQRSTUVWXYZabcdefghijklmnopqrstuvwxyz0123456789,")))),"")</f>
        <v/>
      </c>
      <c r="D980" s="15" t="str">
        <v/>
      </c>
      <c r="E980" s="16" t="str">
        <v/>
      </c>
      <c r="F980" s="15" t="str">
        <v/>
      </c>
      <c r="G980" s="20" t="str" cm="1">
        <f t="array" ref="G980">IF(TRIM(P980)="","",IF(SUM(COUNTIF(P980,{"*NLGD*","*FWG*"}))&gt;0,P980,IF(SUM(COUNTIF(P980,{"*GL*","*DGB*","*DGI*","*GT*","*CS*","*PWU*","*DBI*","*SWU*"}))=0,P980,IF(IFERROR(VALUE(SUBSTITUTE(SUBSTITUTE(O980,"W",""),"""","")),0)&gt;52,P980&amp;"-OVRSIZE-",P980))))</f>
        <v/>
      </c>
      <c r="H980" s="15" t="str">
        <v/>
      </c>
      <c r="I980" s="15" t="str">
        <v/>
      </c>
      <c r="J980" s="15" t="str">
        <v/>
      </c>
      <c r="K980" s="15" t="str">
        <v/>
      </c>
      <c r="L980" s="15" t="str">
        <v/>
      </c>
      <c r="M980" s="10" t="str">
        <v/>
      </c>
      <c r="N980" s="14"/>
      <c r="O980" s="15" t="str" cm="1">
        <f t="array" ref="O980">IFERROR(_xlfn.LET(
_xlpm.clean,TRIM(SUBSTITUTE(SUBSTITUTE(P980,CHAR(160),"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0" s="15"/>
      <c r="R980" t="str">
        <v/>
      </c>
      <c r="S980" t="str">
        <f t="shared" si="16"/>
        <v/>
      </c>
    </row>
    <row r="981" spans="1:19" ht="12.75">
      <c r="A981" s="15" t="str">
        <v/>
      </c>
      <c r="B981" s="15" t="str">
        <v/>
      </c>
      <c r="C981" s="15" t="str" cm="1">
        <f t="array" ref="C981">IFERROR(_xlfn.TEXTJOIN("",TRUE,_xlfn._xlws.FILTER(MID(S981,_xlfn.SEQUENCE(LEN(S981)),1),ISNUMBER(SEARCH(MID(S981,_xlfn.SEQUENCE(LEN(S981)),1),"ABCDEFGHIJKLMNOPQRSTUVWXYZabcdefghijklmnopqrstuvwxyz0123456789,")))),"")</f>
        <v/>
      </c>
      <c r="D981" s="15" t="str">
        <v/>
      </c>
      <c r="E981" s="16" t="str">
        <v/>
      </c>
      <c r="F981" s="15" t="str">
        <v/>
      </c>
      <c r="G981" s="20" t="str" cm="1">
        <f t="array" ref="G981">IF(TRIM(P981)="","",IF(SUM(COUNTIF(P981,{"*NLGD*","*FWG*"}))&gt;0,P981,IF(SUM(COUNTIF(P981,{"*GL*","*DGB*","*DGI*","*GT*","*CS*","*PWU*","*DBI*","*SWU*"}))=0,P981,IF(IFERROR(VALUE(SUBSTITUTE(SUBSTITUTE(O981,"W",""),"""","")),0)&gt;52,P981&amp;"-OVRSIZE-",P981))))</f>
        <v/>
      </c>
      <c r="H981" s="15" t="str">
        <v/>
      </c>
      <c r="I981" s="15" t="str">
        <v/>
      </c>
      <c r="J981" s="15" t="str">
        <v/>
      </c>
      <c r="K981" s="15" t="str">
        <v/>
      </c>
      <c r="L981" s="15" t="str">
        <v/>
      </c>
      <c r="M981" s="10" t="str">
        <v/>
      </c>
      <c r="N981" s="14"/>
      <c r="O981" s="15" t="str" cm="1">
        <f t="array" ref="O981">IFERROR(_xlfn.LET(
_xlpm.clean,TRIM(SUBSTITUTE(SUBSTITUTE(P981,CHAR(160),"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1" s="15"/>
      <c r="R981" t="str">
        <v/>
      </c>
      <c r="S981" t="str">
        <f t="shared" si="16"/>
        <v/>
      </c>
    </row>
    <row r="982" spans="1:19" ht="12.75">
      <c r="A982" s="15" t="str">
        <v/>
      </c>
      <c r="B982" s="15" t="str">
        <v/>
      </c>
      <c r="C982" s="15" t="str" cm="1">
        <f t="array" ref="C982">IFERROR(_xlfn.TEXTJOIN("",TRUE,_xlfn._xlws.FILTER(MID(S982,_xlfn.SEQUENCE(LEN(S982)),1),ISNUMBER(SEARCH(MID(S982,_xlfn.SEQUENCE(LEN(S982)),1),"ABCDEFGHIJKLMNOPQRSTUVWXYZabcdefghijklmnopqrstuvwxyz0123456789,")))),"")</f>
        <v/>
      </c>
      <c r="D982" s="15" t="str">
        <v/>
      </c>
      <c r="E982" s="16" t="str">
        <v/>
      </c>
      <c r="F982" s="15" t="str">
        <v/>
      </c>
      <c r="G982" s="20" t="str" cm="1">
        <f t="array" ref="G982">IF(TRIM(P982)="","",IF(SUM(COUNTIF(P982,{"*NLGD*","*FWG*"}))&gt;0,P982,IF(SUM(COUNTIF(P982,{"*GL*","*DGB*","*DGI*","*GT*","*CS*","*PWU*","*DBI*","*SWU*"}))=0,P982,IF(IFERROR(VALUE(SUBSTITUTE(SUBSTITUTE(O982,"W",""),"""","")),0)&gt;52,P982&amp;"-OVRSIZE-",P982))))</f>
        <v/>
      </c>
      <c r="H982" s="15" t="str">
        <v/>
      </c>
      <c r="I982" s="15" t="str">
        <v/>
      </c>
      <c r="J982" s="15" t="str">
        <v/>
      </c>
      <c r="K982" s="15" t="str">
        <v/>
      </c>
      <c r="L982" s="15" t="str">
        <v/>
      </c>
      <c r="M982" s="10" t="str">
        <v/>
      </c>
      <c r="N982" s="14"/>
      <c r="O982" s="15" t="str" cm="1">
        <f t="array" ref="O982">IFERROR(_xlfn.LET(
_xlpm.clean,TRIM(SUBSTITUTE(SUBSTITUTE(P982,CHAR(160),"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2" s="15"/>
      <c r="R982" t="str">
        <v/>
      </c>
      <c r="S982" t="str">
        <f t="shared" si="16"/>
        <v/>
      </c>
    </row>
    <row r="983" spans="1:19" ht="12.75">
      <c r="A983" s="15" t="str">
        <v/>
      </c>
      <c r="B983" s="15" t="str">
        <v/>
      </c>
      <c r="C983" s="15" t="str" cm="1">
        <f t="array" ref="C983">IFERROR(_xlfn.TEXTJOIN("",TRUE,_xlfn._xlws.FILTER(MID(S983,_xlfn.SEQUENCE(LEN(S983)),1),ISNUMBER(SEARCH(MID(S983,_xlfn.SEQUENCE(LEN(S983)),1),"ABCDEFGHIJKLMNOPQRSTUVWXYZabcdefghijklmnopqrstuvwxyz0123456789,")))),"")</f>
        <v/>
      </c>
      <c r="D983" s="15" t="str">
        <v/>
      </c>
      <c r="E983" s="16" t="str">
        <v/>
      </c>
      <c r="F983" s="15" t="str">
        <v/>
      </c>
      <c r="G983" s="20" t="str" cm="1">
        <f t="array" ref="G983">IF(TRIM(P983)="","",IF(SUM(COUNTIF(P983,{"*NLGD*","*FWG*"}))&gt;0,P983,IF(SUM(COUNTIF(P983,{"*GL*","*DGB*","*DGI*","*GT*","*CS*","*PWU*","*DBI*","*SWU*"}))=0,P983,IF(IFERROR(VALUE(SUBSTITUTE(SUBSTITUTE(O983,"W",""),"""","")),0)&gt;52,P983&amp;"-OVRSIZE-",P983))))</f>
        <v/>
      </c>
      <c r="H983" s="15" t="str">
        <v/>
      </c>
      <c r="I983" s="15" t="str">
        <v/>
      </c>
      <c r="J983" s="15" t="str">
        <v/>
      </c>
      <c r="K983" s="15" t="str">
        <v/>
      </c>
      <c r="L983" s="15" t="str">
        <v/>
      </c>
      <c r="M983" s="10" t="str">
        <v/>
      </c>
      <c r="N983" s="14"/>
      <c r="O983" s="15" t="str" cm="1">
        <f t="array" ref="O983">IFERROR(_xlfn.LET(
_xlpm.clean,TRIM(SUBSTITUTE(SUBSTITUTE(P983,CHAR(160),"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3" s="15"/>
      <c r="R983" t="str">
        <v/>
      </c>
      <c r="S983" t="str">
        <f t="shared" si="16"/>
        <v/>
      </c>
    </row>
    <row r="984" spans="1:19" ht="12.75">
      <c r="A984" s="15" t="str">
        <v/>
      </c>
      <c r="B984" s="15" t="str">
        <v/>
      </c>
      <c r="C984" s="15" t="str" cm="1">
        <f t="array" ref="C984">IFERROR(_xlfn.TEXTJOIN("",TRUE,_xlfn._xlws.FILTER(MID(S984,_xlfn.SEQUENCE(LEN(S984)),1),ISNUMBER(SEARCH(MID(S984,_xlfn.SEQUENCE(LEN(S984)),1),"ABCDEFGHIJKLMNOPQRSTUVWXYZabcdefghijklmnopqrstuvwxyz0123456789,")))),"")</f>
        <v/>
      </c>
      <c r="D984" s="15" t="str">
        <v/>
      </c>
      <c r="E984" s="16" t="str">
        <v/>
      </c>
      <c r="F984" s="15" t="str">
        <v/>
      </c>
      <c r="G984" s="20" t="str" cm="1">
        <f t="array" ref="G984">IF(TRIM(P984)="","",IF(SUM(COUNTIF(P984,{"*NLGD*","*FWG*"}))&gt;0,P984,IF(SUM(COUNTIF(P984,{"*GL*","*DGB*","*DGI*","*GT*","*CS*","*PWU*","*DBI*","*SWU*"}))=0,P984,IF(IFERROR(VALUE(SUBSTITUTE(SUBSTITUTE(O984,"W",""),"""","")),0)&gt;52,P984&amp;"-OVRSIZE-",P984))))</f>
        <v/>
      </c>
      <c r="H984" s="15" t="str">
        <v/>
      </c>
      <c r="I984" s="15" t="str">
        <v/>
      </c>
      <c r="J984" s="15" t="str">
        <v/>
      </c>
      <c r="K984" s="15" t="str">
        <v/>
      </c>
      <c r="L984" s="15" t="str">
        <v/>
      </c>
      <c r="M984" s="10" t="str">
        <v/>
      </c>
      <c r="N984" s="14"/>
      <c r="O984" s="15" t="str" cm="1">
        <f t="array" ref="O984">IFERROR(_xlfn.LET(
_xlpm.clean,TRIM(SUBSTITUTE(SUBSTITUTE(P984,CHAR(160),"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4" s="15"/>
      <c r="R984" t="str">
        <v/>
      </c>
      <c r="S984" t="str">
        <f t="shared" si="16"/>
        <v/>
      </c>
    </row>
    <row r="985" spans="1:19" ht="12.75">
      <c r="A985" s="15" t="str">
        <v/>
      </c>
      <c r="B985" s="15" t="str">
        <v/>
      </c>
      <c r="C985" s="15" t="str" cm="1">
        <f t="array" ref="C985">IFERROR(_xlfn.TEXTJOIN("",TRUE,_xlfn._xlws.FILTER(MID(S985,_xlfn.SEQUENCE(LEN(S985)),1),ISNUMBER(SEARCH(MID(S985,_xlfn.SEQUENCE(LEN(S985)),1),"ABCDEFGHIJKLMNOPQRSTUVWXYZabcdefghijklmnopqrstuvwxyz0123456789,")))),"")</f>
        <v/>
      </c>
      <c r="D985" s="15" t="str">
        <v/>
      </c>
      <c r="E985" s="16" t="str">
        <v/>
      </c>
      <c r="F985" s="15" t="str">
        <v/>
      </c>
      <c r="G985" s="20" t="str" cm="1">
        <f t="array" ref="G985">IF(TRIM(P985)="","",IF(SUM(COUNTIF(P985,{"*NLGD*","*FWG*"}))&gt;0,P985,IF(SUM(COUNTIF(P985,{"*GL*","*DGB*","*DGI*","*GT*","*CS*","*PWU*","*DBI*","*SWU*"}))=0,P985,IF(IFERROR(VALUE(SUBSTITUTE(SUBSTITUTE(O985,"W",""),"""","")),0)&gt;52,P985&amp;"-OVRSIZE-",P985))))</f>
        <v/>
      </c>
      <c r="H985" s="15" t="str">
        <v/>
      </c>
      <c r="I985" s="15" t="str">
        <v/>
      </c>
      <c r="J985" s="15" t="str">
        <v/>
      </c>
      <c r="K985" s="15" t="str">
        <v/>
      </c>
      <c r="L985" s="15" t="str">
        <v/>
      </c>
      <c r="M985" s="10" t="str">
        <v/>
      </c>
      <c r="N985" s="14"/>
      <c r="O985" s="15" t="str" cm="1">
        <f t="array" ref="O985">IFERROR(_xlfn.LET(
_xlpm.clean,TRIM(SUBSTITUTE(SUBSTITUTE(P985,CHAR(160),"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5" s="15"/>
      <c r="R985" t="str">
        <v/>
      </c>
      <c r="S985" t="str">
        <f t="shared" si="16"/>
        <v/>
      </c>
    </row>
    <row r="986" spans="1:19" ht="12.75">
      <c r="A986" s="15" t="str">
        <v/>
      </c>
      <c r="B986" s="15" t="str">
        <v/>
      </c>
      <c r="C986" s="15" t="str" cm="1">
        <f t="array" ref="C986">IFERROR(_xlfn.TEXTJOIN("",TRUE,_xlfn._xlws.FILTER(MID(S986,_xlfn.SEQUENCE(LEN(S986)),1),ISNUMBER(SEARCH(MID(S986,_xlfn.SEQUENCE(LEN(S986)),1),"ABCDEFGHIJKLMNOPQRSTUVWXYZabcdefghijklmnopqrstuvwxyz0123456789,")))),"")</f>
        <v/>
      </c>
      <c r="D986" s="15" t="str">
        <v/>
      </c>
      <c r="E986" s="16" t="str">
        <v/>
      </c>
      <c r="F986" s="15" t="str">
        <v/>
      </c>
      <c r="G986" s="20" t="str" cm="1">
        <f t="array" ref="G986">IF(TRIM(P986)="","",IF(SUM(COUNTIF(P986,{"*NLGD*","*FWG*"}))&gt;0,P986,IF(SUM(COUNTIF(P986,{"*GL*","*DGB*","*DGI*","*GT*","*CS*","*PWU*","*DBI*","*SWU*"}))=0,P986,IF(IFERROR(VALUE(SUBSTITUTE(SUBSTITUTE(O986,"W",""),"""","")),0)&gt;52,P986&amp;"-OVRSIZE-",P986))))</f>
        <v/>
      </c>
      <c r="H986" s="15" t="str">
        <v/>
      </c>
      <c r="I986" s="15" t="str">
        <v/>
      </c>
      <c r="J986" s="15" t="str">
        <v/>
      </c>
      <c r="K986" s="15" t="str">
        <v/>
      </c>
      <c r="L986" s="15" t="str">
        <v/>
      </c>
      <c r="M986" s="10" t="str">
        <v/>
      </c>
      <c r="N986" s="14"/>
      <c r="O986" s="15" t="str" cm="1">
        <f t="array" ref="O986">IFERROR(_xlfn.LET(
_xlpm.clean,TRIM(SUBSTITUTE(SUBSTITUTE(P986,CHAR(160),"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6" s="15"/>
      <c r="R986" t="str">
        <v/>
      </c>
      <c r="S986" t="str">
        <f t="shared" si="16"/>
        <v/>
      </c>
    </row>
    <row r="987" spans="1:19" ht="12.75">
      <c r="A987" s="15" t="str">
        <v/>
      </c>
      <c r="B987" s="15" t="str">
        <v/>
      </c>
      <c r="C987" s="15" t="str" cm="1">
        <f t="array" ref="C987">IFERROR(_xlfn.TEXTJOIN("",TRUE,_xlfn._xlws.FILTER(MID(S987,_xlfn.SEQUENCE(LEN(S987)),1),ISNUMBER(SEARCH(MID(S987,_xlfn.SEQUENCE(LEN(S987)),1),"ABCDEFGHIJKLMNOPQRSTUVWXYZabcdefghijklmnopqrstuvwxyz0123456789,")))),"")</f>
        <v/>
      </c>
      <c r="D987" s="15" t="str">
        <v/>
      </c>
      <c r="E987" s="16" t="str">
        <v/>
      </c>
      <c r="F987" s="15" t="str">
        <v/>
      </c>
      <c r="G987" s="20" t="str" cm="1">
        <f t="array" ref="G987">IF(TRIM(P987)="","",IF(SUM(COUNTIF(P987,{"*NLGD*","*FWG*"}))&gt;0,P987,IF(SUM(COUNTIF(P987,{"*GL*","*DGB*","*DGI*","*GT*","*CS*","*PWU*","*DBI*","*SWU*"}))=0,P987,IF(IFERROR(VALUE(SUBSTITUTE(SUBSTITUTE(O987,"W",""),"""","")),0)&gt;52,P987&amp;"-OVRSIZE-",P987))))</f>
        <v/>
      </c>
      <c r="H987" s="15" t="str">
        <v/>
      </c>
      <c r="I987" s="15" t="str">
        <v/>
      </c>
      <c r="J987" s="15" t="str">
        <v/>
      </c>
      <c r="K987" s="15" t="str">
        <v/>
      </c>
      <c r="L987" s="15" t="str">
        <v/>
      </c>
      <c r="M987" s="10" t="str">
        <v/>
      </c>
      <c r="N987" s="14"/>
      <c r="O987" s="15" t="str" cm="1">
        <f t="array" ref="O987">IFERROR(_xlfn.LET(
_xlpm.clean,TRIM(SUBSTITUTE(SUBSTITUTE(P987,CHAR(160),"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7" s="15"/>
      <c r="R987" t="str">
        <v/>
      </c>
      <c r="S987" t="str">
        <f t="shared" si="16"/>
        <v/>
      </c>
    </row>
    <row r="988" spans="1:19" ht="12.75">
      <c r="A988" s="15" t="str">
        <v/>
      </c>
      <c r="B988" s="15" t="str">
        <v/>
      </c>
      <c r="C988" s="15" t="str" cm="1">
        <f t="array" ref="C988">IFERROR(_xlfn.TEXTJOIN("",TRUE,_xlfn._xlws.FILTER(MID(S988,_xlfn.SEQUENCE(LEN(S988)),1),ISNUMBER(SEARCH(MID(S988,_xlfn.SEQUENCE(LEN(S988)),1),"ABCDEFGHIJKLMNOPQRSTUVWXYZabcdefghijklmnopqrstuvwxyz0123456789,")))),"")</f>
        <v/>
      </c>
      <c r="D988" s="15" t="str">
        <v/>
      </c>
      <c r="E988" s="16" t="str">
        <v/>
      </c>
      <c r="F988" s="15" t="str">
        <v/>
      </c>
      <c r="G988" s="20" t="str" cm="1">
        <f t="array" ref="G988">IF(TRIM(P988)="","",IF(SUM(COUNTIF(P988,{"*NLGD*","*FWG*"}))&gt;0,P988,IF(SUM(COUNTIF(P988,{"*GL*","*DGB*","*DGI*","*GT*","*CS*","*PWU*","*DBI*","*SWU*"}))=0,P988,IF(IFERROR(VALUE(SUBSTITUTE(SUBSTITUTE(O988,"W",""),"""","")),0)&gt;52,P988&amp;"-OVRSIZE-",P988))))</f>
        <v/>
      </c>
      <c r="H988" s="15" t="str">
        <v/>
      </c>
      <c r="I988" s="15" t="str">
        <v/>
      </c>
      <c r="J988" s="15" t="str">
        <v/>
      </c>
      <c r="K988" s="15" t="str">
        <v/>
      </c>
      <c r="L988" s="15" t="str">
        <v/>
      </c>
      <c r="M988" s="10" t="str">
        <v/>
      </c>
      <c r="N988" s="14"/>
      <c r="O988" s="15" t="str" cm="1">
        <f t="array" ref="O988">IFERROR(_xlfn.LET(
_xlpm.clean,TRIM(SUBSTITUTE(SUBSTITUTE(P988,CHAR(160),"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8" s="15"/>
      <c r="R988" t="str">
        <v/>
      </c>
      <c r="S988" t="str">
        <f t="shared" si="16"/>
        <v/>
      </c>
    </row>
    <row r="989" spans="1:19" ht="12.75">
      <c r="A989" s="15" t="str">
        <v/>
      </c>
      <c r="B989" s="15" t="str">
        <v/>
      </c>
      <c r="C989" s="15" t="str" cm="1">
        <f t="array" ref="C989">IFERROR(_xlfn.TEXTJOIN("",TRUE,_xlfn._xlws.FILTER(MID(S989,_xlfn.SEQUENCE(LEN(S989)),1),ISNUMBER(SEARCH(MID(S989,_xlfn.SEQUENCE(LEN(S989)),1),"ABCDEFGHIJKLMNOPQRSTUVWXYZabcdefghijklmnopqrstuvwxyz0123456789,")))),"")</f>
        <v/>
      </c>
      <c r="D989" s="15" t="str">
        <v/>
      </c>
      <c r="E989" s="16" t="str">
        <v/>
      </c>
      <c r="F989" s="15" t="str">
        <v/>
      </c>
      <c r="G989" s="20" t="str" cm="1">
        <f t="array" ref="G989">IF(TRIM(P989)="","",IF(SUM(COUNTIF(P989,{"*NLGD*","*FWG*"}))&gt;0,P989,IF(SUM(COUNTIF(P989,{"*GL*","*DGB*","*DGI*","*GT*","*CS*","*PWU*","*DBI*","*SWU*"}))=0,P989,IF(IFERROR(VALUE(SUBSTITUTE(SUBSTITUTE(O989,"W",""),"""","")),0)&gt;52,P989&amp;"-OVRSIZE-",P989))))</f>
        <v/>
      </c>
      <c r="H989" s="15" t="str">
        <v/>
      </c>
      <c r="I989" s="15" t="str">
        <v/>
      </c>
      <c r="J989" s="15" t="str">
        <v/>
      </c>
      <c r="K989" s="15" t="str">
        <v/>
      </c>
      <c r="L989" s="15" t="str">
        <v/>
      </c>
      <c r="M989" s="10" t="str">
        <v/>
      </c>
      <c r="N989" s="14"/>
      <c r="O989" s="15" t="str" cm="1">
        <f t="array" ref="O989">IFERROR(_xlfn.LET(
_xlpm.clean,TRIM(SUBSTITUTE(SUBSTITUTE(P989,CHAR(160),"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9" s="15"/>
      <c r="R989" t="str">
        <v/>
      </c>
      <c r="S989" t="str">
        <f t="shared" si="16"/>
        <v/>
      </c>
    </row>
    <row r="990" spans="1:19" ht="12.75">
      <c r="A990" s="15" t="str">
        <v/>
      </c>
      <c r="B990" s="15" t="str">
        <v/>
      </c>
      <c r="C990" s="15" t="str" cm="1">
        <f t="array" ref="C990">IFERROR(_xlfn.TEXTJOIN("",TRUE,_xlfn._xlws.FILTER(MID(S990,_xlfn.SEQUENCE(LEN(S990)),1),ISNUMBER(SEARCH(MID(S990,_xlfn.SEQUENCE(LEN(S990)),1),"ABCDEFGHIJKLMNOPQRSTUVWXYZabcdefghijklmnopqrstuvwxyz0123456789,")))),"")</f>
        <v/>
      </c>
      <c r="D990" s="15" t="str">
        <v/>
      </c>
      <c r="E990" s="16" t="str">
        <v/>
      </c>
      <c r="F990" s="15" t="str">
        <v/>
      </c>
      <c r="G990" s="20" t="str" cm="1">
        <f t="array" ref="G990">IF(TRIM(P990)="","",IF(SUM(COUNTIF(P990,{"*NLGD*","*FWG*"}))&gt;0,P990,IF(SUM(COUNTIF(P990,{"*GL*","*DGB*","*DGI*","*GT*","*CS*","*PWU*","*DBI*","*SWU*"}))=0,P990,IF(IFERROR(VALUE(SUBSTITUTE(SUBSTITUTE(O990,"W",""),"""","")),0)&gt;52,P990&amp;"-OVRSIZE-",P990))))</f>
        <v/>
      </c>
      <c r="H990" s="15" t="str">
        <v/>
      </c>
      <c r="I990" s="15" t="str">
        <v/>
      </c>
      <c r="J990" s="15" t="str">
        <v/>
      </c>
      <c r="K990" s="15" t="str">
        <v/>
      </c>
      <c r="L990" s="15" t="str">
        <v/>
      </c>
      <c r="M990" s="10" t="str">
        <v/>
      </c>
      <c r="N990" s="14"/>
      <c r="O990" s="15" t="str" cm="1">
        <f t="array" ref="O990">IFERROR(_xlfn.LET(
_xlpm.clean,TRIM(SUBSTITUTE(SUBSTITUTE(P990,CHAR(160),"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0" s="15"/>
      <c r="R990" t="str">
        <v/>
      </c>
      <c r="S990" t="str">
        <f t="shared" si="16"/>
        <v/>
      </c>
    </row>
    <row r="991" spans="1:19" ht="12.75">
      <c r="A991" s="15" t="str">
        <v/>
      </c>
      <c r="B991" s="15" t="str">
        <v/>
      </c>
      <c r="C991" s="15" t="str" cm="1">
        <f t="array" ref="C991">IFERROR(_xlfn.TEXTJOIN("",TRUE,_xlfn._xlws.FILTER(MID(S991,_xlfn.SEQUENCE(LEN(S991)),1),ISNUMBER(SEARCH(MID(S991,_xlfn.SEQUENCE(LEN(S991)),1),"ABCDEFGHIJKLMNOPQRSTUVWXYZabcdefghijklmnopqrstuvwxyz0123456789,")))),"")</f>
        <v/>
      </c>
      <c r="D991" s="15" t="str">
        <v/>
      </c>
      <c r="E991" s="16" t="str">
        <v/>
      </c>
      <c r="F991" s="15" t="str">
        <v/>
      </c>
      <c r="G991" s="20" t="str" cm="1">
        <f t="array" ref="G991">IF(TRIM(P991)="","",IF(SUM(COUNTIF(P991,{"*NLGD*","*FWG*"}))&gt;0,P991,IF(SUM(COUNTIF(P991,{"*GL*","*DGB*","*DGI*","*GT*","*CS*","*PWU*","*DBI*","*SWU*"}))=0,P991,IF(IFERROR(VALUE(SUBSTITUTE(SUBSTITUTE(O991,"W",""),"""","")),0)&gt;52,P991&amp;"-OVRSIZE-",P991))))</f>
        <v/>
      </c>
      <c r="H991" s="15" t="str">
        <v/>
      </c>
      <c r="I991" s="15" t="str">
        <v/>
      </c>
      <c r="J991" s="15" t="str">
        <v/>
      </c>
      <c r="K991" s="15" t="str">
        <v/>
      </c>
      <c r="L991" s="15" t="str">
        <v/>
      </c>
      <c r="M991" s="10" t="str">
        <v/>
      </c>
      <c r="N991" s="14"/>
      <c r="O991" s="15" t="str" cm="1">
        <f t="array" ref="O991">IFERROR(_xlfn.LET(
_xlpm.clean,TRIM(SUBSTITUTE(SUBSTITUTE(P991,CHAR(160),"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1" s="15"/>
      <c r="R991" t="str">
        <v/>
      </c>
      <c r="S991" t="str">
        <f t="shared" si="16"/>
        <v/>
      </c>
    </row>
    <row r="992" spans="1:19" ht="12.75">
      <c r="A992" s="15" t="str">
        <v/>
      </c>
      <c r="B992" s="15" t="str">
        <v/>
      </c>
      <c r="C992" s="15" t="str" cm="1">
        <f t="array" ref="C992">IFERROR(_xlfn.TEXTJOIN("",TRUE,_xlfn._xlws.FILTER(MID(S992,_xlfn.SEQUENCE(LEN(S992)),1),ISNUMBER(SEARCH(MID(S992,_xlfn.SEQUENCE(LEN(S992)),1),"ABCDEFGHIJKLMNOPQRSTUVWXYZabcdefghijklmnopqrstuvwxyz0123456789,")))),"")</f>
        <v/>
      </c>
      <c r="D992" s="15" t="str">
        <v/>
      </c>
      <c r="E992" s="16" t="str">
        <v/>
      </c>
      <c r="F992" s="15" t="str">
        <v/>
      </c>
      <c r="G992" s="20" t="str" cm="1">
        <f t="array" ref="G992">IF(TRIM(P992)="","",IF(SUM(COUNTIF(P992,{"*NLGD*","*FWG*"}))&gt;0,P992,IF(SUM(COUNTIF(P992,{"*GL*","*DGB*","*DGI*","*GT*","*CS*","*PWU*","*DBI*","*SWU*"}))=0,P992,IF(IFERROR(VALUE(SUBSTITUTE(SUBSTITUTE(O992,"W",""),"""","")),0)&gt;52,P992&amp;"-OVRSIZE-",P992))))</f>
        <v/>
      </c>
      <c r="H992" s="15" t="str">
        <v/>
      </c>
      <c r="I992" s="15" t="str">
        <v/>
      </c>
      <c r="J992" s="15" t="str">
        <v/>
      </c>
      <c r="K992" s="15" t="str">
        <v/>
      </c>
      <c r="L992" s="15" t="str">
        <v/>
      </c>
      <c r="M992" s="10" t="str">
        <v/>
      </c>
      <c r="N992" s="14"/>
      <c r="O992" s="15" t="str" cm="1">
        <f t="array" ref="O992">IFERROR(_xlfn.LET(
_xlpm.clean,TRIM(SUBSTITUTE(SUBSTITUTE(P992,CHAR(160),"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2" s="15"/>
      <c r="R992" t="str">
        <v/>
      </c>
      <c r="S992" t="str">
        <f t="shared" si="16"/>
        <v/>
      </c>
    </row>
    <row r="993" spans="1:19" ht="12.75">
      <c r="A993" s="15" t="str">
        <v/>
      </c>
      <c r="B993" s="15" t="str">
        <v/>
      </c>
      <c r="C993" s="15" t="str" cm="1">
        <f t="array" ref="C993">IFERROR(_xlfn.TEXTJOIN("",TRUE,_xlfn._xlws.FILTER(MID(S993,_xlfn.SEQUENCE(LEN(S993)),1),ISNUMBER(SEARCH(MID(S993,_xlfn.SEQUENCE(LEN(S993)),1),"ABCDEFGHIJKLMNOPQRSTUVWXYZabcdefghijklmnopqrstuvwxyz0123456789,")))),"")</f>
        <v/>
      </c>
      <c r="D993" s="15" t="str">
        <v/>
      </c>
      <c r="E993" s="16" t="str">
        <v/>
      </c>
      <c r="F993" s="15" t="str">
        <v/>
      </c>
      <c r="G993" s="20" t="str" cm="1">
        <f t="array" ref="G993">IF(TRIM(P993)="","",IF(SUM(COUNTIF(P993,{"*NLGD*","*FWG*"}))&gt;0,P993,IF(SUM(COUNTIF(P993,{"*GL*","*DGB*","*DGI*","*GT*","*CS*","*PWU*","*DBI*","*SWU*"}))=0,P993,IF(IFERROR(VALUE(SUBSTITUTE(SUBSTITUTE(O993,"W",""),"""","")),0)&gt;52,P993&amp;"-OVRSIZE-",P993))))</f>
        <v/>
      </c>
      <c r="H993" s="15" t="str">
        <v/>
      </c>
      <c r="I993" s="15" t="str">
        <v/>
      </c>
      <c r="J993" s="15" t="str">
        <v/>
      </c>
      <c r="K993" s="15" t="str">
        <v/>
      </c>
      <c r="L993" s="15" t="str">
        <v/>
      </c>
      <c r="M993" s="10" t="str">
        <v/>
      </c>
      <c r="N993" s="14"/>
      <c r="O993" s="15" t="str" cm="1">
        <f t="array" ref="O993">IFERROR(_xlfn.LET(
_xlpm.clean,TRIM(SUBSTITUTE(SUBSTITUTE(P993,CHAR(160),"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3" s="15"/>
      <c r="R993" t="str">
        <v/>
      </c>
      <c r="S993" t="str">
        <f t="shared" si="16"/>
        <v/>
      </c>
    </row>
    <row r="994" spans="1:19" ht="12.75">
      <c r="A994" s="15" t="str">
        <v/>
      </c>
      <c r="B994" s="15" t="str">
        <v/>
      </c>
      <c r="C994" s="15" t="str" cm="1">
        <f t="array" ref="C994">IFERROR(_xlfn.TEXTJOIN("",TRUE,_xlfn._xlws.FILTER(MID(S994,_xlfn.SEQUENCE(LEN(S994)),1),ISNUMBER(SEARCH(MID(S994,_xlfn.SEQUENCE(LEN(S994)),1),"ABCDEFGHIJKLMNOPQRSTUVWXYZabcdefghijklmnopqrstuvwxyz0123456789,")))),"")</f>
        <v/>
      </c>
      <c r="D994" s="15" t="str">
        <v/>
      </c>
      <c r="E994" s="16" t="str">
        <v/>
      </c>
      <c r="F994" s="15" t="str">
        <v/>
      </c>
      <c r="G994" s="20" t="str" cm="1">
        <f t="array" ref="G994">IF(TRIM(P994)="","",IF(SUM(COUNTIF(P994,{"*NLGD*","*FWG*"}))&gt;0,P994,IF(SUM(COUNTIF(P994,{"*GL*","*DGB*","*DGI*","*GT*","*CS*","*PWU*","*DBI*","*SWU*"}))=0,P994,IF(IFERROR(VALUE(SUBSTITUTE(SUBSTITUTE(O994,"W",""),"""","")),0)&gt;52,P994&amp;"-OVRSIZE-",P994))))</f>
        <v/>
      </c>
      <c r="H994" s="15" t="str">
        <v/>
      </c>
      <c r="I994" s="15" t="str">
        <v/>
      </c>
      <c r="J994" s="15" t="str">
        <v/>
      </c>
      <c r="K994" s="15" t="str">
        <v/>
      </c>
      <c r="L994" s="15" t="str">
        <v/>
      </c>
      <c r="M994" s="10" t="str">
        <v/>
      </c>
      <c r="N994" s="14"/>
      <c r="O994" s="15" t="str" cm="1">
        <f t="array" ref="O994">IFERROR(_xlfn.LET(
_xlpm.clean,TRIM(SUBSTITUTE(SUBSTITUTE(P994,CHAR(160),"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4" s="15"/>
      <c r="R994" t="str">
        <v/>
      </c>
      <c r="S994" t="str">
        <f t="shared" si="16"/>
        <v/>
      </c>
    </row>
    <row r="995" spans="1:19" ht="12.75">
      <c r="A995" s="15" t="str">
        <v/>
      </c>
      <c r="B995" s="15" t="str">
        <v/>
      </c>
      <c r="C995" s="15" t="str" cm="1">
        <f t="array" ref="C995">IFERROR(_xlfn.TEXTJOIN("",TRUE,_xlfn._xlws.FILTER(MID(S995,_xlfn.SEQUENCE(LEN(S995)),1),ISNUMBER(SEARCH(MID(S995,_xlfn.SEQUENCE(LEN(S995)),1),"ABCDEFGHIJKLMNOPQRSTUVWXYZabcdefghijklmnopqrstuvwxyz0123456789,")))),"")</f>
        <v/>
      </c>
      <c r="D995" s="15" t="str">
        <v/>
      </c>
      <c r="E995" s="16" t="str">
        <v/>
      </c>
      <c r="F995" s="15" t="str">
        <v/>
      </c>
      <c r="G995" s="20" t="str" cm="1">
        <f t="array" ref="G995">IF(TRIM(P995)="","",IF(SUM(COUNTIF(P995,{"*NLGD*","*FWG*"}))&gt;0,P995,IF(SUM(COUNTIF(P995,{"*GL*","*DGB*","*DGI*","*GT*","*CS*","*PWU*","*DBI*","*SWU*"}))=0,P995,IF(IFERROR(VALUE(SUBSTITUTE(SUBSTITUTE(O995,"W",""),"""","")),0)&gt;52,P995&amp;"-OVRSIZE-",P995))))</f>
        <v/>
      </c>
      <c r="H995" s="15" t="str">
        <v/>
      </c>
      <c r="I995" s="15" t="str">
        <v/>
      </c>
      <c r="J995" s="15" t="str">
        <v/>
      </c>
      <c r="K995" s="15" t="str">
        <v/>
      </c>
      <c r="L995" s="15" t="str">
        <v/>
      </c>
      <c r="M995" s="10" t="str">
        <v/>
      </c>
      <c r="N995" s="14"/>
      <c r="O995" s="15" t="str" cm="1">
        <f t="array" ref="O995">IFERROR(_xlfn.LET(
_xlpm.clean,TRIM(SUBSTITUTE(SUBSTITUTE(P995,CHAR(160),"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5" s="15"/>
      <c r="R995" t="str">
        <v/>
      </c>
      <c r="S995" t="str">
        <f t="shared" si="16"/>
        <v/>
      </c>
    </row>
    <row r="996" spans="1:19" ht="12.75">
      <c r="A996" s="15" t="str">
        <v/>
      </c>
      <c r="B996" s="15" t="str">
        <v/>
      </c>
      <c r="C996" s="15" t="str" cm="1">
        <f t="array" ref="C996">IFERROR(_xlfn.TEXTJOIN("",TRUE,_xlfn._xlws.FILTER(MID(S996,_xlfn.SEQUENCE(LEN(S996)),1),ISNUMBER(SEARCH(MID(S996,_xlfn.SEQUENCE(LEN(S996)),1),"ABCDEFGHIJKLMNOPQRSTUVWXYZabcdefghijklmnopqrstuvwxyz0123456789,")))),"")</f>
        <v/>
      </c>
      <c r="D996" s="15" t="str">
        <v/>
      </c>
      <c r="E996" s="16" t="str">
        <v/>
      </c>
      <c r="F996" s="15" t="str">
        <v/>
      </c>
      <c r="G996" s="20" t="str" cm="1">
        <f t="array" ref="G996">IF(TRIM(P996)="","",IF(SUM(COUNTIF(P996,{"*NLGD*","*FWG*"}))&gt;0,P996,IF(SUM(COUNTIF(P996,{"*GL*","*DGB*","*DGI*","*GT*","*CS*","*PWU*","*DBI*","*SWU*"}))=0,P996,IF(IFERROR(VALUE(SUBSTITUTE(SUBSTITUTE(O996,"W",""),"""","")),0)&gt;52,P996&amp;"-OVRSIZE-",P996))))</f>
        <v/>
      </c>
      <c r="H996" s="15" t="str">
        <v/>
      </c>
      <c r="I996" s="15" t="str">
        <v/>
      </c>
      <c r="J996" s="15" t="str">
        <v/>
      </c>
      <c r="K996" s="15" t="str">
        <v/>
      </c>
      <c r="L996" s="15" t="str">
        <v/>
      </c>
      <c r="M996" s="10" t="str">
        <v/>
      </c>
      <c r="N996" s="14"/>
      <c r="O996" s="15" t="str" cm="1">
        <f t="array" ref="O996">IFERROR(_xlfn.LET(
_xlpm.clean,TRIM(SUBSTITUTE(SUBSTITUTE(P996,CHAR(160),"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6" s="15"/>
      <c r="R996" t="str">
        <v/>
      </c>
      <c r="S996" t="str">
        <f t="shared" si="16"/>
        <v/>
      </c>
    </row>
    <row r="997" spans="1:19" ht="12.75">
      <c r="A997" s="15" t="str">
        <v/>
      </c>
      <c r="B997" s="15" t="str">
        <v/>
      </c>
      <c r="C997" s="15" t="str" cm="1">
        <f t="array" ref="C997">IFERROR(_xlfn.TEXTJOIN("",TRUE,_xlfn._xlws.FILTER(MID(S997,_xlfn.SEQUENCE(LEN(S997)),1),ISNUMBER(SEARCH(MID(S997,_xlfn.SEQUENCE(LEN(S997)),1),"ABCDEFGHIJKLMNOPQRSTUVWXYZabcdefghijklmnopqrstuvwxyz0123456789,")))),"")</f>
        <v/>
      </c>
      <c r="D997" s="15" t="str">
        <v/>
      </c>
      <c r="E997" s="16" t="str">
        <v/>
      </c>
      <c r="F997" s="15" t="str">
        <v/>
      </c>
      <c r="G997" s="20" t="str" cm="1">
        <f t="array" ref="G997">IF(TRIM(P997)="","",IF(SUM(COUNTIF(P997,{"*NLGD*","*FWG*"}))&gt;0,P997,IF(SUM(COUNTIF(P997,{"*GL*","*DGB*","*DGI*","*GT*","*CS*","*PWU*","*DBI*","*SWU*"}))=0,P997,IF(IFERROR(VALUE(SUBSTITUTE(SUBSTITUTE(O997,"W",""),"""","")),0)&gt;52,P997&amp;"-OVRSIZE-",P997))))</f>
        <v/>
      </c>
      <c r="H997" s="15" t="str">
        <v/>
      </c>
      <c r="I997" s="15" t="str">
        <v/>
      </c>
      <c r="J997" s="15" t="str">
        <v/>
      </c>
      <c r="K997" s="15" t="str">
        <v/>
      </c>
      <c r="L997" s="15" t="str">
        <v/>
      </c>
      <c r="M997" s="10" t="str">
        <v/>
      </c>
      <c r="N997" s="14"/>
      <c r="O997" s="15" t="str" cm="1">
        <f t="array" ref="O997">IFERROR(_xlfn.LET(
_xlpm.clean,TRIM(SUBSTITUTE(SUBSTITUTE(P997,CHAR(160),"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7" s="15"/>
      <c r="R997" t="str">
        <v/>
      </c>
      <c r="S997" t="str">
        <f t="shared" si="16"/>
        <v/>
      </c>
    </row>
    <row r="998" spans="1:19" ht="12.75">
      <c r="A998" s="15" t="str">
        <v/>
      </c>
      <c r="B998" s="15" t="str">
        <v/>
      </c>
      <c r="C998" s="15" t="str" cm="1">
        <f t="array" ref="C998">IFERROR(_xlfn.TEXTJOIN("",TRUE,_xlfn._xlws.FILTER(MID(S998,_xlfn.SEQUENCE(LEN(S998)),1),ISNUMBER(SEARCH(MID(S998,_xlfn.SEQUENCE(LEN(S998)),1),"ABCDEFGHIJKLMNOPQRSTUVWXYZabcdefghijklmnopqrstuvwxyz0123456789,")))),"")</f>
        <v/>
      </c>
      <c r="D998" s="15" t="str">
        <v/>
      </c>
      <c r="E998" s="16" t="str">
        <v/>
      </c>
      <c r="F998" s="15" t="str">
        <v/>
      </c>
      <c r="G998" s="20" t="str" cm="1">
        <f t="array" ref="G998">IF(TRIM(P998)="","",IF(SUM(COUNTIF(P998,{"*NLGD*","*FWG*"}))&gt;0,P998,IF(SUM(COUNTIF(P998,{"*GL*","*DGB*","*DGI*","*GT*","*CS*","*PWU*","*DBI*","*SWU*"}))=0,P998,IF(IFERROR(VALUE(SUBSTITUTE(SUBSTITUTE(O998,"W",""),"""","")),0)&gt;52,P998&amp;"-OVRSIZE-",P998))))</f>
        <v/>
      </c>
      <c r="H998" s="15" t="str">
        <v/>
      </c>
      <c r="I998" s="15" t="str">
        <v/>
      </c>
      <c r="J998" s="15" t="str">
        <v/>
      </c>
      <c r="K998" s="15" t="str">
        <v/>
      </c>
      <c r="L998" s="15" t="str">
        <v/>
      </c>
      <c r="M998" s="10" t="str">
        <v/>
      </c>
      <c r="N998" s="14"/>
      <c r="O998" s="15" t="str" cm="1">
        <f t="array" ref="O998">IFERROR(_xlfn.LET(
_xlpm.clean,TRIM(SUBSTITUTE(SUBSTITUTE(P998,CHAR(160),"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8" s="15"/>
      <c r="R998" t="str">
        <v/>
      </c>
      <c r="S998" t="str">
        <f t="shared" si="16"/>
        <v/>
      </c>
    </row>
    <row r="999" spans="1:19" ht="12.75">
      <c r="A999" s="15" t="str">
        <v/>
      </c>
      <c r="B999" s="15" t="str">
        <v/>
      </c>
      <c r="C999" s="15" t="str" cm="1">
        <f t="array" ref="C999">IFERROR(_xlfn.TEXTJOIN("",TRUE,_xlfn._xlws.FILTER(MID(S999,_xlfn.SEQUENCE(LEN(S999)),1),ISNUMBER(SEARCH(MID(S999,_xlfn.SEQUENCE(LEN(S999)),1),"ABCDEFGHIJKLMNOPQRSTUVWXYZabcdefghijklmnopqrstuvwxyz0123456789,")))),"")</f>
        <v/>
      </c>
      <c r="D999" s="15" t="str">
        <v/>
      </c>
      <c r="E999" s="16" t="str">
        <v/>
      </c>
      <c r="F999" s="15" t="str">
        <v/>
      </c>
      <c r="G999" s="20" t="str" cm="1">
        <f t="array" ref="G999">IF(TRIM(P999)="","",IF(SUM(COUNTIF(P999,{"*NLGD*","*FWG*"}))&gt;0,P999,IF(SUM(COUNTIF(P999,{"*GL*","*DGB*","*DGI*","*GT*","*CS*","*PWU*","*DBI*","*SWU*"}))=0,P999,IF(IFERROR(VALUE(SUBSTITUTE(SUBSTITUTE(O999,"W",""),"""","")),0)&gt;52,P999&amp;"-OVRSIZE-",P999))))</f>
        <v/>
      </c>
      <c r="H999" s="15" t="str">
        <v/>
      </c>
      <c r="I999" s="15" t="str">
        <v/>
      </c>
      <c r="J999" s="15" t="str">
        <v/>
      </c>
      <c r="K999" s="15" t="str">
        <v/>
      </c>
      <c r="L999" s="15" t="str">
        <v/>
      </c>
      <c r="M999" s="10" t="str">
        <v/>
      </c>
      <c r="N999" s="14"/>
      <c r="O999" s="15" t="str" cm="1">
        <f t="array" ref="O999">IFERROR(_xlfn.LET(
_xlpm.clean,TRIM(SUBSTITUTE(SUBSTITUTE(P999,CHAR(160),"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9" s="15"/>
      <c r="R999" t="str">
        <v/>
      </c>
      <c r="S999" t="str">
        <f t="shared" si="16"/>
        <v/>
      </c>
    </row>
    <row r="1000" spans="1:19" ht="12.75">
      <c r="A1000" s="15" t="str">
        <v/>
      </c>
      <c r="B1000" s="15" t="str">
        <v/>
      </c>
      <c r="C1000" s="15" t="str" cm="1">
        <f t="array" ref="C1000">IFERROR(_xlfn.TEXTJOIN("",TRUE,_xlfn._xlws.FILTER(MID(S1000,_xlfn.SEQUENCE(LEN(S1000)),1),ISNUMBER(SEARCH(MID(S1000,_xlfn.SEQUENCE(LEN(S1000)),1),"ABCDEFGHIJKLMNOPQRSTUVWXYZabcdefghijklmnopqrstuvwxyz0123456789,")))),"")</f>
        <v/>
      </c>
      <c r="D1000" s="15" t="str">
        <v/>
      </c>
      <c r="E1000" s="16" t="str">
        <v/>
      </c>
      <c r="F1000" s="15" t="str">
        <v/>
      </c>
      <c r="G1000" s="20" t="str" cm="1">
        <f t="array" ref="G1000">IF(TRIM(P1000)="","",IF(SUM(COUNTIF(P1000,{"*NLGD*","*FWG*"}))&gt;0,P1000,IF(SUM(COUNTIF(P1000,{"*GL*","*DGB*","*DGI*","*GT*","*CS*","*PWU*","*DBI*","*SWU*"}))=0,P1000,IF(IFERROR(VALUE(SUBSTITUTE(SUBSTITUTE(O1000,"W",""),"""","")),0)&gt;52,P1000&amp;"-OVRSIZE-",P1000))))</f>
        <v/>
      </c>
      <c r="H1000" s="15" t="str">
        <v/>
      </c>
      <c r="I1000" s="15" t="str">
        <v/>
      </c>
      <c r="J1000" s="15" t="str">
        <v/>
      </c>
      <c r="K1000" s="15" t="str">
        <v/>
      </c>
      <c r="L1000" s="15" t="str">
        <v/>
      </c>
      <c r="M1000" s="10" t="str">
        <v/>
      </c>
      <c r="N1000" s="14"/>
      <c r="O1000" s="15" t="str" cm="1">
        <f t="array" ref="O1000">IFERROR(_xlfn.LET(
_xlpm.clean,TRIM(SUBSTITUTE(SUBSTITUTE(P1000,CHAR(160),"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00" s="15"/>
      <c r="R1000" t="str">
        <v/>
      </c>
      <c r="S1000" t="str">
        <f t="shared" si="16"/>
        <v/>
      </c>
    </row>
    <row r="1001" spans="1:19" ht="15.75" customHeight="1">
      <c r="C1001" s="15" t="str" cm="1">
        <f t="array" ref="C1001">IFERROR(_xlfn.TEXTJOIN("",TRUE,_xlfn._xlws.FILTER(MID(S1001,_xlfn.SEQUENCE(LEN(S1001)),1),ISNUMBER(SEARCH(MID(S1001,_xlfn.SEQUENCE(LEN(S1001)),1),"ABCDEFGHIJKLMNOPQRSTUVWXYZabcdefghijklmnopqrstuvwxyz0123456789,")))),"")</f>
        <v/>
      </c>
      <c r="G1001" s="20" t="str" cm="1">
        <f t="array" ref="G1001">IF(TRIM(P1001)="","",IF(SUM(COUNTIF(P1001,{"*NLGD*","*FWG*"}))&gt;0,P1001,IF(SUM(COUNTIF(P1001,{"*GL*","*DGB*","*DGI*","*GT*","*CS*","*PWU*","*DBI*","*SWU*"}))=0,P1001,IF(IFERROR(VALUE(SUBSTITUTE(SUBSTITUTE(O1001,"W",""),"""","")),0)&gt;52,P1001&amp;"-OVRSIZE-",P1001))))</f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s="18" t="str">
        <v/>
      </c>
      <c r="O1001" s="15" t="str" cm="1">
        <f t="array" ref="O1001">IFERROR(_xlfn.LET(
_xlpm.clean,TRIM(SUBSTITUTE(SUBSTITUTE(P1001,CHAR(160),"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1" t="str">
        <f t="shared" si="16"/>
        <v/>
      </c>
    </row>
    <row r="1002" spans="1:19" ht="15.75" customHeight="1">
      <c r="C1002" s="15" t="str" cm="1">
        <f t="array" ref="C1002">IFERROR(_xlfn.TEXTJOIN("",TRUE,_xlfn._xlws.FILTER(MID(S1002,_xlfn.SEQUENCE(LEN(S1002)),1),ISNUMBER(SEARCH(MID(S1002,_xlfn.SEQUENCE(LEN(S1002)),1),"ABCDEFGHIJKLMNOPQRSTUVWXYZabcdefghijklmnopqrstuvwxyz0123456789,")))),"")</f>
        <v/>
      </c>
      <c r="G1002" s="20" t="str" cm="1">
        <f t="array" ref="G1002">IF(TRIM(P1002)="","",IF(SUM(COUNTIF(P1002,{"*NLGD*","*FWG*"}))&gt;0,P1002,IF(SUM(COUNTIF(P1002,{"*GL*","*DGB*","*DGI*","*GT*","*CS*","*PWU*","*DBI*","*SWU*"}))=0,P1002,IF(IFERROR(VALUE(SUBSTITUTE(SUBSTITUTE(O1002,"W",""),"""","")),0)&gt;52,P1002&amp;"-OVRSIZE-",P1002))))</f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s="18" t="str">
        <v/>
      </c>
      <c r="O1002" s="15" t="str" cm="1">
        <f t="array" ref="O1002">IFERROR(_xlfn.LET(
_xlpm.clean,TRIM(SUBSTITUTE(SUBSTITUTE(P1002,CHAR(160),"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2" t="str">
        <f t="shared" si="16"/>
        <v/>
      </c>
    </row>
    <row r="1003" spans="1:19" ht="15.75" customHeight="1">
      <c r="C1003" s="15" t="str" cm="1">
        <f t="array" ref="C1003">IFERROR(_xlfn.TEXTJOIN("",TRUE,_xlfn._xlws.FILTER(MID(S1003,_xlfn.SEQUENCE(LEN(S1003)),1),ISNUMBER(SEARCH(MID(S1003,_xlfn.SEQUENCE(LEN(S1003)),1),"ABCDEFGHIJKLMNOPQRSTUVWXYZabcdefghijklmnopqrstuvwxyz0123456789,")))),"")</f>
        <v/>
      </c>
      <c r="G1003" s="20" t="str" cm="1">
        <f t="array" ref="G1003">IF(TRIM(P1003)="","",IF(SUM(COUNTIF(P1003,{"*NLGD*","*FWG*"}))&gt;0,P1003,IF(SUM(COUNTIF(P1003,{"*GL*","*DGB*","*DGI*","*GT*","*CS*","*PWU*","*DBI*","*SWU*"}))=0,P1003,IF(IFERROR(VALUE(SUBSTITUTE(SUBSTITUTE(O1003,"W",""),"""","")),0)&gt;52,P1003&amp;"-OVRSIZE-",P1003))))</f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s="18" t="str">
        <v/>
      </c>
      <c r="O1003" s="15" t="str" cm="1">
        <f t="array" ref="O1003">IFERROR(_xlfn.LET(
_xlpm.clean,TRIM(SUBSTITUTE(SUBSTITUTE(P1003,CHAR(160),"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3" t="str">
        <f t="shared" si="16"/>
        <v/>
      </c>
    </row>
    <row r="1004" spans="1:19" ht="15.75" customHeight="1">
      <c r="C1004" s="15" t="str" cm="1">
        <f t="array" ref="C1004">IFERROR(_xlfn.TEXTJOIN("",TRUE,_xlfn._xlws.FILTER(MID(S1004,_xlfn.SEQUENCE(LEN(S1004)),1),ISNUMBER(SEARCH(MID(S1004,_xlfn.SEQUENCE(LEN(S1004)),1),"ABCDEFGHIJKLMNOPQRSTUVWXYZabcdefghijklmnopqrstuvwxyz0123456789,")))),"")</f>
        <v/>
      </c>
      <c r="G1004" s="20" t="str" cm="1">
        <f t="array" ref="G1004">IF(TRIM(P1004)="","",IF(SUM(COUNTIF(P1004,{"*NLGD*","*FWG*"}))&gt;0,P1004,IF(SUM(COUNTIF(P1004,{"*GL*","*DGB*","*DGI*","*GT*","*CS*","*PWU*","*DBI*","*SWU*"}))=0,P1004,IF(IFERROR(VALUE(SUBSTITUTE(SUBSTITUTE(O1004,"W",""),"""","")),0)&gt;52,P1004&amp;"-OVRSIZE-",P1004))))</f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s="18" t="str">
        <v/>
      </c>
      <c r="O1004" s="15" t="str" cm="1">
        <f t="array" ref="O1004">IFERROR(_xlfn.LET(
_xlpm.clean,TRIM(SUBSTITUTE(SUBSTITUTE(P1004,CHAR(160),"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4" t="str">
        <f t="shared" si="16"/>
        <v/>
      </c>
    </row>
    <row r="1005" spans="1:19" ht="15.75" customHeight="1">
      <c r="C1005" s="15" t="str" cm="1">
        <f t="array" ref="C1005">IFERROR(_xlfn.TEXTJOIN("",TRUE,_xlfn._xlws.FILTER(MID(S1005,_xlfn.SEQUENCE(LEN(S1005)),1),ISNUMBER(SEARCH(MID(S1005,_xlfn.SEQUENCE(LEN(S1005)),1),"ABCDEFGHIJKLMNOPQRSTUVWXYZabcdefghijklmnopqrstuvwxyz0123456789,")))),"")</f>
        <v/>
      </c>
      <c r="G1005" s="20" t="str" cm="1">
        <f t="array" ref="G1005">IF(TRIM(P1005)="","",IF(SUM(COUNTIF(P1005,{"*NLGD*","*FWG*"}))&gt;0,P1005,IF(SUM(COUNTIF(P1005,{"*GL*","*DGB*","*DGI*","*GT*","*CS*","*PWU*","*DBI*","*SWU*"}))=0,P1005,IF(IFERROR(VALUE(SUBSTITUTE(SUBSTITUTE(O1005,"W",""),"""","")),0)&gt;52,P1005&amp;"-OVRSIZE-",P1005))))</f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s="18" t="str">
        <v/>
      </c>
      <c r="O1005" s="15" t="str" cm="1">
        <f t="array" ref="O1005">IFERROR(_xlfn.LET(
_xlpm.clean,TRIM(SUBSTITUTE(SUBSTITUTE(P1005,CHAR(160),"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5" t="str">
        <f t="shared" si="16"/>
        <v/>
      </c>
    </row>
    <row r="1006" spans="1:19" ht="15.75" customHeight="1">
      <c r="C1006" s="15" t="str" cm="1">
        <f t="array" ref="C1006">IFERROR(_xlfn.TEXTJOIN("",TRUE,_xlfn._xlws.FILTER(MID(S1006,_xlfn.SEQUENCE(LEN(S1006)),1),ISNUMBER(SEARCH(MID(S1006,_xlfn.SEQUENCE(LEN(S1006)),1),"ABCDEFGHIJKLMNOPQRSTUVWXYZabcdefghijklmnopqrstuvwxyz0123456789,")))),"")</f>
        <v/>
      </c>
      <c r="G1006" s="20" t="str" cm="1">
        <f t="array" ref="G1006">IF(TRIM(P1006)="","",IF(SUM(COUNTIF(P1006,{"*NLGD*","*FWG*"}))&gt;0,P1006,IF(SUM(COUNTIF(P1006,{"*GL*","*DGB*","*DGI*","*GT*","*CS*","*PWU*","*DBI*","*SWU*"}))=0,P1006,IF(IFERROR(VALUE(SUBSTITUTE(SUBSTITUTE(O1006,"W",""),"""","")),0)&gt;52,P1006&amp;"-OVRSIZE-",P1006))))</f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s="18" t="str">
        <v/>
      </c>
      <c r="O1006" s="15" t="str" cm="1">
        <f t="array" ref="O1006">IFERROR(_xlfn.LET(
_xlpm.clean,TRIM(SUBSTITUTE(SUBSTITUTE(P1006,CHAR(160),"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6" t="str">
        <f t="shared" si="16"/>
        <v/>
      </c>
    </row>
    <row r="1007" spans="1:19" ht="15.75" customHeight="1">
      <c r="C1007" s="15" t="str" cm="1">
        <f t="array" ref="C1007">IFERROR(_xlfn.TEXTJOIN("",TRUE,_xlfn._xlws.FILTER(MID(S1007,_xlfn.SEQUENCE(LEN(S1007)),1),ISNUMBER(SEARCH(MID(S1007,_xlfn.SEQUENCE(LEN(S1007)),1),"ABCDEFGHIJKLMNOPQRSTUVWXYZabcdefghijklmnopqrstuvwxyz0123456789,")))),"")</f>
        <v/>
      </c>
      <c r="G1007" s="20" t="str" cm="1">
        <f t="array" ref="G1007">IF(TRIM(P1007)="","",IF(SUM(COUNTIF(P1007,{"*NLGD*","*FWG*"}))&gt;0,P1007,IF(SUM(COUNTIF(P1007,{"*GL*","*DGB*","*DGI*","*GT*","*CS*","*PWU*","*DBI*","*SWU*"}))=0,P1007,IF(IFERROR(VALUE(SUBSTITUTE(SUBSTITUTE(O1007,"W",""),"""","")),0)&gt;52,P1007&amp;"-OVRSIZE-",P1007))))</f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s="18" t="str">
        <v/>
      </c>
      <c r="O1007" s="15" t="str" cm="1">
        <f t="array" ref="O1007">IFERROR(_xlfn.LET(
_xlpm.clean,TRIM(SUBSTITUTE(SUBSTITUTE(P1007,CHAR(160),"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7" t="str">
        <f t="shared" si="16"/>
        <v/>
      </c>
    </row>
    <row r="1008" spans="1:19" ht="15.75" customHeight="1">
      <c r="C1008" s="15" t="str" cm="1">
        <f t="array" ref="C1008">IFERROR(_xlfn.TEXTJOIN("",TRUE,_xlfn._xlws.FILTER(MID(S1008,_xlfn.SEQUENCE(LEN(S1008)),1),ISNUMBER(SEARCH(MID(S1008,_xlfn.SEQUENCE(LEN(S1008)),1),"ABCDEFGHIJKLMNOPQRSTUVWXYZabcdefghijklmnopqrstuvwxyz0123456789,")))),"")</f>
        <v/>
      </c>
      <c r="G1008" s="20" t="str" cm="1">
        <f t="array" ref="G1008">IF(TRIM(P1008)="","",IF(SUM(COUNTIF(P1008,{"*NLGD*","*FWG*"}))&gt;0,P1008,IF(SUM(COUNTIF(P1008,{"*GL*","*DGB*","*DGI*","*GT*","*CS*","*PWU*","*DBI*","*SWU*"}))=0,P1008,IF(IFERROR(VALUE(SUBSTITUTE(SUBSTITUTE(O1008,"W",""),"""","")),0)&gt;52,P1008&amp;"-OVRSIZE-",P1008))))</f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s="18" t="str">
        <v/>
      </c>
      <c r="O1008" s="15" t="str" cm="1">
        <f t="array" ref="O1008">IFERROR(_xlfn.LET(
_xlpm.clean,TRIM(SUBSTITUTE(SUBSTITUTE(P1008,CHAR(160),"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8" t="str">
        <f t="shared" si="16"/>
        <v/>
      </c>
    </row>
    <row r="1009" spans="3:19" ht="15.75" customHeight="1">
      <c r="C1009" s="15" t="str" cm="1">
        <f t="array" ref="C1009">IFERROR(_xlfn.TEXTJOIN("",TRUE,_xlfn._xlws.FILTER(MID(S1009,_xlfn.SEQUENCE(LEN(S1009)),1),ISNUMBER(SEARCH(MID(S1009,_xlfn.SEQUENCE(LEN(S1009)),1),"ABCDEFGHIJKLMNOPQRSTUVWXYZabcdefghijklmnopqrstuvwxyz0123456789,")))),"")</f>
        <v/>
      </c>
      <c r="G1009" s="20" t="str" cm="1">
        <f t="array" ref="G1009">IF(TRIM(P1009)="","",IF(SUM(COUNTIF(P1009,{"*NLGD*","*FWG*"}))&gt;0,P1009,IF(SUM(COUNTIF(P1009,{"*GL*","*DGB*","*DGI*","*GT*","*CS*","*PWU*","*DBI*","*SWU*"}))=0,P1009,IF(IFERROR(VALUE(SUBSTITUTE(SUBSTITUTE(O1009,"W",""),"""","")),0)&gt;52,P1009&amp;"-OVRSIZE-",P1009))))</f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s="18" t="str">
        <v/>
      </c>
      <c r="O1009" s="15" t="str" cm="1">
        <f t="array" ref="O1009">IFERROR(_xlfn.LET(
_xlpm.clean,TRIM(SUBSTITUTE(SUBSTITUTE(P1009,CHAR(160),"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9" t="str">
        <f t="shared" si="16"/>
        <v/>
      </c>
    </row>
    <row r="1010" spans="3:19" ht="15.75" customHeight="1">
      <c r="C1010" s="15" t="str" cm="1">
        <f t="array" ref="C1010">IFERROR(_xlfn.TEXTJOIN("",TRUE,_xlfn._xlws.FILTER(MID(S1010,_xlfn.SEQUENCE(LEN(S1010)),1),ISNUMBER(SEARCH(MID(S1010,_xlfn.SEQUENCE(LEN(S1010)),1),"ABCDEFGHIJKLMNOPQRSTUVWXYZabcdefghijklmnopqrstuvwxyz0123456789,")))),"")</f>
        <v/>
      </c>
      <c r="G1010" s="20" t="str" cm="1">
        <f t="array" ref="G1010">IF(TRIM(P1010)="","",IF(SUM(COUNTIF(P1010,{"*NLGD*","*FWG*"}))&gt;0,P1010,IF(SUM(COUNTIF(P1010,{"*GL*","*DGB*","*DGI*","*GT*","*CS*","*PWU*","*DBI*","*SWU*"}))=0,P1010,IF(IFERROR(VALUE(SUBSTITUTE(SUBSTITUTE(O1010,"W",""),"""","")),0)&gt;52,P1010&amp;"-OVRSIZE-",P1010))))</f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s="18" t="str">
        <v/>
      </c>
      <c r="O1010" s="15" t="str" cm="1">
        <f t="array" ref="O1010">IFERROR(_xlfn.LET(
_xlpm.clean,TRIM(SUBSTITUTE(SUBSTITUTE(P1010,CHAR(160),"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0" t="str">
        <f t="shared" si="16"/>
        <v/>
      </c>
    </row>
    <row r="1011" spans="3:19" ht="15.75" customHeight="1">
      <c r="C1011" s="15" t="str" cm="1">
        <f t="array" ref="C1011">IFERROR(_xlfn.TEXTJOIN("",TRUE,_xlfn._xlws.FILTER(MID(S1011,_xlfn.SEQUENCE(LEN(S1011)),1),ISNUMBER(SEARCH(MID(S1011,_xlfn.SEQUENCE(LEN(S1011)),1),"ABCDEFGHIJKLMNOPQRSTUVWXYZabcdefghijklmnopqrstuvwxyz0123456789,")))),"")</f>
        <v/>
      </c>
      <c r="G1011" s="20" t="str" cm="1">
        <f t="array" ref="G1011">IF(TRIM(P1011)="","",IF(SUM(COUNTIF(P1011,{"*NLGD*","*FWG*"}))&gt;0,P1011,IF(SUM(COUNTIF(P1011,{"*GL*","*DGB*","*DGI*","*GT*","*CS*","*PWU*","*DBI*","*SWU*"}))=0,P1011,IF(IFERROR(VALUE(SUBSTITUTE(SUBSTITUTE(O1011,"W",""),"""","")),0)&gt;52,P1011&amp;"-OVRSIZE-",P1011))))</f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s="18" t="str">
        <v/>
      </c>
      <c r="O1011" s="15" t="str" cm="1">
        <f t="array" ref="O1011">IFERROR(_xlfn.LET(
_xlpm.clean,TRIM(SUBSTITUTE(SUBSTITUTE(P1011,CHAR(160),"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1" t="str">
        <f t="shared" si="16"/>
        <v/>
      </c>
    </row>
    <row r="1012" spans="3:19" ht="15.75" customHeight="1">
      <c r="C1012" s="15" t="str" cm="1">
        <f t="array" ref="C1012">IFERROR(_xlfn.TEXTJOIN("",TRUE,_xlfn._xlws.FILTER(MID(S1012,_xlfn.SEQUENCE(LEN(S1012)),1),ISNUMBER(SEARCH(MID(S1012,_xlfn.SEQUENCE(LEN(S1012)),1),"ABCDEFGHIJKLMNOPQRSTUVWXYZabcdefghijklmnopqrstuvwxyz0123456789,")))),"")</f>
        <v/>
      </c>
      <c r="G1012" s="20" t="str" cm="1">
        <f t="array" ref="G1012">IF(TRIM(P1012)="","",IF(SUM(COUNTIF(P1012,{"*NLGD*","*FWG*"}))&gt;0,P1012,IF(SUM(COUNTIF(P1012,{"*GL*","*DGB*","*DGI*","*GT*","*CS*","*PWU*","*DBI*","*SWU*"}))=0,P1012,IF(IFERROR(VALUE(SUBSTITUTE(SUBSTITUTE(O1012,"W",""),"""","")),0)&gt;52,P1012&amp;"-OVRSIZE-",P1012))))</f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s="18" t="str">
        <v/>
      </c>
      <c r="O1012" s="15" t="str" cm="1">
        <f t="array" ref="O1012">IFERROR(_xlfn.LET(
_xlpm.clean,TRIM(SUBSTITUTE(SUBSTITUTE(P1012,CHAR(160),"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2" t="str">
        <f t="shared" si="16"/>
        <v/>
      </c>
    </row>
    <row r="1013" spans="3:19" ht="15.75" customHeight="1">
      <c r="C1013" s="15" t="str" cm="1">
        <f t="array" ref="C1013">IFERROR(_xlfn.TEXTJOIN("",TRUE,_xlfn._xlws.FILTER(MID(S1013,_xlfn.SEQUENCE(LEN(S1013)),1),ISNUMBER(SEARCH(MID(S1013,_xlfn.SEQUENCE(LEN(S1013)),1),"ABCDEFGHIJKLMNOPQRSTUVWXYZabcdefghijklmnopqrstuvwxyz0123456789,")))),"")</f>
        <v/>
      </c>
      <c r="G1013" s="20" t="str" cm="1">
        <f t="array" ref="G1013">IF(TRIM(P1013)="","",IF(SUM(COUNTIF(P1013,{"*NLGD*","*FWG*"}))&gt;0,P1013,IF(SUM(COUNTIF(P1013,{"*GL*","*DGB*","*DGI*","*GT*","*CS*","*PWU*","*DBI*","*SWU*"}))=0,P1013,IF(IFERROR(VALUE(SUBSTITUTE(SUBSTITUTE(O1013,"W",""),"""","")),0)&gt;52,P1013&amp;"-OVRSIZE-",P1013))))</f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s="18" t="str">
        <v/>
      </c>
      <c r="O1013" s="15" t="str" cm="1">
        <f t="array" ref="O1013">IFERROR(_xlfn.LET(
_xlpm.clean,TRIM(SUBSTITUTE(SUBSTITUTE(P1013,CHAR(160),"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3" t="str">
        <f t="shared" si="16"/>
        <v/>
      </c>
    </row>
    <row r="1014" spans="3:19" ht="15.75" customHeight="1">
      <c r="C1014" s="15" t="str" cm="1">
        <f t="array" ref="C1014">IFERROR(_xlfn.TEXTJOIN("",TRUE,_xlfn._xlws.FILTER(MID(S1014,_xlfn.SEQUENCE(LEN(S1014)),1),ISNUMBER(SEARCH(MID(S1014,_xlfn.SEQUENCE(LEN(S1014)),1),"ABCDEFGHIJKLMNOPQRSTUVWXYZabcdefghijklmnopqrstuvwxyz0123456789,")))),"")</f>
        <v/>
      </c>
      <c r="G1014" s="20" t="str" cm="1">
        <f t="array" ref="G1014">IF(TRIM(P1014)="","",IF(SUM(COUNTIF(P1014,{"*NLGD*","*FWG*"}))&gt;0,P1014,IF(SUM(COUNTIF(P1014,{"*GL*","*DGB*","*DGI*","*GT*","*CS*","*PWU*","*DBI*","*SWU*"}))=0,P1014,IF(IFERROR(VALUE(SUBSTITUTE(SUBSTITUTE(O1014,"W",""),"""","")),0)&gt;52,P1014&amp;"-OVRSIZE-",P1014))))</f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s="18" t="str">
        <v/>
      </c>
      <c r="O1014" s="15" t="str" cm="1">
        <f t="array" ref="O1014">IFERROR(_xlfn.LET(
_xlpm.clean,TRIM(SUBSTITUTE(SUBSTITUTE(P1014,CHAR(160),"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4" t="str">
        <f t="shared" si="16"/>
        <v/>
      </c>
    </row>
    <row r="1015" spans="3:19" ht="15.75" customHeight="1">
      <c r="C1015" s="15" t="str" cm="1">
        <f t="array" ref="C1015">IFERROR(_xlfn.TEXTJOIN("",TRUE,_xlfn._xlws.FILTER(MID(S1015,_xlfn.SEQUENCE(LEN(S1015)),1),ISNUMBER(SEARCH(MID(S1015,_xlfn.SEQUENCE(LEN(S1015)),1),"ABCDEFGHIJKLMNOPQRSTUVWXYZabcdefghijklmnopqrstuvwxyz0123456789,")))),"")</f>
        <v/>
      </c>
      <c r="G1015" s="20" t="str" cm="1">
        <f t="array" ref="G1015">IF(TRIM(P1015)="","",IF(SUM(COUNTIF(P1015,{"*NLGD*","*FWG*"}))&gt;0,P1015,IF(SUM(COUNTIF(P1015,{"*GL*","*DGB*","*DGI*","*GT*","*CS*","*PWU*","*DBI*","*SWU*"}))=0,P1015,IF(IFERROR(VALUE(SUBSTITUTE(SUBSTITUTE(O1015,"W",""),"""","")),0)&gt;52,P1015&amp;"-OVRSIZE-",P1015))))</f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s="18" t="str">
        <v/>
      </c>
      <c r="O1015" s="15" t="str" cm="1">
        <f t="array" ref="O1015">IFERROR(_xlfn.LET(
_xlpm.clean,TRIM(SUBSTITUTE(SUBSTITUTE(P1015,CHAR(160),"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5" t="str">
        <f t="shared" si="16"/>
        <v/>
      </c>
    </row>
    <row r="1016" spans="3:19" ht="15.75" customHeight="1">
      <c r="C1016" s="15" t="str" cm="1">
        <f t="array" ref="C1016">IFERROR(_xlfn.TEXTJOIN("",TRUE,_xlfn._xlws.FILTER(MID(S1016,_xlfn.SEQUENCE(LEN(S1016)),1),ISNUMBER(SEARCH(MID(S1016,_xlfn.SEQUENCE(LEN(S1016)),1),"ABCDEFGHIJKLMNOPQRSTUVWXYZabcdefghijklmnopqrstuvwxyz0123456789,")))),"")</f>
        <v/>
      </c>
      <c r="G1016" s="20" t="str" cm="1">
        <f t="array" ref="G1016">IF(TRIM(P1016)="","",IF(SUM(COUNTIF(P1016,{"*NLGD*","*FWG*"}))&gt;0,P1016,IF(SUM(COUNTIF(P1016,{"*GL*","*DGB*","*DGI*","*GT*","*CS*","*PWU*","*DBI*","*SWU*"}))=0,P1016,IF(IFERROR(VALUE(SUBSTITUTE(SUBSTITUTE(O1016,"W",""),"""","")),0)&gt;52,P1016&amp;"-OVRSIZE-",P1016))))</f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s="18" t="str">
        <v/>
      </c>
      <c r="O1016" s="15" t="str" cm="1">
        <f t="array" ref="O1016">IFERROR(_xlfn.LET(
_xlpm.clean,TRIM(SUBSTITUTE(SUBSTITUTE(P1016,CHAR(160),"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6" t="str">
        <f t="shared" si="16"/>
        <v/>
      </c>
    </row>
    <row r="1017" spans="3:19" ht="15.75" customHeight="1">
      <c r="C1017" s="15" t="str" cm="1">
        <f t="array" ref="C1017">IFERROR(_xlfn.TEXTJOIN("",TRUE,_xlfn._xlws.FILTER(MID(S1017,_xlfn.SEQUENCE(LEN(S1017)),1),ISNUMBER(SEARCH(MID(S1017,_xlfn.SEQUENCE(LEN(S1017)),1),"ABCDEFGHIJKLMNOPQRSTUVWXYZabcdefghijklmnopqrstuvwxyz0123456789,")))),"")</f>
        <v/>
      </c>
      <c r="G1017" s="20" t="str" cm="1">
        <f t="array" ref="G1017">IF(TRIM(P1017)="","",IF(SUM(COUNTIF(P1017,{"*NLGD*","*FWG*"}))&gt;0,P1017,IF(SUM(COUNTIF(P1017,{"*GL*","*DGB*","*DGI*","*GT*","*CS*","*PWU*","*DBI*","*SWU*"}))=0,P1017,IF(IFERROR(VALUE(SUBSTITUTE(SUBSTITUTE(O1017,"W",""),"""","")),0)&gt;52,P1017&amp;"-OVRSIZE-",P1017))))</f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s="18" t="str">
        <v/>
      </c>
      <c r="O1017" s="15" t="str" cm="1">
        <f t="array" ref="O1017">IFERROR(_xlfn.LET(
_xlpm.clean,TRIM(SUBSTITUTE(SUBSTITUTE(P1017,CHAR(160),"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7" t="str">
        <f t="shared" si="16"/>
        <v/>
      </c>
    </row>
    <row r="1018" spans="3:19" ht="15.75" customHeight="1">
      <c r="C1018" s="15" t="str" cm="1">
        <f t="array" ref="C1018">IFERROR(_xlfn.TEXTJOIN("",TRUE,_xlfn._xlws.FILTER(MID(S1018,_xlfn.SEQUENCE(LEN(S1018)),1),ISNUMBER(SEARCH(MID(S1018,_xlfn.SEQUENCE(LEN(S1018)),1),"ABCDEFGHIJKLMNOPQRSTUVWXYZabcdefghijklmnopqrstuvwxyz0123456789,")))),"")</f>
        <v/>
      </c>
      <c r="G1018" s="20" t="str" cm="1">
        <f t="array" ref="G1018">IF(TRIM(P1018)="","",IF(SUM(COUNTIF(P1018,{"*NLGD*","*FWG*"}))&gt;0,P1018,IF(SUM(COUNTIF(P1018,{"*GL*","*DGB*","*DGI*","*GT*","*CS*","*PWU*","*DBI*","*SWU*"}))=0,P1018,IF(IFERROR(VALUE(SUBSTITUTE(SUBSTITUTE(O1018,"W",""),"""","")),0)&gt;52,P1018&amp;"-OVRSIZE-",P1018))))</f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s="18" t="str">
        <v/>
      </c>
      <c r="O1018" s="15" t="str" cm="1">
        <f t="array" ref="O1018">IFERROR(_xlfn.LET(
_xlpm.clean,TRIM(SUBSTITUTE(SUBSTITUTE(P1018,CHAR(160),"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8" t="str">
        <f t="shared" si="16"/>
        <v/>
      </c>
    </row>
    <row r="1019" spans="3:19" ht="15.75" customHeight="1">
      <c r="C1019" s="15" t="str" cm="1">
        <f t="array" ref="C1019">IFERROR(_xlfn.TEXTJOIN("",TRUE,_xlfn._xlws.FILTER(MID(S1019,_xlfn.SEQUENCE(LEN(S1019)),1),ISNUMBER(SEARCH(MID(S1019,_xlfn.SEQUENCE(LEN(S1019)),1),"ABCDEFGHIJKLMNOPQRSTUVWXYZabcdefghijklmnopqrstuvwxyz0123456789,")))),"")</f>
        <v/>
      </c>
      <c r="G1019" s="20" t="str" cm="1">
        <f t="array" ref="G1019">IF(TRIM(P1019)="","",IF(SUM(COUNTIF(P1019,{"*NLGD*","*FWG*"}))&gt;0,P1019,IF(SUM(COUNTIF(P1019,{"*GL*","*DGB*","*DGI*","*GT*","*CS*","*PWU*","*DBI*","*SWU*"}))=0,P1019,IF(IFERROR(VALUE(SUBSTITUTE(SUBSTITUTE(O1019,"W",""),"""","")),0)&gt;52,P1019&amp;"-OVRSIZE-",P1019))))</f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s="18" t="str">
        <v/>
      </c>
      <c r="O1019" s="15" t="str" cm="1">
        <f t="array" ref="O1019">IFERROR(_xlfn.LET(
_xlpm.clean,TRIM(SUBSTITUTE(SUBSTITUTE(P1019,CHAR(160),"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9" t="str">
        <f t="shared" si="16"/>
        <v/>
      </c>
    </row>
    <row r="1020" spans="3:19" ht="15.75" customHeight="1">
      <c r="C1020" s="15" t="str" cm="1">
        <f t="array" ref="C1020">IFERROR(_xlfn.TEXTJOIN("",TRUE,_xlfn._xlws.FILTER(MID(S1020,_xlfn.SEQUENCE(LEN(S1020)),1),ISNUMBER(SEARCH(MID(S1020,_xlfn.SEQUENCE(LEN(S1020)),1),"ABCDEFGHIJKLMNOPQRSTUVWXYZabcdefghijklmnopqrstuvwxyz0123456789,")))),"")</f>
        <v/>
      </c>
      <c r="G1020" s="20" t="str" cm="1">
        <f t="array" ref="G1020">IF(TRIM(P1020)="","",IF(SUM(COUNTIF(P1020,{"*NLGD*","*FWG*"}))&gt;0,P1020,IF(SUM(COUNTIF(P1020,{"*GL*","*DGB*","*DGI*","*GT*","*CS*","*PWU*","*DBI*","*SWU*"}))=0,P1020,IF(IFERROR(VALUE(SUBSTITUTE(SUBSTITUTE(O1020,"W",""),"""","")),0)&gt;52,P1020&amp;"-OVRSIZE-",P1020))))</f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s="18" t="str">
        <v/>
      </c>
      <c r="O1020" s="15" t="str" cm="1">
        <f t="array" ref="O1020">IFERROR(_xlfn.LET(
_xlpm.clean,TRIM(SUBSTITUTE(SUBSTITUTE(P1020,CHAR(160),"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0" t="str">
        <f t="shared" si="16"/>
        <v/>
      </c>
    </row>
    <row r="1021" spans="3:19" ht="15.75" customHeight="1">
      <c r="C1021" s="15" t="str" cm="1">
        <f t="array" ref="C1021">IFERROR(_xlfn.TEXTJOIN("",TRUE,_xlfn._xlws.FILTER(MID(S1021,_xlfn.SEQUENCE(LEN(S1021)),1),ISNUMBER(SEARCH(MID(S1021,_xlfn.SEQUENCE(LEN(S1021)),1),"ABCDEFGHIJKLMNOPQRSTUVWXYZabcdefghijklmnopqrstuvwxyz0123456789,")))),"")</f>
        <v/>
      </c>
      <c r="G1021" s="20" t="str" cm="1">
        <f t="array" ref="G1021">IF(TRIM(P1021)="","",IF(SUM(COUNTIF(P1021,{"*NLGD*","*FWG*"}))&gt;0,P1021,IF(SUM(COUNTIF(P1021,{"*GL*","*DGB*","*DGI*","*GT*","*CS*","*PWU*","*DBI*","*SWU*"}))=0,P1021,IF(IFERROR(VALUE(SUBSTITUTE(SUBSTITUTE(O1021,"W",""),"""","")),0)&gt;52,P1021&amp;"-OVRSIZE-",P1021))))</f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s="18" t="str">
        <v/>
      </c>
      <c r="O1021" s="15" t="str" cm="1">
        <f t="array" ref="O1021">IFERROR(_xlfn.LET(
_xlpm.clean,TRIM(SUBSTITUTE(SUBSTITUTE(P1021,CHAR(160),"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1" t="str">
        <f t="shared" si="16"/>
        <v/>
      </c>
    </row>
    <row r="1022" spans="3:19" ht="15.75" customHeight="1">
      <c r="C1022" s="15" t="str" cm="1">
        <f t="array" ref="C1022">IFERROR(_xlfn.TEXTJOIN("",TRUE,_xlfn._xlws.FILTER(MID(S1022,_xlfn.SEQUENCE(LEN(S1022)),1),ISNUMBER(SEARCH(MID(S1022,_xlfn.SEQUENCE(LEN(S1022)),1),"ABCDEFGHIJKLMNOPQRSTUVWXYZabcdefghijklmnopqrstuvwxyz0123456789,")))),"")</f>
        <v/>
      </c>
      <c r="G1022" s="20" t="str" cm="1">
        <f t="array" ref="G1022">IF(TRIM(P1022)="","",IF(SUM(COUNTIF(P1022,{"*NLGD*","*FWG*"}))&gt;0,P1022,IF(SUM(COUNTIF(P1022,{"*GL*","*DGB*","*DGI*","*GT*","*CS*","*PWU*","*DBI*","*SWU*"}))=0,P1022,IF(IFERROR(VALUE(SUBSTITUTE(SUBSTITUTE(O1022,"W",""),"""","")),0)&gt;52,P1022&amp;"-OVRSIZE-",P1022))))</f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s="18" t="str">
        <v/>
      </c>
      <c r="O1022" s="15" t="str" cm="1">
        <f t="array" ref="O1022">IFERROR(_xlfn.LET(
_xlpm.clean,TRIM(SUBSTITUTE(SUBSTITUTE(P1022,CHAR(160),"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2" t="str">
        <f t="shared" si="16"/>
        <v/>
      </c>
    </row>
    <row r="1023" spans="3:19" ht="15.75" customHeight="1">
      <c r="C1023" s="15" t="str" cm="1">
        <f t="array" ref="C1023">IFERROR(_xlfn.TEXTJOIN("",TRUE,_xlfn._xlws.FILTER(MID(S1023,_xlfn.SEQUENCE(LEN(S1023)),1),ISNUMBER(SEARCH(MID(S1023,_xlfn.SEQUENCE(LEN(S1023)),1),"ABCDEFGHIJKLMNOPQRSTUVWXYZabcdefghijklmnopqrstuvwxyz0123456789,")))),"")</f>
        <v/>
      </c>
      <c r="G1023" s="20" t="str" cm="1">
        <f t="array" ref="G1023">IF(TRIM(P1023)="","",IF(SUM(COUNTIF(P1023,{"*NLGD*","*FWG*"}))&gt;0,P1023,IF(SUM(COUNTIF(P1023,{"*GL*","*DGB*","*DGI*","*GT*","*CS*","*PWU*","*DBI*","*SWU*"}))=0,P1023,IF(IFERROR(VALUE(SUBSTITUTE(SUBSTITUTE(O1023,"W",""),"""","")),0)&gt;52,P1023&amp;"-OVRSIZE-",P1023))))</f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s="18" t="str">
        <v/>
      </c>
      <c r="O1023" s="15" t="str" cm="1">
        <f t="array" ref="O1023">IFERROR(_xlfn.LET(
_xlpm.clean,TRIM(SUBSTITUTE(SUBSTITUTE(P1023,CHAR(160),"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3" t="str">
        <f t="shared" si="16"/>
        <v/>
      </c>
    </row>
    <row r="1024" spans="3:19" ht="15.75" customHeight="1">
      <c r="C1024" s="15" t="str" cm="1">
        <f t="array" ref="C1024">IFERROR(_xlfn.TEXTJOIN("",TRUE,_xlfn._xlws.FILTER(MID(S1024,_xlfn.SEQUENCE(LEN(S1024)),1),ISNUMBER(SEARCH(MID(S1024,_xlfn.SEQUENCE(LEN(S1024)),1),"ABCDEFGHIJKLMNOPQRSTUVWXYZabcdefghijklmnopqrstuvwxyz0123456789,")))),"")</f>
        <v/>
      </c>
      <c r="G1024" s="20" t="str" cm="1">
        <f t="array" ref="G1024">IF(TRIM(P1024)="","",IF(SUM(COUNTIF(P1024,{"*NLGD*","*FWG*"}))&gt;0,P1024,IF(SUM(COUNTIF(P1024,{"*GL*","*DGB*","*DGI*","*GT*","*CS*","*PWU*","*DBI*","*SWU*"}))=0,P1024,IF(IFERROR(VALUE(SUBSTITUTE(SUBSTITUTE(O1024,"W",""),"""","")),0)&gt;52,P1024&amp;"-OVRSIZE-",P1024))))</f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s="18" t="str">
        <v/>
      </c>
      <c r="O1024" s="15" t="str" cm="1">
        <f t="array" ref="O1024">IFERROR(_xlfn.LET(
_xlpm.clean,TRIM(SUBSTITUTE(SUBSTITUTE(P1024,CHAR(160),"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4" t="str">
        <f t="shared" si="16"/>
        <v/>
      </c>
    </row>
    <row r="1025" spans="3:19" ht="15.75" customHeight="1">
      <c r="C1025" s="15" t="str" cm="1">
        <f t="array" ref="C1025">IFERROR(_xlfn.TEXTJOIN("",TRUE,_xlfn._xlws.FILTER(MID(S1025,_xlfn.SEQUENCE(LEN(S1025)),1),ISNUMBER(SEARCH(MID(S1025,_xlfn.SEQUENCE(LEN(S1025)),1),"ABCDEFGHIJKLMNOPQRSTUVWXYZabcdefghijklmnopqrstuvwxyz0123456789,")))),"")</f>
        <v/>
      </c>
      <c r="G1025" s="20" t="str" cm="1">
        <f t="array" ref="G1025">IF(TRIM(P1025)="","",IF(SUM(COUNTIF(P1025,{"*NLGD*","*FWG*"}))&gt;0,P1025,IF(SUM(COUNTIF(P1025,{"*GL*","*DGB*","*DGI*","*GT*","*CS*","*PWU*","*DBI*","*SWU*"}))=0,P1025,IF(IFERROR(VALUE(SUBSTITUTE(SUBSTITUTE(O1025,"W",""),"""","")),0)&gt;52,P1025&amp;"-OVRSIZE-",P1025))))</f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s="18" t="str">
        <v/>
      </c>
      <c r="O1025" s="15" t="str" cm="1">
        <f t="array" ref="O1025">IFERROR(_xlfn.LET(
_xlpm.clean,TRIM(SUBSTITUTE(SUBSTITUTE(P1025,CHAR(160),"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5" t="str">
        <f t="shared" si="16"/>
        <v/>
      </c>
    </row>
    <row r="1026" spans="3:19" ht="15.75" customHeight="1">
      <c r="C1026" s="15" t="str" cm="1">
        <f t="array" ref="C1026">IFERROR(_xlfn.TEXTJOIN("",TRUE,_xlfn._xlws.FILTER(MID(S1026,_xlfn.SEQUENCE(LEN(S1026)),1),ISNUMBER(SEARCH(MID(S1026,_xlfn.SEQUENCE(LEN(S1026)),1),"ABCDEFGHIJKLMNOPQRSTUVWXYZabcdefghijklmnopqrstuvwxyz0123456789,")))),"")</f>
        <v/>
      </c>
      <c r="G1026" s="20" t="str" cm="1">
        <f t="array" ref="G1026">IF(TRIM(P1026)="","",IF(SUM(COUNTIF(P1026,{"*NLGD*","*FWG*"}))&gt;0,P1026,IF(SUM(COUNTIF(P1026,{"*GL*","*DGB*","*DGI*","*GT*","*CS*","*PWU*","*DBI*","*SWU*"}))=0,P1026,IF(IFERROR(VALUE(SUBSTITUTE(SUBSTITUTE(O1026,"W",""),"""","")),0)&gt;52,P1026&amp;"-OVRSIZE-",P1026))))</f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s="18" t="str">
        <v/>
      </c>
      <c r="O1026" s="15" t="str" cm="1">
        <f t="array" ref="O1026">IFERROR(_xlfn.LET(
_xlpm.clean,TRIM(SUBSTITUTE(SUBSTITUTE(P1026,CHAR(160),"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6" t="str">
        <f t="shared" si="16"/>
        <v/>
      </c>
    </row>
    <row r="1027" spans="3:19" ht="15.75" customHeight="1">
      <c r="C1027" s="15" t="str" cm="1">
        <f t="array" ref="C1027">IFERROR(_xlfn.TEXTJOIN("",TRUE,_xlfn._xlws.FILTER(MID(S1027,_xlfn.SEQUENCE(LEN(S1027)),1),ISNUMBER(SEARCH(MID(S1027,_xlfn.SEQUENCE(LEN(S1027)),1),"ABCDEFGHIJKLMNOPQRSTUVWXYZabcdefghijklmnopqrstuvwxyz0123456789,")))),"")</f>
        <v/>
      </c>
      <c r="G1027" s="20" t="str" cm="1">
        <f t="array" ref="G1027">IF(TRIM(P1027)="","",IF(SUM(COUNTIF(P1027,{"*NLGD*","*FWG*"}))&gt;0,P1027,IF(SUM(COUNTIF(P1027,{"*GL*","*DGB*","*DGI*","*GT*","*CS*","*PWU*","*DBI*","*SWU*"}))=0,P1027,IF(IFERROR(VALUE(SUBSTITUTE(SUBSTITUTE(O1027,"W",""),"""","")),0)&gt;52,P1027&amp;"-OVRSIZE-",P1027))))</f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s="18" t="str">
        <v/>
      </c>
      <c r="O1027" s="15" t="str" cm="1">
        <f t="array" ref="O1027">IFERROR(_xlfn.LET(
_xlpm.clean,TRIM(SUBSTITUTE(SUBSTITUTE(P1027,CHAR(160),"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7" t="str">
        <f t="shared" si="16"/>
        <v/>
      </c>
    </row>
    <row r="1028" spans="3:19" ht="15.75" customHeight="1">
      <c r="C1028" s="15" t="str" cm="1">
        <f t="array" ref="C1028">IFERROR(_xlfn.TEXTJOIN("",TRUE,_xlfn._xlws.FILTER(MID(S1028,_xlfn.SEQUENCE(LEN(S1028)),1),ISNUMBER(SEARCH(MID(S1028,_xlfn.SEQUENCE(LEN(S1028)),1),"ABCDEFGHIJKLMNOPQRSTUVWXYZabcdefghijklmnopqrstuvwxyz0123456789,")))),"")</f>
        <v/>
      </c>
      <c r="G1028" s="20" t="str" cm="1">
        <f t="array" ref="G1028">IF(TRIM(P1028)="","",IF(SUM(COUNTIF(P1028,{"*NLGD*","*FWG*"}))&gt;0,P1028,IF(SUM(COUNTIF(P1028,{"*GL*","*DGB*","*DGI*","*GT*","*CS*","*PWU*","*DBI*","*SWU*"}))=0,P1028,IF(IFERROR(VALUE(SUBSTITUTE(SUBSTITUTE(O1028,"W",""),"""","")),0)&gt;52,P1028&amp;"-OVRSIZE-",P1028))))</f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s="18" t="str">
        <v/>
      </c>
      <c r="O1028" s="15" t="str" cm="1">
        <f t="array" ref="O1028">IFERROR(_xlfn.LET(
_xlpm.clean,TRIM(SUBSTITUTE(SUBSTITUTE(P1028,CHAR(160),"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8" t="str">
        <f t="shared" si="16"/>
        <v/>
      </c>
    </row>
    <row r="1029" spans="3:19" ht="15.75" customHeight="1">
      <c r="C1029" s="15" t="str" cm="1">
        <f t="array" ref="C1029">IFERROR(_xlfn.TEXTJOIN("",TRUE,_xlfn._xlws.FILTER(MID(S1029,_xlfn.SEQUENCE(LEN(S1029)),1),ISNUMBER(SEARCH(MID(S1029,_xlfn.SEQUENCE(LEN(S1029)),1),"ABCDEFGHIJKLMNOPQRSTUVWXYZabcdefghijklmnopqrstuvwxyz0123456789,")))),"")</f>
        <v/>
      </c>
      <c r="G1029" s="20" t="str" cm="1">
        <f t="array" ref="G1029">IF(TRIM(P1029)="","",IF(SUM(COUNTIF(P1029,{"*NLGD*","*FWG*"}))&gt;0,P1029,IF(SUM(COUNTIF(P1029,{"*GL*","*DGB*","*DGI*","*GT*","*CS*","*PWU*","*DBI*","*SWU*"}))=0,P1029,IF(IFERROR(VALUE(SUBSTITUTE(SUBSTITUTE(O1029,"W",""),"""","")),0)&gt;52,P1029&amp;"-OVRSIZE-",P1029))))</f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s="18" t="str">
        <v/>
      </c>
      <c r="O1029" s="15" t="str" cm="1">
        <f t="array" ref="O1029">IFERROR(_xlfn.LET(
_xlpm.clean,TRIM(SUBSTITUTE(SUBSTITUTE(P1029,CHAR(160),"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9" t="str">
        <f t="shared" si="16"/>
        <v/>
      </c>
    </row>
    <row r="1030" spans="3:19" ht="15.75" customHeight="1">
      <c r="C1030" s="15" t="str" cm="1">
        <f t="array" ref="C1030">IFERROR(_xlfn.TEXTJOIN("",TRUE,_xlfn._xlws.FILTER(MID(S1030,_xlfn.SEQUENCE(LEN(S1030)),1),ISNUMBER(SEARCH(MID(S1030,_xlfn.SEQUENCE(LEN(S1030)),1),"ABCDEFGHIJKLMNOPQRSTUVWXYZabcdefghijklmnopqrstuvwxyz0123456789,")))),"")</f>
        <v/>
      </c>
      <c r="G1030" s="20" t="str" cm="1">
        <f t="array" ref="G1030">IF(TRIM(P1030)="","",IF(SUM(COUNTIF(P1030,{"*NLGD*","*FWG*"}))&gt;0,P1030,IF(SUM(COUNTIF(P1030,{"*GL*","*DGB*","*DGI*","*GT*","*CS*","*PWU*","*DBI*","*SWU*"}))=0,P1030,IF(IFERROR(VALUE(SUBSTITUTE(SUBSTITUTE(O1030,"W",""),"""","")),0)&gt;52,P1030&amp;"-OVRSIZE-",P1030))))</f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s="18" t="str">
        <v/>
      </c>
      <c r="O1030" s="15" t="str" cm="1">
        <f t="array" ref="O1030">IFERROR(_xlfn.LET(
_xlpm.clean,TRIM(SUBSTITUTE(SUBSTITUTE(P1030,CHAR(160),"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0" t="str">
        <f t="shared" si="16"/>
        <v/>
      </c>
    </row>
    <row r="1031" spans="3:19" ht="15.75" customHeight="1">
      <c r="C1031" s="15" t="str" cm="1">
        <f t="array" ref="C1031">IFERROR(_xlfn.TEXTJOIN("",TRUE,_xlfn._xlws.FILTER(MID(S1031,_xlfn.SEQUENCE(LEN(S1031)),1),ISNUMBER(SEARCH(MID(S1031,_xlfn.SEQUENCE(LEN(S1031)),1),"ABCDEFGHIJKLMNOPQRSTUVWXYZabcdefghijklmnopqrstuvwxyz0123456789,")))),"")</f>
        <v/>
      </c>
      <c r="G1031" s="20" t="str" cm="1">
        <f t="array" ref="G1031">IF(TRIM(P1031)="","",IF(SUM(COUNTIF(P1031,{"*NLGD*","*FWG*"}))&gt;0,P1031,IF(SUM(COUNTIF(P1031,{"*GL*","*DGB*","*DGI*","*GT*","*CS*","*PWU*","*DBI*","*SWU*"}))=0,P1031,IF(IFERROR(VALUE(SUBSTITUTE(SUBSTITUTE(O1031,"W",""),"""","")),0)&gt;52,P1031&amp;"-OVRSIZE-",P1031))))</f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s="18" t="str">
        <v/>
      </c>
      <c r="O1031" s="15" t="str" cm="1">
        <f t="array" ref="O1031">IFERROR(_xlfn.LET(
_xlpm.clean,TRIM(SUBSTITUTE(SUBSTITUTE(P1031,CHAR(160),"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1" t="str">
        <f t="shared" si="16"/>
        <v/>
      </c>
    </row>
    <row r="1032" spans="3:19" ht="15.75" customHeight="1">
      <c r="C1032" s="15" t="str" cm="1">
        <f t="array" ref="C1032">IFERROR(_xlfn.TEXTJOIN("",TRUE,_xlfn._xlws.FILTER(MID(S1032,_xlfn.SEQUENCE(LEN(S1032)),1),ISNUMBER(SEARCH(MID(S1032,_xlfn.SEQUENCE(LEN(S1032)),1),"ABCDEFGHIJKLMNOPQRSTUVWXYZabcdefghijklmnopqrstuvwxyz0123456789,")))),"")</f>
        <v/>
      </c>
      <c r="G1032" s="20" t="str" cm="1">
        <f t="array" ref="G1032">IF(TRIM(P1032)="","",IF(SUM(COUNTIF(P1032,{"*NLGD*","*FWG*"}))&gt;0,P1032,IF(SUM(COUNTIF(P1032,{"*GL*","*DGB*","*DGI*","*GT*","*CS*","*PWU*","*DBI*","*SWU*"}))=0,P1032,IF(IFERROR(VALUE(SUBSTITUTE(SUBSTITUTE(O1032,"W",""),"""","")),0)&gt;52,P1032&amp;"-OVRSIZE-",P1032))))</f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s="18" t="str">
        <v/>
      </c>
      <c r="O1032" s="15" t="str" cm="1">
        <f t="array" ref="O1032">IFERROR(_xlfn.LET(
_xlpm.clean,TRIM(SUBSTITUTE(SUBSTITUTE(P1032,CHAR(160),"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2" t="str">
        <f t="shared" ref="S1032:S1095" si="17">IF(R1032="","",_xlfn.LET(
_xlpm.x,TRIM(SUBSTITUTE(SUBSTITUTE(SUBSTITUTE(SUBSTITUTE(R1032,":","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033" spans="3:19" ht="15.75" customHeight="1">
      <c r="C1033" s="15" t="str" cm="1">
        <f t="array" ref="C1033">IFERROR(_xlfn.TEXTJOIN("",TRUE,_xlfn._xlws.FILTER(MID(S1033,_xlfn.SEQUENCE(LEN(S1033)),1),ISNUMBER(SEARCH(MID(S1033,_xlfn.SEQUENCE(LEN(S1033)),1),"ABCDEFGHIJKLMNOPQRSTUVWXYZabcdefghijklmnopqrstuvwxyz0123456789,")))),"")</f>
        <v/>
      </c>
      <c r="G1033" s="20" t="str" cm="1">
        <f t="array" ref="G1033">IF(TRIM(P1033)="","",IF(SUM(COUNTIF(P1033,{"*NLGD*","*FWG*"}))&gt;0,P1033,IF(SUM(COUNTIF(P1033,{"*GL*","*DGB*","*DGI*","*GT*","*CS*","*PWU*","*DBI*","*SWU*"}))=0,P1033,IF(IFERROR(VALUE(SUBSTITUTE(SUBSTITUTE(O1033,"W",""),"""","")),0)&gt;52,P1033&amp;"-OVRSIZE-",P1033))))</f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s="18" t="str">
        <v/>
      </c>
      <c r="O1033" s="15" t="str" cm="1">
        <f t="array" ref="O1033">IFERROR(_xlfn.LET(
_xlpm.clean,TRIM(SUBSTITUTE(SUBSTITUTE(P1033,CHAR(160),"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3" t="str">
        <f t="shared" si="17"/>
        <v/>
      </c>
    </row>
    <row r="1034" spans="3:19" ht="15.75" customHeight="1">
      <c r="C1034" s="15" t="str" cm="1">
        <f t="array" ref="C1034">IFERROR(_xlfn.TEXTJOIN("",TRUE,_xlfn._xlws.FILTER(MID(S1034,_xlfn.SEQUENCE(LEN(S1034)),1),ISNUMBER(SEARCH(MID(S1034,_xlfn.SEQUENCE(LEN(S1034)),1),"ABCDEFGHIJKLMNOPQRSTUVWXYZabcdefghijklmnopqrstuvwxyz0123456789,")))),"")</f>
        <v/>
      </c>
      <c r="G1034" s="20" t="str" cm="1">
        <f t="array" ref="G1034">IF(TRIM(P1034)="","",IF(SUM(COUNTIF(P1034,{"*NLGD*","*FWG*"}))&gt;0,P1034,IF(SUM(COUNTIF(P1034,{"*GL*","*DGB*","*DGI*","*GT*","*CS*","*PWU*","*DBI*","*SWU*"}))=0,P1034,IF(IFERROR(VALUE(SUBSTITUTE(SUBSTITUTE(O1034,"W",""),"""","")),0)&gt;52,P1034&amp;"-OVRSIZE-",P1034))))</f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s="18" t="str">
        <v/>
      </c>
      <c r="O1034" s="15" t="str" cm="1">
        <f t="array" ref="O1034">IFERROR(_xlfn.LET(
_xlpm.clean,TRIM(SUBSTITUTE(SUBSTITUTE(P1034,CHAR(160),"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4" t="str">
        <f t="shared" si="17"/>
        <v/>
      </c>
    </row>
    <row r="1035" spans="3:19" ht="15.75" customHeight="1">
      <c r="C1035" s="15" t="str" cm="1">
        <f t="array" ref="C1035">IFERROR(_xlfn.TEXTJOIN("",TRUE,_xlfn._xlws.FILTER(MID(S1035,_xlfn.SEQUENCE(LEN(S1035)),1),ISNUMBER(SEARCH(MID(S1035,_xlfn.SEQUENCE(LEN(S1035)),1),"ABCDEFGHIJKLMNOPQRSTUVWXYZabcdefghijklmnopqrstuvwxyz0123456789,")))),"")</f>
        <v/>
      </c>
      <c r="G1035" s="20" t="str" cm="1">
        <f t="array" ref="G1035">IF(TRIM(P1035)="","",IF(SUM(COUNTIF(P1035,{"*NLGD*","*FWG*"}))&gt;0,P1035,IF(SUM(COUNTIF(P1035,{"*GL*","*DGB*","*DGI*","*GT*","*CS*","*PWU*","*DBI*","*SWU*"}))=0,P1035,IF(IFERROR(VALUE(SUBSTITUTE(SUBSTITUTE(O1035,"W",""),"""","")),0)&gt;52,P1035&amp;"-OVRSIZE-",P1035))))</f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s="18" t="str">
        <v/>
      </c>
      <c r="O1035" s="15" t="str" cm="1">
        <f t="array" ref="O1035">IFERROR(_xlfn.LET(
_xlpm.clean,TRIM(SUBSTITUTE(SUBSTITUTE(P1035,CHAR(160),"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5" t="str">
        <f t="shared" si="17"/>
        <v/>
      </c>
    </row>
    <row r="1036" spans="3:19" ht="15.75" customHeight="1">
      <c r="C1036" s="15" t="str" cm="1">
        <f t="array" ref="C1036">IFERROR(_xlfn.TEXTJOIN("",TRUE,_xlfn._xlws.FILTER(MID(S1036,_xlfn.SEQUENCE(LEN(S1036)),1),ISNUMBER(SEARCH(MID(S1036,_xlfn.SEQUENCE(LEN(S1036)),1),"ABCDEFGHIJKLMNOPQRSTUVWXYZabcdefghijklmnopqrstuvwxyz0123456789,")))),"")</f>
        <v/>
      </c>
      <c r="G1036" s="20" t="str" cm="1">
        <f t="array" ref="G1036">IF(TRIM(P1036)="","",IF(SUM(COUNTIF(P1036,{"*NLGD*","*FWG*"}))&gt;0,P1036,IF(SUM(COUNTIF(P1036,{"*GL*","*DGB*","*DGI*","*GT*","*CS*","*PWU*","*DBI*","*SWU*"}))=0,P1036,IF(IFERROR(VALUE(SUBSTITUTE(SUBSTITUTE(O1036,"W",""),"""","")),0)&gt;52,P1036&amp;"-OVRSIZE-",P1036))))</f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s="18" t="str">
        <v/>
      </c>
      <c r="O1036" s="15" t="str" cm="1">
        <f t="array" ref="O1036">IFERROR(_xlfn.LET(
_xlpm.clean,TRIM(SUBSTITUTE(SUBSTITUTE(P1036,CHAR(160),"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6" t="str">
        <f t="shared" si="17"/>
        <v/>
      </c>
    </row>
    <row r="1037" spans="3:19" ht="15.75" customHeight="1">
      <c r="C1037" s="15" t="str" cm="1">
        <f t="array" ref="C1037">IFERROR(_xlfn.TEXTJOIN("",TRUE,_xlfn._xlws.FILTER(MID(S1037,_xlfn.SEQUENCE(LEN(S1037)),1),ISNUMBER(SEARCH(MID(S1037,_xlfn.SEQUENCE(LEN(S1037)),1),"ABCDEFGHIJKLMNOPQRSTUVWXYZabcdefghijklmnopqrstuvwxyz0123456789,")))),"")</f>
        <v/>
      </c>
      <c r="G1037" s="20" t="str" cm="1">
        <f t="array" ref="G1037">IF(TRIM(P1037)="","",IF(SUM(COUNTIF(P1037,{"*NLGD*","*FWG*"}))&gt;0,P1037,IF(SUM(COUNTIF(P1037,{"*GL*","*DGB*","*DGI*","*GT*","*CS*","*PWU*","*DBI*","*SWU*"}))=0,P1037,IF(IFERROR(VALUE(SUBSTITUTE(SUBSTITUTE(O1037,"W",""),"""","")),0)&gt;52,P1037&amp;"-OVRSIZE-",P1037))))</f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s="18" t="str">
        <v/>
      </c>
      <c r="O1037" s="15" t="str" cm="1">
        <f t="array" ref="O1037">IFERROR(_xlfn.LET(
_xlpm.clean,TRIM(SUBSTITUTE(SUBSTITUTE(P1037,CHAR(160),"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7" t="str">
        <f t="shared" si="17"/>
        <v/>
      </c>
    </row>
    <row r="1038" spans="3:19" ht="15.75" customHeight="1">
      <c r="C1038" s="15" t="str" cm="1">
        <f t="array" ref="C1038">IFERROR(_xlfn.TEXTJOIN("",TRUE,_xlfn._xlws.FILTER(MID(S1038,_xlfn.SEQUENCE(LEN(S1038)),1),ISNUMBER(SEARCH(MID(S1038,_xlfn.SEQUENCE(LEN(S1038)),1),"ABCDEFGHIJKLMNOPQRSTUVWXYZabcdefghijklmnopqrstuvwxyz0123456789,")))),"")</f>
        <v/>
      </c>
      <c r="G1038" s="20" t="str" cm="1">
        <f t="array" ref="G1038">IF(TRIM(P1038)="","",IF(SUM(COUNTIF(P1038,{"*NLGD*","*FWG*"}))&gt;0,P1038,IF(SUM(COUNTIF(P1038,{"*GL*","*DGB*","*DGI*","*GT*","*CS*","*PWU*","*DBI*","*SWU*"}))=0,P1038,IF(IFERROR(VALUE(SUBSTITUTE(SUBSTITUTE(O1038,"W",""),"""","")),0)&gt;52,P1038&amp;"-OVRSIZE-",P1038))))</f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s="18" t="str">
        <v/>
      </c>
      <c r="O1038" s="15" t="str" cm="1">
        <f t="array" ref="O1038">IFERROR(_xlfn.LET(
_xlpm.clean,TRIM(SUBSTITUTE(SUBSTITUTE(P1038,CHAR(160),"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8" t="str">
        <f t="shared" si="17"/>
        <v/>
      </c>
    </row>
    <row r="1039" spans="3:19" ht="15.75" customHeight="1">
      <c r="C1039" s="15" t="str" cm="1">
        <f t="array" ref="C1039">IFERROR(_xlfn.TEXTJOIN("",TRUE,_xlfn._xlws.FILTER(MID(S1039,_xlfn.SEQUENCE(LEN(S1039)),1),ISNUMBER(SEARCH(MID(S1039,_xlfn.SEQUENCE(LEN(S1039)),1),"ABCDEFGHIJKLMNOPQRSTUVWXYZabcdefghijklmnopqrstuvwxyz0123456789,")))),"")</f>
        <v/>
      </c>
      <c r="G1039" s="20" t="str" cm="1">
        <f t="array" ref="G1039">IF(TRIM(P1039)="","",IF(SUM(COUNTIF(P1039,{"*NLGD*","*FWG*"}))&gt;0,P1039,IF(SUM(COUNTIF(P1039,{"*GL*","*DGB*","*DGI*","*GT*","*CS*","*PWU*","*DBI*","*SWU*"}))=0,P1039,IF(IFERROR(VALUE(SUBSTITUTE(SUBSTITUTE(O1039,"W",""),"""","")),0)&gt;52,P1039&amp;"-OVRSIZE-",P1039))))</f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s="18" t="str">
        <v/>
      </c>
      <c r="O1039" s="15" t="str" cm="1">
        <f t="array" ref="O1039">IFERROR(_xlfn.LET(
_xlpm.clean,TRIM(SUBSTITUTE(SUBSTITUTE(P1039,CHAR(160),"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9" t="str">
        <f t="shared" si="17"/>
        <v/>
      </c>
    </row>
    <row r="1040" spans="3:19" ht="15.75" customHeight="1">
      <c r="C1040" s="15" t="str" cm="1">
        <f t="array" ref="C1040">IFERROR(_xlfn.TEXTJOIN("",TRUE,_xlfn._xlws.FILTER(MID(S1040,_xlfn.SEQUENCE(LEN(S1040)),1),ISNUMBER(SEARCH(MID(S1040,_xlfn.SEQUENCE(LEN(S1040)),1),"ABCDEFGHIJKLMNOPQRSTUVWXYZabcdefghijklmnopqrstuvwxyz0123456789,")))),"")</f>
        <v/>
      </c>
      <c r="G1040" s="20" t="str" cm="1">
        <f t="array" ref="G1040">IF(TRIM(P1040)="","",IF(SUM(COUNTIF(P1040,{"*NLGD*","*FWG*"}))&gt;0,P1040,IF(SUM(COUNTIF(P1040,{"*GL*","*DGB*","*DGI*","*GT*","*CS*","*PWU*","*DBI*","*SWU*"}))=0,P1040,IF(IFERROR(VALUE(SUBSTITUTE(SUBSTITUTE(O1040,"W",""),"""","")),0)&gt;52,P1040&amp;"-OVRSIZE-",P1040))))</f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s="18" t="str">
        <v/>
      </c>
      <c r="O1040" s="15" t="str" cm="1">
        <f t="array" ref="O1040">IFERROR(_xlfn.LET(
_xlpm.clean,TRIM(SUBSTITUTE(SUBSTITUTE(P1040,CHAR(160),"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0" t="str">
        <f t="shared" si="17"/>
        <v/>
      </c>
    </row>
    <row r="1041" spans="3:19" ht="15.75" customHeight="1">
      <c r="C1041" s="15" t="str" cm="1">
        <f t="array" ref="C1041">IFERROR(_xlfn.TEXTJOIN("",TRUE,_xlfn._xlws.FILTER(MID(S1041,_xlfn.SEQUENCE(LEN(S1041)),1),ISNUMBER(SEARCH(MID(S1041,_xlfn.SEQUENCE(LEN(S1041)),1),"ABCDEFGHIJKLMNOPQRSTUVWXYZabcdefghijklmnopqrstuvwxyz0123456789,")))),"")</f>
        <v/>
      </c>
      <c r="G1041" s="20" t="str" cm="1">
        <f t="array" ref="G1041">IF(TRIM(P1041)="","",IF(SUM(COUNTIF(P1041,{"*NLGD*","*FWG*"}))&gt;0,P1041,IF(SUM(COUNTIF(P1041,{"*GL*","*DGB*","*DGI*","*GT*","*CS*","*PWU*","*DBI*","*SWU*"}))=0,P1041,IF(IFERROR(VALUE(SUBSTITUTE(SUBSTITUTE(O1041,"W",""),"""","")),0)&gt;52,P1041&amp;"-OVRSIZE-",P1041))))</f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s="18" t="str">
        <v/>
      </c>
      <c r="O1041" s="15" t="str" cm="1">
        <f t="array" ref="O1041">IFERROR(_xlfn.LET(
_xlpm.clean,TRIM(SUBSTITUTE(SUBSTITUTE(P1041,CHAR(160),"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1" t="str">
        <f t="shared" si="17"/>
        <v/>
      </c>
    </row>
    <row r="1042" spans="3:19" ht="15.75" customHeight="1">
      <c r="C1042" s="15" t="str" cm="1">
        <f t="array" ref="C1042">IFERROR(_xlfn.TEXTJOIN("",TRUE,_xlfn._xlws.FILTER(MID(S1042,_xlfn.SEQUENCE(LEN(S1042)),1),ISNUMBER(SEARCH(MID(S1042,_xlfn.SEQUENCE(LEN(S1042)),1),"ABCDEFGHIJKLMNOPQRSTUVWXYZabcdefghijklmnopqrstuvwxyz0123456789,")))),"")</f>
        <v/>
      </c>
      <c r="G1042" s="20" t="str" cm="1">
        <f t="array" ref="G1042">IF(TRIM(P1042)="","",IF(SUM(COUNTIF(P1042,{"*NLGD*","*FWG*"}))&gt;0,P1042,IF(SUM(COUNTIF(P1042,{"*GL*","*DGB*","*DGI*","*GT*","*CS*","*PWU*","*DBI*","*SWU*"}))=0,P1042,IF(IFERROR(VALUE(SUBSTITUTE(SUBSTITUTE(O1042,"W",""),"""","")),0)&gt;52,P1042&amp;"-OVRSIZE-",P1042))))</f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s="18" t="str">
        <v/>
      </c>
      <c r="O1042" s="15" t="str" cm="1">
        <f t="array" ref="O1042">IFERROR(_xlfn.LET(
_xlpm.clean,TRIM(SUBSTITUTE(SUBSTITUTE(P1042,CHAR(160),"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2" t="str">
        <f t="shared" si="17"/>
        <v/>
      </c>
    </row>
    <row r="1043" spans="3:19" ht="15.75" customHeight="1">
      <c r="C1043" s="15" t="str" cm="1">
        <f t="array" ref="C1043">IFERROR(_xlfn.TEXTJOIN("",TRUE,_xlfn._xlws.FILTER(MID(S1043,_xlfn.SEQUENCE(LEN(S1043)),1),ISNUMBER(SEARCH(MID(S1043,_xlfn.SEQUENCE(LEN(S1043)),1),"ABCDEFGHIJKLMNOPQRSTUVWXYZabcdefghijklmnopqrstuvwxyz0123456789,")))),"")</f>
        <v/>
      </c>
      <c r="G1043" s="20" t="str" cm="1">
        <f t="array" ref="G1043">IF(TRIM(P1043)="","",IF(SUM(COUNTIF(P1043,{"*NLGD*","*FWG*"}))&gt;0,P1043,IF(SUM(COUNTIF(P1043,{"*GL*","*DGB*","*DGI*","*GT*","*CS*","*PWU*","*DBI*","*SWU*"}))=0,P1043,IF(IFERROR(VALUE(SUBSTITUTE(SUBSTITUTE(O1043,"W",""),"""","")),0)&gt;52,P1043&amp;"-OVRSIZE-",P1043))))</f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s="18" t="str">
        <v/>
      </c>
      <c r="O1043" s="15" t="str" cm="1">
        <f t="array" ref="O1043">IFERROR(_xlfn.LET(
_xlpm.clean,TRIM(SUBSTITUTE(SUBSTITUTE(P1043,CHAR(160),"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3" t="str">
        <f t="shared" si="17"/>
        <v/>
      </c>
    </row>
    <row r="1044" spans="3:19" ht="15.75" customHeight="1">
      <c r="C1044" s="15" t="str" cm="1">
        <f t="array" ref="C1044">IFERROR(_xlfn.TEXTJOIN("",TRUE,_xlfn._xlws.FILTER(MID(S1044,_xlfn.SEQUENCE(LEN(S1044)),1),ISNUMBER(SEARCH(MID(S1044,_xlfn.SEQUENCE(LEN(S1044)),1),"ABCDEFGHIJKLMNOPQRSTUVWXYZabcdefghijklmnopqrstuvwxyz0123456789,")))),"")</f>
        <v/>
      </c>
      <c r="G1044" s="20" t="str" cm="1">
        <f t="array" ref="G1044">IF(TRIM(P1044)="","",IF(SUM(COUNTIF(P1044,{"*NLGD*","*FWG*"}))&gt;0,P1044,IF(SUM(COUNTIF(P1044,{"*GL*","*DGB*","*DGI*","*GT*","*CS*","*PWU*","*DBI*","*SWU*"}))=0,P1044,IF(IFERROR(VALUE(SUBSTITUTE(SUBSTITUTE(O1044,"W",""),"""","")),0)&gt;52,P1044&amp;"-OVRSIZE-",P1044))))</f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s="18" t="str">
        <v/>
      </c>
      <c r="O1044" s="15" t="str" cm="1">
        <f t="array" ref="O1044">IFERROR(_xlfn.LET(
_xlpm.clean,TRIM(SUBSTITUTE(SUBSTITUTE(P1044,CHAR(160),"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4" t="str">
        <f t="shared" si="17"/>
        <v/>
      </c>
    </row>
    <row r="1045" spans="3:19" ht="15.75" customHeight="1">
      <c r="C1045" s="15" t="str" cm="1">
        <f t="array" ref="C1045">IFERROR(_xlfn.TEXTJOIN("",TRUE,_xlfn._xlws.FILTER(MID(S1045,_xlfn.SEQUENCE(LEN(S1045)),1),ISNUMBER(SEARCH(MID(S1045,_xlfn.SEQUENCE(LEN(S1045)),1),"ABCDEFGHIJKLMNOPQRSTUVWXYZabcdefghijklmnopqrstuvwxyz0123456789,")))),"")</f>
        <v/>
      </c>
      <c r="G1045" s="20" t="str" cm="1">
        <f t="array" ref="G1045">IF(TRIM(P1045)="","",IF(SUM(COUNTIF(P1045,{"*NLGD*","*FWG*"}))&gt;0,P1045,IF(SUM(COUNTIF(P1045,{"*GL*","*DGB*","*DGI*","*GT*","*CS*","*PWU*","*DBI*","*SWU*"}))=0,P1045,IF(IFERROR(VALUE(SUBSTITUTE(SUBSTITUTE(O1045,"W",""),"""","")),0)&gt;52,P1045&amp;"-OVRSIZE-",P1045))))</f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s="18" t="str">
        <v/>
      </c>
      <c r="O1045" s="15" t="str" cm="1">
        <f t="array" ref="O1045">IFERROR(_xlfn.LET(
_xlpm.clean,TRIM(SUBSTITUTE(SUBSTITUTE(P1045,CHAR(160),"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5" t="str">
        <f t="shared" si="17"/>
        <v/>
      </c>
    </row>
    <row r="1046" spans="3:19" ht="15.75" customHeight="1">
      <c r="C1046" s="15" t="str" cm="1">
        <f t="array" ref="C1046">IFERROR(_xlfn.TEXTJOIN("",TRUE,_xlfn._xlws.FILTER(MID(S1046,_xlfn.SEQUENCE(LEN(S1046)),1),ISNUMBER(SEARCH(MID(S1046,_xlfn.SEQUENCE(LEN(S1046)),1),"ABCDEFGHIJKLMNOPQRSTUVWXYZabcdefghijklmnopqrstuvwxyz0123456789,")))),"")</f>
        <v/>
      </c>
      <c r="G1046" s="20" t="str" cm="1">
        <f t="array" ref="G1046">IF(TRIM(P1046)="","",IF(SUM(COUNTIF(P1046,{"*NLGD*","*FWG*"}))&gt;0,P1046,IF(SUM(COUNTIF(P1046,{"*GL*","*DGB*","*DGI*","*GT*","*CS*","*PWU*","*DBI*","*SWU*"}))=0,P1046,IF(IFERROR(VALUE(SUBSTITUTE(SUBSTITUTE(O1046,"W",""),"""","")),0)&gt;52,P1046&amp;"-OVRSIZE-",P1046))))</f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s="18" t="str">
        <v/>
      </c>
      <c r="O1046" s="15" t="str" cm="1">
        <f t="array" ref="O1046">IFERROR(_xlfn.LET(
_xlpm.clean,TRIM(SUBSTITUTE(SUBSTITUTE(P1046,CHAR(160),"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6" t="str">
        <f t="shared" si="17"/>
        <v/>
      </c>
    </row>
    <row r="1047" spans="3:19" ht="15.75" customHeight="1">
      <c r="C1047" s="15" t="str" cm="1">
        <f t="array" ref="C1047">IFERROR(_xlfn.TEXTJOIN("",TRUE,_xlfn._xlws.FILTER(MID(S1047,_xlfn.SEQUENCE(LEN(S1047)),1),ISNUMBER(SEARCH(MID(S1047,_xlfn.SEQUENCE(LEN(S1047)),1),"ABCDEFGHIJKLMNOPQRSTUVWXYZabcdefghijklmnopqrstuvwxyz0123456789,")))),"")</f>
        <v/>
      </c>
      <c r="G1047" s="20" t="str" cm="1">
        <f t="array" ref="G1047">IF(TRIM(P1047)="","",IF(SUM(COUNTIF(P1047,{"*NLGD*","*FWG*"}))&gt;0,P1047,IF(SUM(COUNTIF(P1047,{"*GL*","*DGB*","*DGI*","*GT*","*CS*","*PWU*","*DBI*","*SWU*"}))=0,P1047,IF(IFERROR(VALUE(SUBSTITUTE(SUBSTITUTE(O1047,"W",""),"""","")),0)&gt;52,P1047&amp;"-OVRSIZE-",P1047))))</f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s="18" t="str">
        <v/>
      </c>
      <c r="O1047" s="15" t="str" cm="1">
        <f t="array" ref="O1047">IFERROR(_xlfn.LET(
_xlpm.clean,TRIM(SUBSTITUTE(SUBSTITUTE(P1047,CHAR(160),"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7" t="str">
        <f t="shared" si="17"/>
        <v/>
      </c>
    </row>
    <row r="1048" spans="3:19" ht="15.75" customHeight="1">
      <c r="C1048" s="15" t="str" cm="1">
        <f t="array" ref="C1048">IFERROR(_xlfn.TEXTJOIN("",TRUE,_xlfn._xlws.FILTER(MID(S1048,_xlfn.SEQUENCE(LEN(S1048)),1),ISNUMBER(SEARCH(MID(S1048,_xlfn.SEQUENCE(LEN(S1048)),1),"ABCDEFGHIJKLMNOPQRSTUVWXYZabcdefghijklmnopqrstuvwxyz0123456789,")))),"")</f>
        <v/>
      </c>
      <c r="G1048" s="20" t="str" cm="1">
        <f t="array" ref="G1048">IF(TRIM(P1048)="","",IF(SUM(COUNTIF(P1048,{"*NLGD*","*FWG*"}))&gt;0,P1048,IF(SUM(COUNTIF(P1048,{"*GL*","*DGB*","*DGI*","*GT*","*CS*","*PWU*","*DBI*","*SWU*"}))=0,P1048,IF(IFERROR(VALUE(SUBSTITUTE(SUBSTITUTE(O1048,"W",""),"""","")),0)&gt;52,P1048&amp;"-OVRSIZE-",P1048))))</f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s="18" t="str">
        <v/>
      </c>
      <c r="O1048" s="15" t="str" cm="1">
        <f t="array" ref="O1048">IFERROR(_xlfn.LET(
_xlpm.clean,TRIM(SUBSTITUTE(SUBSTITUTE(P1048,CHAR(160),"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8" t="str">
        <f t="shared" si="17"/>
        <v/>
      </c>
    </row>
    <row r="1049" spans="3:19" ht="15.75" customHeight="1">
      <c r="C1049" s="15" t="str" cm="1">
        <f t="array" ref="C1049">IFERROR(_xlfn.TEXTJOIN("",TRUE,_xlfn._xlws.FILTER(MID(S1049,_xlfn.SEQUENCE(LEN(S1049)),1),ISNUMBER(SEARCH(MID(S1049,_xlfn.SEQUENCE(LEN(S1049)),1),"ABCDEFGHIJKLMNOPQRSTUVWXYZabcdefghijklmnopqrstuvwxyz0123456789,")))),"")</f>
        <v/>
      </c>
      <c r="G1049" s="20" t="str" cm="1">
        <f t="array" ref="G1049">IF(TRIM(P1049)="","",IF(SUM(COUNTIF(P1049,{"*NLGD*","*FWG*"}))&gt;0,P1049,IF(SUM(COUNTIF(P1049,{"*GL*","*DGB*","*DGI*","*GT*","*CS*","*PWU*","*DBI*","*SWU*"}))=0,P1049,IF(IFERROR(VALUE(SUBSTITUTE(SUBSTITUTE(O1049,"W",""),"""","")),0)&gt;52,P1049&amp;"-OVRSIZE-",P1049))))</f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s="18" t="str">
        <v/>
      </c>
      <c r="O1049" s="15" t="str" cm="1">
        <f t="array" ref="O1049">IFERROR(_xlfn.LET(
_xlpm.clean,TRIM(SUBSTITUTE(SUBSTITUTE(P1049,CHAR(160),"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9" t="str">
        <f t="shared" si="17"/>
        <v/>
      </c>
    </row>
    <row r="1050" spans="3:19" ht="15.75" customHeight="1">
      <c r="C1050" s="15" t="str" cm="1">
        <f t="array" ref="C1050">IFERROR(_xlfn.TEXTJOIN("",TRUE,_xlfn._xlws.FILTER(MID(S1050,_xlfn.SEQUENCE(LEN(S1050)),1),ISNUMBER(SEARCH(MID(S1050,_xlfn.SEQUENCE(LEN(S1050)),1),"ABCDEFGHIJKLMNOPQRSTUVWXYZabcdefghijklmnopqrstuvwxyz0123456789,")))),"")</f>
        <v/>
      </c>
      <c r="G1050" s="20" t="str" cm="1">
        <f t="array" ref="G1050">IF(TRIM(P1050)="","",IF(SUM(COUNTIF(P1050,{"*NLGD*","*FWG*"}))&gt;0,P1050,IF(SUM(COUNTIF(P1050,{"*GL*","*DGB*","*DGI*","*GT*","*CS*","*PWU*","*DBI*","*SWU*"}))=0,P1050,IF(IFERROR(VALUE(SUBSTITUTE(SUBSTITUTE(O1050,"W",""),"""","")),0)&gt;52,P1050&amp;"-OVRSIZE-",P1050))))</f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s="18" t="str">
        <v/>
      </c>
      <c r="O1050" s="15" t="str" cm="1">
        <f t="array" ref="O1050">IFERROR(_xlfn.LET(
_xlpm.clean,TRIM(SUBSTITUTE(SUBSTITUTE(P1050,CHAR(160),"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0" t="str">
        <f t="shared" si="17"/>
        <v/>
      </c>
    </row>
    <row r="1051" spans="3:19" ht="15.75" customHeight="1">
      <c r="C1051" s="15" t="str" cm="1">
        <f t="array" ref="C1051">IFERROR(_xlfn.TEXTJOIN("",TRUE,_xlfn._xlws.FILTER(MID(S1051,_xlfn.SEQUENCE(LEN(S1051)),1),ISNUMBER(SEARCH(MID(S1051,_xlfn.SEQUENCE(LEN(S1051)),1),"ABCDEFGHIJKLMNOPQRSTUVWXYZabcdefghijklmnopqrstuvwxyz0123456789,")))),"")</f>
        <v/>
      </c>
      <c r="G1051" s="20" t="str" cm="1">
        <f t="array" ref="G1051">IF(TRIM(P1051)="","",IF(SUM(COUNTIF(P1051,{"*NLGD*","*FWG*"}))&gt;0,P1051,IF(SUM(COUNTIF(P1051,{"*GL*","*DGB*","*DGI*","*GT*","*CS*","*PWU*","*DBI*","*SWU*"}))=0,P1051,IF(IFERROR(VALUE(SUBSTITUTE(SUBSTITUTE(O1051,"W",""),"""","")),0)&gt;52,P1051&amp;"-OVRSIZE-",P1051))))</f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s="18" t="str">
        <v/>
      </c>
      <c r="O1051" s="15" t="str" cm="1">
        <f t="array" ref="O1051">IFERROR(_xlfn.LET(
_xlpm.clean,TRIM(SUBSTITUTE(SUBSTITUTE(P1051,CHAR(160),"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1" t="str">
        <f t="shared" si="17"/>
        <v/>
      </c>
    </row>
    <row r="1052" spans="3:19" ht="15.75" customHeight="1">
      <c r="C1052" s="15" t="str" cm="1">
        <f t="array" ref="C1052">IFERROR(_xlfn.TEXTJOIN("",TRUE,_xlfn._xlws.FILTER(MID(S1052,_xlfn.SEQUENCE(LEN(S1052)),1),ISNUMBER(SEARCH(MID(S1052,_xlfn.SEQUENCE(LEN(S1052)),1),"ABCDEFGHIJKLMNOPQRSTUVWXYZabcdefghijklmnopqrstuvwxyz0123456789,")))),"")</f>
        <v/>
      </c>
      <c r="G1052" s="20" t="str" cm="1">
        <f t="array" ref="G1052">IF(TRIM(P1052)="","",IF(SUM(COUNTIF(P1052,{"*NLGD*","*FWG*"}))&gt;0,P1052,IF(SUM(COUNTIF(P1052,{"*GL*","*DGB*","*DGI*","*GT*","*CS*","*PWU*","*DBI*","*SWU*"}))=0,P1052,IF(IFERROR(VALUE(SUBSTITUTE(SUBSTITUTE(O1052,"W",""),"""","")),0)&gt;52,P1052&amp;"-OVRSIZE-",P1052))))</f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s="18" t="str">
        <v/>
      </c>
      <c r="O1052" s="15" t="str" cm="1">
        <f t="array" ref="O1052">IFERROR(_xlfn.LET(
_xlpm.clean,TRIM(SUBSTITUTE(SUBSTITUTE(P1052,CHAR(160),"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2" t="str">
        <f t="shared" si="17"/>
        <v/>
      </c>
    </row>
    <row r="1053" spans="3:19" ht="15.75" customHeight="1">
      <c r="C1053" s="15" t="str" cm="1">
        <f t="array" ref="C1053">IFERROR(_xlfn.TEXTJOIN("",TRUE,_xlfn._xlws.FILTER(MID(S1053,_xlfn.SEQUENCE(LEN(S1053)),1),ISNUMBER(SEARCH(MID(S1053,_xlfn.SEQUENCE(LEN(S1053)),1),"ABCDEFGHIJKLMNOPQRSTUVWXYZabcdefghijklmnopqrstuvwxyz0123456789,")))),"")</f>
        <v/>
      </c>
      <c r="G1053" s="20" t="str" cm="1">
        <f t="array" ref="G1053">IF(TRIM(P1053)="","",IF(SUM(COUNTIF(P1053,{"*NLGD*","*FWG*"}))&gt;0,P1053,IF(SUM(COUNTIF(P1053,{"*GL*","*DGB*","*DGI*","*GT*","*CS*","*PWU*","*DBI*","*SWU*"}))=0,P1053,IF(IFERROR(VALUE(SUBSTITUTE(SUBSTITUTE(O1053,"W",""),"""","")),0)&gt;52,P1053&amp;"-OVRSIZE-",P1053))))</f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s="18" t="str">
        <v/>
      </c>
      <c r="O1053" s="15" t="str" cm="1">
        <f t="array" ref="O1053">IFERROR(_xlfn.LET(
_xlpm.clean,TRIM(SUBSTITUTE(SUBSTITUTE(P1053,CHAR(160),"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3" t="str">
        <f t="shared" si="17"/>
        <v/>
      </c>
    </row>
    <row r="1054" spans="3:19" ht="15.75" customHeight="1">
      <c r="C1054" s="15" t="str" cm="1">
        <f t="array" ref="C1054">IFERROR(_xlfn.TEXTJOIN("",TRUE,_xlfn._xlws.FILTER(MID(S1054,_xlfn.SEQUENCE(LEN(S1054)),1),ISNUMBER(SEARCH(MID(S1054,_xlfn.SEQUENCE(LEN(S1054)),1),"ABCDEFGHIJKLMNOPQRSTUVWXYZabcdefghijklmnopqrstuvwxyz0123456789,")))),"")</f>
        <v/>
      </c>
      <c r="G1054" s="20" t="str" cm="1">
        <f t="array" ref="G1054">IF(TRIM(P1054)="","",IF(SUM(COUNTIF(P1054,{"*NLGD*","*FWG*"}))&gt;0,P1054,IF(SUM(COUNTIF(P1054,{"*GL*","*DGB*","*DGI*","*GT*","*CS*","*PWU*","*DBI*","*SWU*"}))=0,P1054,IF(IFERROR(VALUE(SUBSTITUTE(SUBSTITUTE(O1054,"W",""),"""","")),0)&gt;52,P1054&amp;"-OVRSIZE-",P1054))))</f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s="18" t="str">
        <v/>
      </c>
      <c r="O1054" s="15" t="str" cm="1">
        <f t="array" ref="O1054">IFERROR(_xlfn.LET(
_xlpm.clean,TRIM(SUBSTITUTE(SUBSTITUTE(P1054,CHAR(160),"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4" t="str">
        <f t="shared" si="17"/>
        <v/>
      </c>
    </row>
    <row r="1055" spans="3:19" ht="15.75" customHeight="1">
      <c r="C1055" s="15" t="str" cm="1">
        <f t="array" ref="C1055">IFERROR(_xlfn.TEXTJOIN("",TRUE,_xlfn._xlws.FILTER(MID(S1055,_xlfn.SEQUENCE(LEN(S1055)),1),ISNUMBER(SEARCH(MID(S1055,_xlfn.SEQUENCE(LEN(S1055)),1),"ABCDEFGHIJKLMNOPQRSTUVWXYZabcdefghijklmnopqrstuvwxyz0123456789,")))),"")</f>
        <v/>
      </c>
      <c r="G1055" s="20" t="str" cm="1">
        <f t="array" ref="G1055">IF(TRIM(P1055)="","",IF(SUM(COUNTIF(P1055,{"*NLGD*","*FWG*"}))&gt;0,P1055,IF(SUM(COUNTIF(P1055,{"*GL*","*DGB*","*DGI*","*GT*","*CS*","*PWU*","*DBI*","*SWU*"}))=0,P1055,IF(IFERROR(VALUE(SUBSTITUTE(SUBSTITUTE(O1055,"W",""),"""","")),0)&gt;52,P1055&amp;"-OVRSIZE-",P1055))))</f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s="18" t="str">
        <v/>
      </c>
      <c r="O1055" s="15" t="str" cm="1">
        <f t="array" ref="O1055">IFERROR(_xlfn.LET(
_xlpm.clean,TRIM(SUBSTITUTE(SUBSTITUTE(P1055,CHAR(160),"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5" t="str">
        <f t="shared" si="17"/>
        <v/>
      </c>
    </row>
    <row r="1056" spans="3:19" ht="15.75" customHeight="1">
      <c r="C1056" s="15" t="str" cm="1">
        <f t="array" ref="C1056">IFERROR(_xlfn.TEXTJOIN("",TRUE,_xlfn._xlws.FILTER(MID(S1056,_xlfn.SEQUENCE(LEN(S1056)),1),ISNUMBER(SEARCH(MID(S1056,_xlfn.SEQUENCE(LEN(S1056)),1),"ABCDEFGHIJKLMNOPQRSTUVWXYZabcdefghijklmnopqrstuvwxyz0123456789,")))),"")</f>
        <v/>
      </c>
      <c r="G1056" s="20" t="str" cm="1">
        <f t="array" ref="G1056">IF(TRIM(P1056)="","",IF(SUM(COUNTIF(P1056,{"*NLGD*","*FWG*"}))&gt;0,P1056,IF(SUM(COUNTIF(P1056,{"*GL*","*DGB*","*DGI*","*GT*","*CS*","*PWU*","*DBI*","*SWU*"}))=0,P1056,IF(IFERROR(VALUE(SUBSTITUTE(SUBSTITUTE(O1056,"W",""),"""","")),0)&gt;52,P1056&amp;"-OVRSIZE-",P1056))))</f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s="18" t="str">
        <v/>
      </c>
      <c r="O1056" s="15" t="str" cm="1">
        <f t="array" ref="O1056">IFERROR(_xlfn.LET(
_xlpm.clean,TRIM(SUBSTITUTE(SUBSTITUTE(P1056,CHAR(160),"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6" t="str">
        <f t="shared" si="17"/>
        <v/>
      </c>
    </row>
    <row r="1057" spans="3:19" ht="15.75" customHeight="1">
      <c r="C1057" s="15" t="str" cm="1">
        <f t="array" ref="C1057">IFERROR(_xlfn.TEXTJOIN("",TRUE,_xlfn._xlws.FILTER(MID(S1057,_xlfn.SEQUENCE(LEN(S1057)),1),ISNUMBER(SEARCH(MID(S1057,_xlfn.SEQUENCE(LEN(S1057)),1),"ABCDEFGHIJKLMNOPQRSTUVWXYZabcdefghijklmnopqrstuvwxyz0123456789,")))),"")</f>
        <v/>
      </c>
      <c r="G1057" s="20" t="str" cm="1">
        <f t="array" ref="G1057">IF(TRIM(P1057)="","",IF(SUM(COUNTIF(P1057,{"*NLGD*","*FWG*"}))&gt;0,P1057,IF(SUM(COUNTIF(P1057,{"*GL*","*DGB*","*DGI*","*GT*","*CS*","*PWU*","*DBI*","*SWU*"}))=0,P1057,IF(IFERROR(VALUE(SUBSTITUTE(SUBSTITUTE(O1057,"W",""),"""","")),0)&gt;52,P1057&amp;"-OVRSIZE-",P1057))))</f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s="18" t="str">
        <v/>
      </c>
      <c r="O1057" s="15" t="str" cm="1">
        <f t="array" ref="O1057">IFERROR(_xlfn.LET(
_xlpm.clean,TRIM(SUBSTITUTE(SUBSTITUTE(P1057,CHAR(160),"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7" t="str">
        <f t="shared" si="17"/>
        <v/>
      </c>
    </row>
    <row r="1058" spans="3:19" ht="15.75" customHeight="1">
      <c r="C1058" s="15" t="str" cm="1">
        <f t="array" ref="C1058">IFERROR(_xlfn.TEXTJOIN("",TRUE,_xlfn._xlws.FILTER(MID(S1058,_xlfn.SEQUENCE(LEN(S1058)),1),ISNUMBER(SEARCH(MID(S1058,_xlfn.SEQUENCE(LEN(S1058)),1),"ABCDEFGHIJKLMNOPQRSTUVWXYZabcdefghijklmnopqrstuvwxyz0123456789,")))),"")</f>
        <v/>
      </c>
      <c r="G1058" s="20" t="str" cm="1">
        <f t="array" ref="G1058">IF(TRIM(P1058)="","",IF(SUM(COUNTIF(P1058,{"*NLGD*","*FWG*"}))&gt;0,P1058,IF(SUM(COUNTIF(P1058,{"*GL*","*DGB*","*DGI*","*GT*","*CS*","*PWU*","*DBI*","*SWU*"}))=0,P1058,IF(IFERROR(VALUE(SUBSTITUTE(SUBSTITUTE(O1058,"W",""),"""","")),0)&gt;52,P1058&amp;"-OVRSIZE-",P1058))))</f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s="18" t="str">
        <v/>
      </c>
      <c r="O1058" s="15" t="str" cm="1">
        <f t="array" ref="O1058">IFERROR(_xlfn.LET(
_xlpm.clean,TRIM(SUBSTITUTE(SUBSTITUTE(P1058,CHAR(160),"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8" t="str">
        <f t="shared" si="17"/>
        <v/>
      </c>
    </row>
    <row r="1059" spans="3:19" ht="15.75" customHeight="1">
      <c r="C1059" s="15" t="str" cm="1">
        <f t="array" ref="C1059">IFERROR(_xlfn.TEXTJOIN("",TRUE,_xlfn._xlws.FILTER(MID(S1059,_xlfn.SEQUENCE(LEN(S1059)),1),ISNUMBER(SEARCH(MID(S1059,_xlfn.SEQUENCE(LEN(S1059)),1),"ABCDEFGHIJKLMNOPQRSTUVWXYZabcdefghijklmnopqrstuvwxyz0123456789,")))),"")</f>
        <v/>
      </c>
      <c r="G1059" s="20" t="str" cm="1">
        <f t="array" ref="G1059">IF(TRIM(P1059)="","",IF(SUM(COUNTIF(P1059,{"*NLGD*","*FWG*"}))&gt;0,P1059,IF(SUM(COUNTIF(P1059,{"*GL*","*DGB*","*DGI*","*GT*","*CS*","*PWU*","*DBI*","*SWU*"}))=0,P1059,IF(IFERROR(VALUE(SUBSTITUTE(SUBSTITUTE(O1059,"W",""),"""","")),0)&gt;52,P1059&amp;"-OVRSIZE-",P1059))))</f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s="18" t="str">
        <v/>
      </c>
      <c r="O1059" s="15" t="str" cm="1">
        <f t="array" ref="O1059">IFERROR(_xlfn.LET(
_xlpm.clean,TRIM(SUBSTITUTE(SUBSTITUTE(P1059,CHAR(160),"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9" t="str">
        <f t="shared" si="17"/>
        <v/>
      </c>
    </row>
    <row r="1060" spans="3:19" ht="15.75" customHeight="1">
      <c r="C1060" s="15" t="str" cm="1">
        <f t="array" ref="C1060">IFERROR(_xlfn.TEXTJOIN("",TRUE,_xlfn._xlws.FILTER(MID(S1060,_xlfn.SEQUENCE(LEN(S1060)),1),ISNUMBER(SEARCH(MID(S1060,_xlfn.SEQUENCE(LEN(S1060)),1),"ABCDEFGHIJKLMNOPQRSTUVWXYZabcdefghijklmnopqrstuvwxyz0123456789,")))),"")</f>
        <v/>
      </c>
      <c r="G1060" s="20" t="str" cm="1">
        <f t="array" ref="G1060">IF(TRIM(P1060)="","",IF(SUM(COUNTIF(P1060,{"*NLGD*","*FWG*"}))&gt;0,P1060,IF(SUM(COUNTIF(P1060,{"*GL*","*DGB*","*DGI*","*GT*","*CS*","*PWU*","*DBI*","*SWU*"}))=0,P1060,IF(IFERROR(VALUE(SUBSTITUTE(SUBSTITUTE(O1060,"W",""),"""","")),0)&gt;52,P1060&amp;"-OVRSIZE-",P1060))))</f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s="18" t="str">
        <v/>
      </c>
      <c r="O1060" s="15" t="str" cm="1">
        <f t="array" ref="O1060">IFERROR(_xlfn.LET(
_xlpm.clean,TRIM(SUBSTITUTE(SUBSTITUTE(P1060,CHAR(160),"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0" t="str">
        <f t="shared" si="17"/>
        <v/>
      </c>
    </row>
    <row r="1061" spans="3:19" ht="15.75" customHeight="1">
      <c r="C1061" s="15" t="str" cm="1">
        <f t="array" ref="C1061">IFERROR(_xlfn.TEXTJOIN("",TRUE,_xlfn._xlws.FILTER(MID(S1061,_xlfn.SEQUENCE(LEN(S1061)),1),ISNUMBER(SEARCH(MID(S1061,_xlfn.SEQUENCE(LEN(S1061)),1),"ABCDEFGHIJKLMNOPQRSTUVWXYZabcdefghijklmnopqrstuvwxyz0123456789,")))),"")</f>
        <v/>
      </c>
      <c r="G1061" s="20" t="str" cm="1">
        <f t="array" ref="G1061">IF(TRIM(P1061)="","",IF(SUM(COUNTIF(P1061,{"*NLGD*","*FWG*"}))&gt;0,P1061,IF(SUM(COUNTIF(P1061,{"*GL*","*DGB*","*DGI*","*GT*","*CS*","*PWU*","*DBI*","*SWU*"}))=0,P1061,IF(IFERROR(VALUE(SUBSTITUTE(SUBSTITUTE(O1061,"W",""),"""","")),0)&gt;52,P1061&amp;"-OVRSIZE-",P1061))))</f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s="18" t="str">
        <v/>
      </c>
      <c r="O1061" s="15" t="str" cm="1">
        <f t="array" ref="O1061">IFERROR(_xlfn.LET(
_xlpm.clean,TRIM(SUBSTITUTE(SUBSTITUTE(P1061,CHAR(160),"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1" t="str">
        <f t="shared" si="17"/>
        <v/>
      </c>
    </row>
    <row r="1062" spans="3:19" ht="15.75" customHeight="1">
      <c r="C1062" s="15" t="str" cm="1">
        <f t="array" ref="C1062">IFERROR(_xlfn.TEXTJOIN("",TRUE,_xlfn._xlws.FILTER(MID(S1062,_xlfn.SEQUENCE(LEN(S1062)),1),ISNUMBER(SEARCH(MID(S1062,_xlfn.SEQUENCE(LEN(S1062)),1),"ABCDEFGHIJKLMNOPQRSTUVWXYZabcdefghijklmnopqrstuvwxyz0123456789,")))),"")</f>
        <v/>
      </c>
      <c r="G1062" s="20" t="str" cm="1">
        <f t="array" ref="G1062">IF(TRIM(P1062)="","",IF(SUM(COUNTIF(P1062,{"*NLGD*","*FWG*"}))&gt;0,P1062,IF(SUM(COUNTIF(P1062,{"*GL*","*DGB*","*DGI*","*GT*","*CS*","*PWU*","*DBI*","*SWU*"}))=0,P1062,IF(IFERROR(VALUE(SUBSTITUTE(SUBSTITUTE(O1062,"W",""),"""","")),0)&gt;52,P1062&amp;"-OVRSIZE-",P1062))))</f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s="18" t="str">
        <v/>
      </c>
      <c r="O1062" s="15" t="str" cm="1">
        <f t="array" ref="O1062">IFERROR(_xlfn.LET(
_xlpm.clean,TRIM(SUBSTITUTE(SUBSTITUTE(P1062,CHAR(160),"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2" t="str">
        <f t="shared" si="17"/>
        <v/>
      </c>
    </row>
    <row r="1063" spans="3:19" ht="15.75" customHeight="1">
      <c r="C1063" s="15" t="str" cm="1">
        <f t="array" ref="C1063">IFERROR(_xlfn.TEXTJOIN("",TRUE,_xlfn._xlws.FILTER(MID(S1063,_xlfn.SEQUENCE(LEN(S1063)),1),ISNUMBER(SEARCH(MID(S1063,_xlfn.SEQUENCE(LEN(S1063)),1),"ABCDEFGHIJKLMNOPQRSTUVWXYZabcdefghijklmnopqrstuvwxyz0123456789,")))),"")</f>
        <v/>
      </c>
      <c r="G1063" s="20" t="str" cm="1">
        <f t="array" ref="G1063">IF(TRIM(P1063)="","",IF(SUM(COUNTIF(P1063,{"*NLGD*","*FWG*"}))&gt;0,P1063,IF(SUM(COUNTIF(P1063,{"*GL*","*DGB*","*DGI*","*GT*","*CS*","*PWU*","*DBI*","*SWU*"}))=0,P1063,IF(IFERROR(VALUE(SUBSTITUTE(SUBSTITUTE(O1063,"W",""),"""","")),0)&gt;52,P1063&amp;"-OVRSIZE-",P1063))))</f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s="18" t="str">
        <v/>
      </c>
      <c r="O1063" s="15" t="str" cm="1">
        <f t="array" ref="O1063">IFERROR(_xlfn.LET(
_xlpm.clean,TRIM(SUBSTITUTE(SUBSTITUTE(P1063,CHAR(160),"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3" t="str">
        <f t="shared" si="17"/>
        <v/>
      </c>
    </row>
    <row r="1064" spans="3:19" ht="15.75" customHeight="1">
      <c r="C1064" s="15" t="str" cm="1">
        <f t="array" ref="C1064">IFERROR(_xlfn.TEXTJOIN("",TRUE,_xlfn._xlws.FILTER(MID(S1064,_xlfn.SEQUENCE(LEN(S1064)),1),ISNUMBER(SEARCH(MID(S1064,_xlfn.SEQUENCE(LEN(S1064)),1),"ABCDEFGHIJKLMNOPQRSTUVWXYZabcdefghijklmnopqrstuvwxyz0123456789,")))),"")</f>
        <v/>
      </c>
      <c r="G1064" s="20" t="str" cm="1">
        <f t="array" ref="G1064">IF(TRIM(P1064)="","",IF(SUM(COUNTIF(P1064,{"*NLGD*","*FWG*"}))&gt;0,P1064,IF(SUM(COUNTIF(P1064,{"*GL*","*DGB*","*DGI*","*GT*","*CS*","*PWU*","*DBI*","*SWU*"}))=0,P1064,IF(IFERROR(VALUE(SUBSTITUTE(SUBSTITUTE(O1064,"W",""),"""","")),0)&gt;52,P1064&amp;"-OVRSIZE-",P1064))))</f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s="18" t="str">
        <v/>
      </c>
      <c r="O1064" s="15" t="str" cm="1">
        <f t="array" ref="O1064">IFERROR(_xlfn.LET(
_xlpm.clean,TRIM(SUBSTITUTE(SUBSTITUTE(P1064,CHAR(160),"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4" t="str">
        <f t="shared" si="17"/>
        <v/>
      </c>
    </row>
    <row r="1065" spans="3:19" ht="15.75" customHeight="1">
      <c r="C1065" s="15" t="str" cm="1">
        <f t="array" ref="C1065">IFERROR(_xlfn.TEXTJOIN("",TRUE,_xlfn._xlws.FILTER(MID(S1065,_xlfn.SEQUENCE(LEN(S1065)),1),ISNUMBER(SEARCH(MID(S1065,_xlfn.SEQUENCE(LEN(S1065)),1),"ABCDEFGHIJKLMNOPQRSTUVWXYZabcdefghijklmnopqrstuvwxyz0123456789,")))),"")</f>
        <v/>
      </c>
      <c r="G1065" s="20" t="str" cm="1">
        <f t="array" ref="G1065">IF(TRIM(P1065)="","",IF(SUM(COUNTIF(P1065,{"*NLGD*","*FWG*"}))&gt;0,P1065,IF(SUM(COUNTIF(P1065,{"*GL*","*DGB*","*DGI*","*GT*","*CS*","*PWU*","*DBI*","*SWU*"}))=0,P1065,IF(IFERROR(VALUE(SUBSTITUTE(SUBSTITUTE(O1065,"W",""),"""","")),0)&gt;52,P1065&amp;"-OVRSIZE-",P1065))))</f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s="18" t="str">
        <v/>
      </c>
      <c r="O1065" s="15" t="str" cm="1">
        <f t="array" ref="O1065">IFERROR(_xlfn.LET(
_xlpm.clean,TRIM(SUBSTITUTE(SUBSTITUTE(P1065,CHAR(160),"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5" t="str">
        <f t="shared" si="17"/>
        <v/>
      </c>
    </row>
    <row r="1066" spans="3:19" ht="15.75" customHeight="1">
      <c r="C1066" s="15" t="str" cm="1">
        <f t="array" ref="C1066">IFERROR(_xlfn.TEXTJOIN("",TRUE,_xlfn._xlws.FILTER(MID(S1066,_xlfn.SEQUENCE(LEN(S1066)),1),ISNUMBER(SEARCH(MID(S1066,_xlfn.SEQUENCE(LEN(S1066)),1),"ABCDEFGHIJKLMNOPQRSTUVWXYZabcdefghijklmnopqrstuvwxyz0123456789,")))),"")</f>
        <v/>
      </c>
      <c r="G1066" s="20" t="str" cm="1">
        <f t="array" ref="G1066">IF(TRIM(P1066)="","",IF(SUM(COUNTIF(P1066,{"*NLGD*","*FWG*"}))&gt;0,P1066,IF(SUM(COUNTIF(P1066,{"*GL*","*DGB*","*DGI*","*GT*","*CS*","*PWU*","*DBI*","*SWU*"}))=0,P1066,IF(IFERROR(VALUE(SUBSTITUTE(SUBSTITUTE(O1066,"W",""),"""","")),0)&gt;52,P1066&amp;"-OVRSIZE-",P1066))))</f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s="18" t="str">
        <v/>
      </c>
      <c r="O1066" s="15" t="str" cm="1">
        <f t="array" ref="O1066">IFERROR(_xlfn.LET(
_xlpm.clean,TRIM(SUBSTITUTE(SUBSTITUTE(P1066,CHAR(160),"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6" t="str">
        <f t="shared" si="17"/>
        <v/>
      </c>
    </row>
    <row r="1067" spans="3:19" ht="15.75" customHeight="1">
      <c r="C1067" s="15" t="str" cm="1">
        <f t="array" ref="C1067">IFERROR(_xlfn.TEXTJOIN("",TRUE,_xlfn._xlws.FILTER(MID(S1067,_xlfn.SEQUENCE(LEN(S1067)),1),ISNUMBER(SEARCH(MID(S1067,_xlfn.SEQUENCE(LEN(S1067)),1),"ABCDEFGHIJKLMNOPQRSTUVWXYZabcdefghijklmnopqrstuvwxyz0123456789,")))),"")</f>
        <v/>
      </c>
      <c r="G1067" s="20" t="str" cm="1">
        <f t="array" ref="G1067">IF(TRIM(P1067)="","",IF(SUM(COUNTIF(P1067,{"*NLGD*","*FWG*"}))&gt;0,P1067,IF(SUM(COUNTIF(P1067,{"*GL*","*DGB*","*DGI*","*GT*","*CS*","*PWU*","*DBI*","*SWU*"}))=0,P1067,IF(IFERROR(VALUE(SUBSTITUTE(SUBSTITUTE(O1067,"W",""),"""","")),0)&gt;52,P1067&amp;"-OVRSIZE-",P1067))))</f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s="18" t="str">
        <v/>
      </c>
      <c r="O1067" s="15" t="str" cm="1">
        <f t="array" ref="O1067">IFERROR(_xlfn.LET(
_xlpm.clean,TRIM(SUBSTITUTE(SUBSTITUTE(P1067,CHAR(160),"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7" t="str">
        <f t="shared" si="17"/>
        <v/>
      </c>
    </row>
    <row r="1068" spans="3:19" ht="15.75" customHeight="1">
      <c r="C1068" s="15" t="str" cm="1">
        <f t="array" ref="C1068">IFERROR(_xlfn.TEXTJOIN("",TRUE,_xlfn._xlws.FILTER(MID(S1068,_xlfn.SEQUENCE(LEN(S1068)),1),ISNUMBER(SEARCH(MID(S1068,_xlfn.SEQUENCE(LEN(S1068)),1),"ABCDEFGHIJKLMNOPQRSTUVWXYZabcdefghijklmnopqrstuvwxyz0123456789,")))),"")</f>
        <v/>
      </c>
      <c r="G1068" s="20" t="str" cm="1">
        <f t="array" ref="G1068">IF(TRIM(P1068)="","",IF(SUM(COUNTIF(P1068,{"*NLGD*","*FWG*"}))&gt;0,P1068,IF(SUM(COUNTIF(P1068,{"*GL*","*DGB*","*DGI*","*GT*","*CS*","*PWU*","*DBI*","*SWU*"}))=0,P1068,IF(IFERROR(VALUE(SUBSTITUTE(SUBSTITUTE(O1068,"W",""),"""","")),0)&gt;52,P1068&amp;"-OVRSIZE-",P1068))))</f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s="18" t="str">
        <v/>
      </c>
      <c r="O1068" s="15" t="str" cm="1">
        <f t="array" ref="O1068">IFERROR(_xlfn.LET(
_xlpm.clean,TRIM(SUBSTITUTE(SUBSTITUTE(P1068,CHAR(160),"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8" t="str">
        <f t="shared" si="17"/>
        <v/>
      </c>
    </row>
    <row r="1069" spans="3:19" ht="15.75" customHeight="1">
      <c r="C1069" s="15" t="str" cm="1">
        <f t="array" ref="C1069">IFERROR(_xlfn.TEXTJOIN("",TRUE,_xlfn._xlws.FILTER(MID(S1069,_xlfn.SEQUENCE(LEN(S1069)),1),ISNUMBER(SEARCH(MID(S1069,_xlfn.SEQUENCE(LEN(S1069)),1),"ABCDEFGHIJKLMNOPQRSTUVWXYZabcdefghijklmnopqrstuvwxyz0123456789,")))),"")</f>
        <v/>
      </c>
      <c r="G1069" s="20" t="str" cm="1">
        <f t="array" ref="G1069">IF(TRIM(P1069)="","",IF(SUM(COUNTIF(P1069,{"*NLGD*","*FWG*"}))&gt;0,P1069,IF(SUM(COUNTIF(P1069,{"*GL*","*DGB*","*DGI*","*GT*","*CS*","*PWU*","*DBI*","*SWU*"}))=0,P1069,IF(IFERROR(VALUE(SUBSTITUTE(SUBSTITUTE(O1069,"W",""),"""","")),0)&gt;52,P1069&amp;"-OVRSIZE-",P1069))))</f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s="18" t="str">
        <v/>
      </c>
      <c r="O1069" s="15" t="str" cm="1">
        <f t="array" ref="O1069">IFERROR(_xlfn.LET(
_xlpm.clean,TRIM(SUBSTITUTE(SUBSTITUTE(P1069,CHAR(160),"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9" t="str">
        <f t="shared" si="17"/>
        <v/>
      </c>
    </row>
    <row r="1070" spans="3:19" ht="15.75" customHeight="1">
      <c r="C1070" s="15" t="str" cm="1">
        <f t="array" ref="C1070">IFERROR(_xlfn.TEXTJOIN("",TRUE,_xlfn._xlws.FILTER(MID(S1070,_xlfn.SEQUENCE(LEN(S1070)),1),ISNUMBER(SEARCH(MID(S1070,_xlfn.SEQUENCE(LEN(S1070)),1),"ABCDEFGHIJKLMNOPQRSTUVWXYZabcdefghijklmnopqrstuvwxyz0123456789,")))),"")</f>
        <v/>
      </c>
      <c r="G1070" s="20" t="str" cm="1">
        <f t="array" ref="G1070">IF(TRIM(P1070)="","",IF(SUM(COUNTIF(P1070,{"*NLGD*","*FWG*"}))&gt;0,P1070,IF(SUM(COUNTIF(P1070,{"*GL*","*DGB*","*DGI*","*GT*","*CS*","*PWU*","*DBI*","*SWU*"}))=0,P1070,IF(IFERROR(VALUE(SUBSTITUTE(SUBSTITUTE(O1070,"W",""),"""","")),0)&gt;52,P1070&amp;"-OVRSIZE-",P1070))))</f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s="18" t="str">
        <v/>
      </c>
      <c r="O1070" s="15" t="str" cm="1">
        <f t="array" ref="O1070">IFERROR(_xlfn.LET(
_xlpm.clean,TRIM(SUBSTITUTE(SUBSTITUTE(P1070,CHAR(160),"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0" t="str">
        <f t="shared" si="17"/>
        <v/>
      </c>
    </row>
    <row r="1071" spans="3:19" ht="15.75" customHeight="1">
      <c r="C1071" s="15" t="str" cm="1">
        <f t="array" ref="C1071">IFERROR(_xlfn.TEXTJOIN("",TRUE,_xlfn._xlws.FILTER(MID(S1071,_xlfn.SEQUENCE(LEN(S1071)),1),ISNUMBER(SEARCH(MID(S1071,_xlfn.SEQUENCE(LEN(S1071)),1),"ABCDEFGHIJKLMNOPQRSTUVWXYZabcdefghijklmnopqrstuvwxyz0123456789,")))),"")</f>
        <v/>
      </c>
      <c r="G1071" s="20" t="str" cm="1">
        <f t="array" ref="G1071">IF(TRIM(P1071)="","",IF(SUM(COUNTIF(P1071,{"*NLGD*","*FWG*"}))&gt;0,P1071,IF(SUM(COUNTIF(P1071,{"*GL*","*DGB*","*DGI*","*GT*","*CS*","*PWU*","*DBI*","*SWU*"}))=0,P1071,IF(IFERROR(VALUE(SUBSTITUTE(SUBSTITUTE(O1071,"W",""),"""","")),0)&gt;52,P1071&amp;"-OVRSIZE-",P1071))))</f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s="18" t="str">
        <v/>
      </c>
      <c r="O1071" s="15" t="str" cm="1">
        <f t="array" ref="O1071">IFERROR(_xlfn.LET(
_xlpm.clean,TRIM(SUBSTITUTE(SUBSTITUTE(P1071,CHAR(160),"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1" t="str">
        <f t="shared" si="17"/>
        <v/>
      </c>
    </row>
    <row r="1072" spans="3:19" ht="15.75" customHeight="1">
      <c r="C1072" s="15" t="str" cm="1">
        <f t="array" ref="C1072">IFERROR(_xlfn.TEXTJOIN("",TRUE,_xlfn._xlws.FILTER(MID(S1072,_xlfn.SEQUENCE(LEN(S1072)),1),ISNUMBER(SEARCH(MID(S1072,_xlfn.SEQUENCE(LEN(S1072)),1),"ABCDEFGHIJKLMNOPQRSTUVWXYZabcdefghijklmnopqrstuvwxyz0123456789,")))),"")</f>
        <v/>
      </c>
      <c r="G1072" s="20" t="str" cm="1">
        <f t="array" ref="G1072">IF(TRIM(P1072)="","",IF(SUM(COUNTIF(P1072,{"*NLGD*","*FWG*"}))&gt;0,P1072,IF(SUM(COUNTIF(P1072,{"*GL*","*DGB*","*DGI*","*GT*","*CS*","*PWU*","*DBI*","*SWU*"}))=0,P1072,IF(IFERROR(VALUE(SUBSTITUTE(SUBSTITUTE(O1072,"W",""),"""","")),0)&gt;52,P1072&amp;"-OVRSIZE-",P1072))))</f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s="18" t="str">
        <v/>
      </c>
      <c r="O1072" s="15" t="str" cm="1">
        <f t="array" ref="O1072">IFERROR(_xlfn.LET(
_xlpm.clean,TRIM(SUBSTITUTE(SUBSTITUTE(P1072,CHAR(160),"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2" t="str">
        <f t="shared" si="17"/>
        <v/>
      </c>
    </row>
    <row r="1073" spans="3:19" ht="15.75" customHeight="1">
      <c r="C1073" s="15" t="str" cm="1">
        <f t="array" ref="C1073">IFERROR(_xlfn.TEXTJOIN("",TRUE,_xlfn._xlws.FILTER(MID(S1073,_xlfn.SEQUENCE(LEN(S1073)),1),ISNUMBER(SEARCH(MID(S1073,_xlfn.SEQUENCE(LEN(S1073)),1),"ABCDEFGHIJKLMNOPQRSTUVWXYZabcdefghijklmnopqrstuvwxyz0123456789,")))),"")</f>
        <v/>
      </c>
      <c r="G1073" s="20" t="str" cm="1">
        <f t="array" ref="G1073">IF(TRIM(P1073)="","",IF(SUM(COUNTIF(P1073,{"*NLGD*","*FWG*"}))&gt;0,P1073,IF(SUM(COUNTIF(P1073,{"*GL*","*DGB*","*DGI*","*GT*","*CS*","*PWU*","*DBI*","*SWU*"}))=0,P1073,IF(IFERROR(VALUE(SUBSTITUTE(SUBSTITUTE(O1073,"W",""),"""","")),0)&gt;52,P1073&amp;"-OVRSIZE-",P1073))))</f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s="18" t="str">
        <v/>
      </c>
      <c r="O1073" s="15" t="str" cm="1">
        <f t="array" ref="O1073">IFERROR(_xlfn.LET(
_xlpm.clean,TRIM(SUBSTITUTE(SUBSTITUTE(P1073,CHAR(160),"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3" t="str">
        <f t="shared" si="17"/>
        <v/>
      </c>
    </row>
    <row r="1074" spans="3:19" ht="15.75" customHeight="1">
      <c r="C1074" s="15" t="str" cm="1">
        <f t="array" ref="C1074">IFERROR(_xlfn.TEXTJOIN("",TRUE,_xlfn._xlws.FILTER(MID(S1074,_xlfn.SEQUENCE(LEN(S1074)),1),ISNUMBER(SEARCH(MID(S1074,_xlfn.SEQUENCE(LEN(S1074)),1),"ABCDEFGHIJKLMNOPQRSTUVWXYZabcdefghijklmnopqrstuvwxyz0123456789,")))),"")</f>
        <v/>
      </c>
      <c r="G1074" s="20" t="str" cm="1">
        <f t="array" ref="G1074">IF(TRIM(P1074)="","",IF(SUM(COUNTIF(P1074,{"*NLGD*","*FWG*"}))&gt;0,P1074,IF(SUM(COUNTIF(P1074,{"*GL*","*DGB*","*DGI*","*GT*","*CS*","*PWU*","*DBI*","*SWU*"}))=0,P1074,IF(IFERROR(VALUE(SUBSTITUTE(SUBSTITUTE(O1074,"W",""),"""","")),0)&gt;52,P1074&amp;"-OVRSIZE-",P1074))))</f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s="18" t="str">
        <v/>
      </c>
      <c r="O1074" s="15" t="str" cm="1">
        <f t="array" ref="O1074">IFERROR(_xlfn.LET(
_xlpm.clean,TRIM(SUBSTITUTE(SUBSTITUTE(P1074,CHAR(160),"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4" t="str">
        <f t="shared" si="17"/>
        <v/>
      </c>
    </row>
    <row r="1075" spans="3:19" ht="15.75" customHeight="1">
      <c r="C1075" s="15" t="str" cm="1">
        <f t="array" ref="C1075">IFERROR(_xlfn.TEXTJOIN("",TRUE,_xlfn._xlws.FILTER(MID(S1075,_xlfn.SEQUENCE(LEN(S1075)),1),ISNUMBER(SEARCH(MID(S1075,_xlfn.SEQUENCE(LEN(S1075)),1),"ABCDEFGHIJKLMNOPQRSTUVWXYZabcdefghijklmnopqrstuvwxyz0123456789,")))),"")</f>
        <v/>
      </c>
      <c r="G1075" s="20" t="str" cm="1">
        <f t="array" ref="G1075">IF(TRIM(P1075)="","",IF(SUM(COUNTIF(P1075,{"*NLGD*","*FWG*"}))&gt;0,P1075,IF(SUM(COUNTIF(P1075,{"*GL*","*DGB*","*DGI*","*GT*","*CS*","*PWU*","*DBI*","*SWU*"}))=0,P1075,IF(IFERROR(VALUE(SUBSTITUTE(SUBSTITUTE(O1075,"W",""),"""","")),0)&gt;52,P1075&amp;"-OVRSIZE-",P1075))))</f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s="18" t="str">
        <v/>
      </c>
      <c r="O1075" s="15" t="str" cm="1">
        <f t="array" ref="O1075">IFERROR(_xlfn.LET(
_xlpm.clean,TRIM(SUBSTITUTE(SUBSTITUTE(P1075,CHAR(160),"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5" t="str">
        <f t="shared" si="17"/>
        <v/>
      </c>
    </row>
    <row r="1076" spans="3:19" ht="15.75" customHeight="1">
      <c r="C1076" s="15" t="str" cm="1">
        <f t="array" ref="C1076">IFERROR(_xlfn.TEXTJOIN("",TRUE,_xlfn._xlws.FILTER(MID(S1076,_xlfn.SEQUENCE(LEN(S1076)),1),ISNUMBER(SEARCH(MID(S1076,_xlfn.SEQUENCE(LEN(S1076)),1),"ABCDEFGHIJKLMNOPQRSTUVWXYZabcdefghijklmnopqrstuvwxyz0123456789,")))),"")</f>
        <v/>
      </c>
      <c r="G1076" s="20" t="str" cm="1">
        <f t="array" ref="G1076">IF(TRIM(P1076)="","",IF(SUM(COUNTIF(P1076,{"*NLGD*","*FWG*"}))&gt;0,P1076,IF(SUM(COUNTIF(P1076,{"*GL*","*DGB*","*DGI*","*GT*","*CS*","*PWU*","*DBI*","*SWU*"}))=0,P1076,IF(IFERROR(VALUE(SUBSTITUTE(SUBSTITUTE(O1076,"W",""),"""","")),0)&gt;52,P1076&amp;"-OVRSIZE-",P1076))))</f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s="18" t="str">
        <v/>
      </c>
      <c r="O1076" s="15" t="str" cm="1">
        <f t="array" ref="O1076">IFERROR(_xlfn.LET(
_xlpm.clean,TRIM(SUBSTITUTE(SUBSTITUTE(P1076,CHAR(160),"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6" t="str">
        <f t="shared" si="17"/>
        <v/>
      </c>
    </row>
    <row r="1077" spans="3:19" ht="15.75" customHeight="1">
      <c r="C1077" s="15" t="str" cm="1">
        <f t="array" ref="C1077">IFERROR(_xlfn.TEXTJOIN("",TRUE,_xlfn._xlws.FILTER(MID(S1077,_xlfn.SEQUENCE(LEN(S1077)),1),ISNUMBER(SEARCH(MID(S1077,_xlfn.SEQUENCE(LEN(S1077)),1),"ABCDEFGHIJKLMNOPQRSTUVWXYZabcdefghijklmnopqrstuvwxyz0123456789,")))),"")</f>
        <v/>
      </c>
      <c r="G1077" s="20" t="str" cm="1">
        <f t="array" ref="G1077">IF(TRIM(P1077)="","",IF(SUM(COUNTIF(P1077,{"*NLGD*","*FWG*"}))&gt;0,P1077,IF(SUM(COUNTIF(P1077,{"*GL*","*DGB*","*DGI*","*GT*","*CS*","*PWU*","*DBI*","*SWU*"}))=0,P1077,IF(IFERROR(VALUE(SUBSTITUTE(SUBSTITUTE(O1077,"W",""),"""","")),0)&gt;52,P1077&amp;"-OVRSIZE-",P1077))))</f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s="18" t="str">
        <v/>
      </c>
      <c r="O1077" s="15" t="str" cm="1">
        <f t="array" ref="O1077">IFERROR(_xlfn.LET(
_xlpm.clean,TRIM(SUBSTITUTE(SUBSTITUTE(P1077,CHAR(160),"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7" t="str">
        <f t="shared" si="17"/>
        <v/>
      </c>
    </row>
    <row r="1078" spans="3:19" ht="15.75" customHeight="1">
      <c r="C1078" s="15" t="str" cm="1">
        <f t="array" ref="C1078">IFERROR(_xlfn.TEXTJOIN("",TRUE,_xlfn._xlws.FILTER(MID(S1078,_xlfn.SEQUENCE(LEN(S1078)),1),ISNUMBER(SEARCH(MID(S1078,_xlfn.SEQUENCE(LEN(S1078)),1),"ABCDEFGHIJKLMNOPQRSTUVWXYZabcdefghijklmnopqrstuvwxyz0123456789,")))),"")</f>
        <v/>
      </c>
      <c r="G1078" s="20" t="str" cm="1">
        <f t="array" ref="G1078">IF(TRIM(P1078)="","",IF(SUM(COUNTIF(P1078,{"*NLGD*","*FWG*"}))&gt;0,P1078,IF(SUM(COUNTIF(P1078,{"*GL*","*DGB*","*DGI*","*GT*","*CS*","*PWU*","*DBI*","*SWU*"}))=0,P1078,IF(IFERROR(VALUE(SUBSTITUTE(SUBSTITUTE(O1078,"W",""),"""","")),0)&gt;52,P1078&amp;"-OVRSIZE-",P1078))))</f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s="18" t="str">
        <v/>
      </c>
      <c r="O1078" s="15" t="str" cm="1">
        <f t="array" ref="O1078">IFERROR(_xlfn.LET(
_xlpm.clean,TRIM(SUBSTITUTE(SUBSTITUTE(P1078,CHAR(160),"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8" t="str">
        <f t="shared" si="17"/>
        <v/>
      </c>
    </row>
    <row r="1079" spans="3:19" ht="15.75" customHeight="1">
      <c r="C1079" s="15" t="str" cm="1">
        <f t="array" ref="C1079">IFERROR(_xlfn.TEXTJOIN("",TRUE,_xlfn._xlws.FILTER(MID(S1079,_xlfn.SEQUENCE(LEN(S1079)),1),ISNUMBER(SEARCH(MID(S1079,_xlfn.SEQUENCE(LEN(S1079)),1),"ABCDEFGHIJKLMNOPQRSTUVWXYZabcdefghijklmnopqrstuvwxyz0123456789,")))),"")</f>
        <v/>
      </c>
      <c r="G1079" s="20" t="str" cm="1">
        <f t="array" ref="G1079">IF(TRIM(P1079)="","",IF(SUM(COUNTIF(P1079,{"*NLGD*","*FWG*"}))&gt;0,P1079,IF(SUM(COUNTIF(P1079,{"*GL*","*DGB*","*DGI*","*GT*","*CS*","*PWU*","*DBI*","*SWU*"}))=0,P1079,IF(IFERROR(VALUE(SUBSTITUTE(SUBSTITUTE(O1079,"W",""),"""","")),0)&gt;52,P1079&amp;"-OVRSIZE-",P1079))))</f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s="18" t="str">
        <v/>
      </c>
      <c r="O1079" s="15" t="str" cm="1">
        <f t="array" ref="O1079">IFERROR(_xlfn.LET(
_xlpm.clean,TRIM(SUBSTITUTE(SUBSTITUTE(P1079,CHAR(160),"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9" t="str">
        <f t="shared" si="17"/>
        <v/>
      </c>
    </row>
    <row r="1080" spans="3:19" ht="15.75" customHeight="1">
      <c r="C1080" s="15" t="str" cm="1">
        <f t="array" ref="C1080">IFERROR(_xlfn.TEXTJOIN("",TRUE,_xlfn._xlws.FILTER(MID(S1080,_xlfn.SEQUENCE(LEN(S1080)),1),ISNUMBER(SEARCH(MID(S1080,_xlfn.SEQUENCE(LEN(S1080)),1),"ABCDEFGHIJKLMNOPQRSTUVWXYZabcdefghijklmnopqrstuvwxyz0123456789,")))),"")</f>
        <v/>
      </c>
      <c r="G1080" s="20" t="str" cm="1">
        <f t="array" ref="G1080">IF(TRIM(P1080)="","",IF(SUM(COUNTIF(P1080,{"*NLGD*","*FWG*"}))&gt;0,P1080,IF(SUM(COUNTIF(P1080,{"*GL*","*DGB*","*DGI*","*GT*","*CS*","*PWU*","*DBI*","*SWU*"}))=0,P1080,IF(IFERROR(VALUE(SUBSTITUTE(SUBSTITUTE(O1080,"W",""),"""","")),0)&gt;52,P1080&amp;"-OVRSIZE-",P1080))))</f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s="18" t="str">
        <v/>
      </c>
      <c r="O1080" s="15" t="str" cm="1">
        <f t="array" ref="O1080">IFERROR(_xlfn.LET(
_xlpm.clean,TRIM(SUBSTITUTE(SUBSTITUTE(P1080,CHAR(160),"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0" t="str">
        <f t="shared" si="17"/>
        <v/>
      </c>
    </row>
    <row r="1081" spans="3:19" ht="15.75" customHeight="1">
      <c r="C1081" s="15" t="str" cm="1">
        <f t="array" ref="C1081">IFERROR(_xlfn.TEXTJOIN("",TRUE,_xlfn._xlws.FILTER(MID(S1081,_xlfn.SEQUENCE(LEN(S1081)),1),ISNUMBER(SEARCH(MID(S1081,_xlfn.SEQUENCE(LEN(S1081)),1),"ABCDEFGHIJKLMNOPQRSTUVWXYZabcdefghijklmnopqrstuvwxyz0123456789,")))),"")</f>
        <v/>
      </c>
      <c r="G1081" s="20" t="str" cm="1">
        <f t="array" ref="G1081">IF(TRIM(P1081)="","",IF(SUM(COUNTIF(P1081,{"*NLGD*","*FWG*"}))&gt;0,P1081,IF(SUM(COUNTIF(P1081,{"*GL*","*DGB*","*DGI*","*GT*","*CS*","*PWU*","*DBI*","*SWU*"}))=0,P1081,IF(IFERROR(VALUE(SUBSTITUTE(SUBSTITUTE(O1081,"W",""),"""","")),0)&gt;52,P1081&amp;"-OVRSIZE-",P1081))))</f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s="18" t="str">
        <v/>
      </c>
      <c r="O1081" s="15" t="str" cm="1">
        <f t="array" ref="O1081">IFERROR(_xlfn.LET(
_xlpm.clean,TRIM(SUBSTITUTE(SUBSTITUTE(P1081,CHAR(160),"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1" t="str">
        <f t="shared" si="17"/>
        <v/>
      </c>
    </row>
    <row r="1082" spans="3:19" ht="15.75" customHeight="1">
      <c r="C1082" s="15" t="str" cm="1">
        <f t="array" ref="C1082">IFERROR(_xlfn.TEXTJOIN("",TRUE,_xlfn._xlws.FILTER(MID(S1082,_xlfn.SEQUENCE(LEN(S1082)),1),ISNUMBER(SEARCH(MID(S1082,_xlfn.SEQUENCE(LEN(S1082)),1),"ABCDEFGHIJKLMNOPQRSTUVWXYZabcdefghijklmnopqrstuvwxyz0123456789,")))),"")</f>
        <v/>
      </c>
      <c r="G1082" s="20" t="str" cm="1">
        <f t="array" ref="G1082">IF(TRIM(P1082)="","",IF(SUM(COUNTIF(P1082,{"*NLGD*","*FWG*"}))&gt;0,P1082,IF(SUM(COUNTIF(P1082,{"*GL*","*DGB*","*DGI*","*GT*","*CS*","*PWU*","*DBI*","*SWU*"}))=0,P1082,IF(IFERROR(VALUE(SUBSTITUTE(SUBSTITUTE(O1082,"W",""),"""","")),0)&gt;52,P1082&amp;"-OVRSIZE-",P1082))))</f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s="18" t="str">
        <v/>
      </c>
      <c r="O1082" s="15" t="str" cm="1">
        <f t="array" ref="O1082">IFERROR(_xlfn.LET(
_xlpm.clean,TRIM(SUBSTITUTE(SUBSTITUTE(P1082,CHAR(160),"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2" t="str">
        <f t="shared" si="17"/>
        <v/>
      </c>
    </row>
    <row r="1083" spans="3:19" ht="15.75" customHeight="1">
      <c r="C1083" s="15" t="str" cm="1">
        <f t="array" ref="C1083">IFERROR(_xlfn.TEXTJOIN("",TRUE,_xlfn._xlws.FILTER(MID(S1083,_xlfn.SEQUENCE(LEN(S1083)),1),ISNUMBER(SEARCH(MID(S1083,_xlfn.SEQUENCE(LEN(S1083)),1),"ABCDEFGHIJKLMNOPQRSTUVWXYZabcdefghijklmnopqrstuvwxyz0123456789,")))),"")</f>
        <v/>
      </c>
      <c r="G1083" s="20" t="str" cm="1">
        <f t="array" ref="G1083">IF(TRIM(P1083)="","",IF(SUM(COUNTIF(P1083,{"*NLGD*","*FWG*"}))&gt;0,P1083,IF(SUM(COUNTIF(P1083,{"*GL*","*DGB*","*DGI*","*GT*","*CS*","*PWU*","*DBI*","*SWU*"}))=0,P1083,IF(IFERROR(VALUE(SUBSTITUTE(SUBSTITUTE(O1083,"W",""),"""","")),0)&gt;52,P1083&amp;"-OVRSIZE-",P1083))))</f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s="18" t="str">
        <v/>
      </c>
      <c r="O1083" s="15" t="str" cm="1">
        <f t="array" ref="O1083">IFERROR(_xlfn.LET(
_xlpm.clean,TRIM(SUBSTITUTE(SUBSTITUTE(P1083,CHAR(160),"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3" t="str">
        <f t="shared" si="17"/>
        <v/>
      </c>
    </row>
    <row r="1084" spans="3:19" ht="15.75" customHeight="1">
      <c r="C1084" s="15" t="str" cm="1">
        <f t="array" ref="C1084">IFERROR(_xlfn.TEXTJOIN("",TRUE,_xlfn._xlws.FILTER(MID(S1084,_xlfn.SEQUENCE(LEN(S1084)),1),ISNUMBER(SEARCH(MID(S1084,_xlfn.SEQUENCE(LEN(S1084)),1),"ABCDEFGHIJKLMNOPQRSTUVWXYZabcdefghijklmnopqrstuvwxyz0123456789,")))),"")</f>
        <v/>
      </c>
      <c r="G1084" s="20" t="str" cm="1">
        <f t="array" ref="G1084">IF(TRIM(P1084)="","",IF(SUM(COUNTIF(P1084,{"*NLGD*","*FWG*"}))&gt;0,P1084,IF(SUM(COUNTIF(P1084,{"*GL*","*DGB*","*DGI*","*GT*","*CS*","*PWU*","*DBI*","*SWU*"}))=0,P1084,IF(IFERROR(VALUE(SUBSTITUTE(SUBSTITUTE(O1084,"W",""),"""","")),0)&gt;52,P1084&amp;"-OVRSIZE-",P1084))))</f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s="18" t="str">
        <v/>
      </c>
      <c r="O1084" s="15" t="str" cm="1">
        <f t="array" ref="O1084">IFERROR(_xlfn.LET(
_xlpm.clean,TRIM(SUBSTITUTE(SUBSTITUTE(P1084,CHAR(160),"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4" t="str">
        <f t="shared" si="17"/>
        <v/>
      </c>
    </row>
    <row r="1085" spans="3:19" ht="15.75" customHeight="1">
      <c r="C1085" s="15" t="str" cm="1">
        <f t="array" ref="C1085">IFERROR(_xlfn.TEXTJOIN("",TRUE,_xlfn._xlws.FILTER(MID(S1085,_xlfn.SEQUENCE(LEN(S1085)),1),ISNUMBER(SEARCH(MID(S1085,_xlfn.SEQUENCE(LEN(S1085)),1),"ABCDEFGHIJKLMNOPQRSTUVWXYZabcdefghijklmnopqrstuvwxyz0123456789,")))),"")</f>
        <v/>
      </c>
      <c r="G1085" s="20" t="str" cm="1">
        <f t="array" ref="G1085">IF(TRIM(P1085)="","",IF(SUM(COUNTIF(P1085,{"*NLGD*","*FWG*"}))&gt;0,P1085,IF(SUM(COUNTIF(P1085,{"*GL*","*DGB*","*DGI*","*GT*","*CS*","*PWU*","*DBI*","*SWU*"}))=0,P1085,IF(IFERROR(VALUE(SUBSTITUTE(SUBSTITUTE(O1085,"W",""),"""","")),0)&gt;52,P1085&amp;"-OVRSIZE-",P1085))))</f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s="18" t="str">
        <v/>
      </c>
      <c r="O1085" s="15" t="str" cm="1">
        <f t="array" ref="O1085">IFERROR(_xlfn.LET(
_xlpm.clean,TRIM(SUBSTITUTE(SUBSTITUTE(P1085,CHAR(160),"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5" t="str">
        <f t="shared" si="17"/>
        <v/>
      </c>
    </row>
    <row r="1086" spans="3:19" ht="15.75" customHeight="1">
      <c r="C1086" s="15" t="str" cm="1">
        <f t="array" ref="C1086">IFERROR(_xlfn.TEXTJOIN("",TRUE,_xlfn._xlws.FILTER(MID(S1086,_xlfn.SEQUENCE(LEN(S1086)),1),ISNUMBER(SEARCH(MID(S1086,_xlfn.SEQUENCE(LEN(S1086)),1),"ABCDEFGHIJKLMNOPQRSTUVWXYZabcdefghijklmnopqrstuvwxyz0123456789,")))),"")</f>
        <v/>
      </c>
      <c r="G1086" s="20" t="str" cm="1">
        <f t="array" ref="G1086">IF(TRIM(P1086)="","",IF(SUM(COUNTIF(P1086,{"*NLGD*","*FWG*"}))&gt;0,P1086,IF(SUM(COUNTIF(P1086,{"*GL*","*DGB*","*DGI*","*GT*","*CS*","*PWU*","*DBI*","*SWU*"}))=0,P1086,IF(IFERROR(VALUE(SUBSTITUTE(SUBSTITUTE(O1086,"W",""),"""","")),0)&gt;52,P1086&amp;"-OVRSIZE-",P1086))))</f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s="18" t="str">
        <v/>
      </c>
      <c r="O1086" s="15" t="str" cm="1">
        <f t="array" ref="O1086">IFERROR(_xlfn.LET(
_xlpm.clean,TRIM(SUBSTITUTE(SUBSTITUTE(P1086,CHAR(160),"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6" t="str">
        <f t="shared" si="17"/>
        <v/>
      </c>
    </row>
    <row r="1087" spans="3:19" ht="15.75" customHeight="1">
      <c r="C1087" s="15" t="str" cm="1">
        <f t="array" ref="C1087">IFERROR(_xlfn.TEXTJOIN("",TRUE,_xlfn._xlws.FILTER(MID(S1087,_xlfn.SEQUENCE(LEN(S1087)),1),ISNUMBER(SEARCH(MID(S1087,_xlfn.SEQUENCE(LEN(S1087)),1),"ABCDEFGHIJKLMNOPQRSTUVWXYZabcdefghijklmnopqrstuvwxyz0123456789,")))),"")</f>
        <v/>
      </c>
      <c r="G1087" s="20" t="str" cm="1">
        <f t="array" ref="G1087">IF(TRIM(P1087)="","",IF(SUM(COUNTIF(P1087,{"*NLGD*","*FWG*"}))&gt;0,P1087,IF(SUM(COUNTIF(P1087,{"*GL*","*DGB*","*DGI*","*GT*","*CS*","*PWU*","*DBI*","*SWU*"}))=0,P1087,IF(IFERROR(VALUE(SUBSTITUTE(SUBSTITUTE(O1087,"W",""),"""","")),0)&gt;52,P1087&amp;"-OVRSIZE-",P1087))))</f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s="18" t="str">
        <v/>
      </c>
      <c r="O1087" s="15" t="str" cm="1">
        <f t="array" ref="O1087">IFERROR(_xlfn.LET(
_xlpm.clean,TRIM(SUBSTITUTE(SUBSTITUTE(P1087,CHAR(160),"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7" t="str">
        <f t="shared" si="17"/>
        <v/>
      </c>
    </row>
    <row r="1088" spans="3:19" ht="15.75" customHeight="1">
      <c r="C1088" s="15" t="str" cm="1">
        <f t="array" ref="C1088">IFERROR(_xlfn.TEXTJOIN("",TRUE,_xlfn._xlws.FILTER(MID(S1088,_xlfn.SEQUENCE(LEN(S1088)),1),ISNUMBER(SEARCH(MID(S1088,_xlfn.SEQUENCE(LEN(S1088)),1),"ABCDEFGHIJKLMNOPQRSTUVWXYZabcdefghijklmnopqrstuvwxyz0123456789,")))),"")</f>
        <v/>
      </c>
      <c r="G1088" s="20" t="str" cm="1">
        <f t="array" ref="G1088">IF(TRIM(P1088)="","",IF(SUM(COUNTIF(P1088,{"*NLGD*","*FWG*"}))&gt;0,P1088,IF(SUM(COUNTIF(P1088,{"*GL*","*DGB*","*DGI*","*GT*","*CS*","*PWU*","*DBI*","*SWU*"}))=0,P1088,IF(IFERROR(VALUE(SUBSTITUTE(SUBSTITUTE(O1088,"W",""),"""","")),0)&gt;52,P1088&amp;"-OVRSIZE-",P1088))))</f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s="18" t="str">
        <v/>
      </c>
      <c r="O1088" s="15" t="str" cm="1">
        <f t="array" ref="O1088">IFERROR(_xlfn.LET(
_xlpm.clean,TRIM(SUBSTITUTE(SUBSTITUTE(P1088,CHAR(160),"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8" t="str">
        <f t="shared" si="17"/>
        <v/>
      </c>
    </row>
    <row r="1089" spans="3:19" ht="15.75" customHeight="1">
      <c r="C1089" s="15" t="str" cm="1">
        <f t="array" ref="C1089">IFERROR(_xlfn.TEXTJOIN("",TRUE,_xlfn._xlws.FILTER(MID(S1089,_xlfn.SEQUENCE(LEN(S1089)),1),ISNUMBER(SEARCH(MID(S1089,_xlfn.SEQUENCE(LEN(S1089)),1),"ABCDEFGHIJKLMNOPQRSTUVWXYZabcdefghijklmnopqrstuvwxyz0123456789,")))),"")</f>
        <v/>
      </c>
      <c r="G1089" s="20" t="str" cm="1">
        <f t="array" ref="G1089">IF(TRIM(P1089)="","",IF(SUM(COUNTIF(P1089,{"*NLGD*","*FWG*"}))&gt;0,P1089,IF(SUM(COUNTIF(P1089,{"*GL*","*DGB*","*DGI*","*GT*","*CS*","*PWU*","*DBI*","*SWU*"}))=0,P1089,IF(IFERROR(VALUE(SUBSTITUTE(SUBSTITUTE(O1089,"W",""),"""","")),0)&gt;52,P1089&amp;"-OVRSIZE-",P1089))))</f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s="18" t="str">
        <v/>
      </c>
      <c r="O1089" s="15" t="str" cm="1">
        <f t="array" ref="O1089">IFERROR(_xlfn.LET(
_xlpm.clean,TRIM(SUBSTITUTE(SUBSTITUTE(P1089,CHAR(160),"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9" t="str">
        <f t="shared" si="17"/>
        <v/>
      </c>
    </row>
    <row r="1090" spans="3:19" ht="15.75" customHeight="1">
      <c r="C1090" s="15" t="str" cm="1">
        <f t="array" ref="C1090">IFERROR(_xlfn.TEXTJOIN("",TRUE,_xlfn._xlws.FILTER(MID(S1090,_xlfn.SEQUENCE(LEN(S1090)),1),ISNUMBER(SEARCH(MID(S1090,_xlfn.SEQUENCE(LEN(S1090)),1),"ABCDEFGHIJKLMNOPQRSTUVWXYZabcdefghijklmnopqrstuvwxyz0123456789,")))),"")</f>
        <v/>
      </c>
      <c r="G1090" s="20" t="str" cm="1">
        <f t="array" ref="G1090">IF(TRIM(P1090)="","",IF(SUM(COUNTIF(P1090,{"*NLGD*","*FWG*"}))&gt;0,P1090,IF(SUM(COUNTIF(P1090,{"*GL*","*DGB*","*DGI*","*GT*","*CS*","*PWU*","*DBI*","*SWU*"}))=0,P1090,IF(IFERROR(VALUE(SUBSTITUTE(SUBSTITUTE(O1090,"W",""),"""","")),0)&gt;52,P1090&amp;"-OVRSIZE-",P1090))))</f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s="18" t="str">
        <v/>
      </c>
      <c r="O1090" s="15" t="str" cm="1">
        <f t="array" ref="O1090">IFERROR(_xlfn.LET(
_xlpm.clean,TRIM(SUBSTITUTE(SUBSTITUTE(P1090,CHAR(160),"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0" t="str">
        <f t="shared" si="17"/>
        <v/>
      </c>
    </row>
    <row r="1091" spans="3:19" ht="15.75" customHeight="1">
      <c r="C1091" s="15" t="str" cm="1">
        <f t="array" ref="C1091">IFERROR(_xlfn.TEXTJOIN("",TRUE,_xlfn._xlws.FILTER(MID(S1091,_xlfn.SEQUENCE(LEN(S1091)),1),ISNUMBER(SEARCH(MID(S1091,_xlfn.SEQUENCE(LEN(S1091)),1),"ABCDEFGHIJKLMNOPQRSTUVWXYZabcdefghijklmnopqrstuvwxyz0123456789,")))),"")</f>
        <v/>
      </c>
      <c r="G1091" s="20" t="str" cm="1">
        <f t="array" ref="G1091">IF(TRIM(P1091)="","",IF(SUM(COUNTIF(P1091,{"*NLGD*","*FWG*"}))&gt;0,P1091,IF(SUM(COUNTIF(P1091,{"*GL*","*DGB*","*DGI*","*GT*","*CS*","*PWU*","*DBI*","*SWU*"}))=0,P1091,IF(IFERROR(VALUE(SUBSTITUTE(SUBSTITUTE(O1091,"W",""),"""","")),0)&gt;52,P1091&amp;"-OVRSIZE-",P1091))))</f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s="18" t="str">
        <v/>
      </c>
      <c r="O1091" s="15" t="str" cm="1">
        <f t="array" ref="O1091">IFERROR(_xlfn.LET(
_xlpm.clean,TRIM(SUBSTITUTE(SUBSTITUTE(P1091,CHAR(160),"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1" t="str">
        <f t="shared" si="17"/>
        <v/>
      </c>
    </row>
    <row r="1092" spans="3:19" ht="15.75" customHeight="1">
      <c r="C1092" s="15" t="str" cm="1">
        <f t="array" ref="C1092">IFERROR(_xlfn.TEXTJOIN("",TRUE,_xlfn._xlws.FILTER(MID(S1092,_xlfn.SEQUENCE(LEN(S1092)),1),ISNUMBER(SEARCH(MID(S1092,_xlfn.SEQUENCE(LEN(S1092)),1),"ABCDEFGHIJKLMNOPQRSTUVWXYZabcdefghijklmnopqrstuvwxyz0123456789,")))),"")</f>
        <v/>
      </c>
      <c r="G1092" s="20" t="str" cm="1">
        <f t="array" ref="G1092">IF(TRIM(P1092)="","",IF(SUM(COUNTIF(P1092,{"*NLGD*","*FWG*"}))&gt;0,P1092,IF(SUM(COUNTIF(P1092,{"*GL*","*DGB*","*DGI*","*GT*","*CS*","*PWU*","*DBI*","*SWU*"}))=0,P1092,IF(IFERROR(VALUE(SUBSTITUTE(SUBSTITUTE(O1092,"W",""),"""","")),0)&gt;52,P1092&amp;"-OVRSIZE-",P1092))))</f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s="18" t="str">
        <v/>
      </c>
      <c r="O1092" s="15" t="str" cm="1">
        <f t="array" ref="O1092">IFERROR(_xlfn.LET(
_xlpm.clean,TRIM(SUBSTITUTE(SUBSTITUTE(P1092,CHAR(160),"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2" t="str">
        <f t="shared" si="17"/>
        <v/>
      </c>
    </row>
    <row r="1093" spans="3:19" ht="15.75" customHeight="1">
      <c r="C1093" s="15" t="str" cm="1">
        <f t="array" ref="C1093">IFERROR(_xlfn.TEXTJOIN("",TRUE,_xlfn._xlws.FILTER(MID(S1093,_xlfn.SEQUENCE(LEN(S1093)),1),ISNUMBER(SEARCH(MID(S1093,_xlfn.SEQUENCE(LEN(S1093)),1),"ABCDEFGHIJKLMNOPQRSTUVWXYZabcdefghijklmnopqrstuvwxyz0123456789,")))),"")</f>
        <v/>
      </c>
      <c r="G1093" s="20" t="str" cm="1">
        <f t="array" ref="G1093">IF(TRIM(P1093)="","",IF(SUM(COUNTIF(P1093,{"*NLGD*","*FWG*"}))&gt;0,P1093,IF(SUM(COUNTIF(P1093,{"*GL*","*DGB*","*DGI*","*GT*","*CS*","*PWU*","*DBI*","*SWU*"}))=0,P1093,IF(IFERROR(VALUE(SUBSTITUTE(SUBSTITUTE(O1093,"W",""),"""","")),0)&gt;52,P1093&amp;"-OVRSIZE-",P1093))))</f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s="18" t="str">
        <v/>
      </c>
      <c r="O1093" s="15" t="str" cm="1">
        <f t="array" ref="O1093">IFERROR(_xlfn.LET(
_xlpm.clean,TRIM(SUBSTITUTE(SUBSTITUTE(P1093,CHAR(160),"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3" t="str">
        <f t="shared" si="17"/>
        <v/>
      </c>
    </row>
    <row r="1094" spans="3:19" ht="15.75" customHeight="1">
      <c r="C1094" s="15" t="str" cm="1">
        <f t="array" ref="C1094">IFERROR(_xlfn.TEXTJOIN("",TRUE,_xlfn._xlws.FILTER(MID(S1094,_xlfn.SEQUENCE(LEN(S1094)),1),ISNUMBER(SEARCH(MID(S1094,_xlfn.SEQUENCE(LEN(S1094)),1),"ABCDEFGHIJKLMNOPQRSTUVWXYZabcdefghijklmnopqrstuvwxyz0123456789,")))),"")</f>
        <v/>
      </c>
      <c r="G1094" s="20" t="str" cm="1">
        <f t="array" ref="G1094">IF(TRIM(P1094)="","",IF(SUM(COUNTIF(P1094,{"*NLGD*","*FWG*"}))&gt;0,P1094,IF(SUM(COUNTIF(P1094,{"*GL*","*DGB*","*DGI*","*GT*","*CS*","*PWU*","*DBI*","*SWU*"}))=0,P1094,IF(IFERROR(VALUE(SUBSTITUTE(SUBSTITUTE(O1094,"W",""),"""","")),0)&gt;52,P1094&amp;"-OVRSIZE-",P1094))))</f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s="18" t="str">
        <v/>
      </c>
      <c r="O1094" s="15" t="str" cm="1">
        <f t="array" ref="O1094">IFERROR(_xlfn.LET(
_xlpm.clean,TRIM(SUBSTITUTE(SUBSTITUTE(P1094,CHAR(160),"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4" t="str">
        <f t="shared" si="17"/>
        <v/>
      </c>
    </row>
    <row r="1095" spans="3:19" ht="15.75" customHeight="1">
      <c r="C1095" s="15" t="str" cm="1">
        <f t="array" ref="C1095">IFERROR(_xlfn.TEXTJOIN("",TRUE,_xlfn._xlws.FILTER(MID(S1095,_xlfn.SEQUENCE(LEN(S1095)),1),ISNUMBER(SEARCH(MID(S1095,_xlfn.SEQUENCE(LEN(S1095)),1),"ABCDEFGHIJKLMNOPQRSTUVWXYZabcdefghijklmnopqrstuvwxyz0123456789,")))),"")</f>
        <v/>
      </c>
      <c r="G1095" s="20" t="str" cm="1">
        <f t="array" ref="G1095">IF(TRIM(P1095)="","",IF(SUM(COUNTIF(P1095,{"*NLGD*","*FWG*"}))&gt;0,P1095,IF(SUM(COUNTIF(P1095,{"*GL*","*DGB*","*DGI*","*GT*","*CS*","*PWU*","*DBI*","*SWU*"}))=0,P1095,IF(IFERROR(VALUE(SUBSTITUTE(SUBSTITUTE(O1095,"W",""),"""","")),0)&gt;52,P1095&amp;"-OVRSIZE-",P1095))))</f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s="18" t="str">
        <v/>
      </c>
      <c r="O1095" s="15" t="str" cm="1">
        <f t="array" ref="O1095">IFERROR(_xlfn.LET(
_xlpm.clean,TRIM(SUBSTITUTE(SUBSTITUTE(P1095,CHAR(160),"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5" t="str">
        <f t="shared" si="17"/>
        <v/>
      </c>
    </row>
    <row r="1096" spans="3:19" ht="15.75" customHeight="1">
      <c r="C1096" s="15" t="str" cm="1">
        <f t="array" ref="C1096">IFERROR(_xlfn.TEXTJOIN("",TRUE,_xlfn._xlws.FILTER(MID(S1096,_xlfn.SEQUENCE(LEN(S1096)),1),ISNUMBER(SEARCH(MID(S1096,_xlfn.SEQUENCE(LEN(S1096)),1),"ABCDEFGHIJKLMNOPQRSTUVWXYZabcdefghijklmnopqrstuvwxyz0123456789,")))),"")</f>
        <v/>
      </c>
      <c r="G1096" s="20" t="str" cm="1">
        <f t="array" ref="G1096">IF(TRIM(P1096)="","",IF(SUM(COUNTIF(P1096,{"*NLGD*","*FWG*"}))&gt;0,P1096,IF(SUM(COUNTIF(P1096,{"*GL*","*DGB*","*DGI*","*GT*","*CS*","*PWU*","*DBI*","*SWU*"}))=0,P1096,IF(IFERROR(VALUE(SUBSTITUTE(SUBSTITUTE(O1096,"W",""),"""","")),0)&gt;52,P1096&amp;"-OVRSIZE-",P1096))))</f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s="18" t="str">
        <v/>
      </c>
      <c r="O1096" s="15" t="str" cm="1">
        <f t="array" ref="O1096">IFERROR(_xlfn.LET(
_xlpm.clean,TRIM(SUBSTITUTE(SUBSTITUTE(P1096,CHAR(160),"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6" t="str">
        <f t="shared" ref="S1096:S1159" si="18">IF(R1096="","",_xlfn.LET(
_xlpm.x,TRIM(SUBSTITUTE(SUBSTITUTE(SUBSTITUTE(SUBSTITUTE(R1096,":","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097" spans="3:19" ht="15.75" customHeight="1">
      <c r="C1097" s="15" t="str" cm="1">
        <f t="array" ref="C1097">IFERROR(_xlfn.TEXTJOIN("",TRUE,_xlfn._xlws.FILTER(MID(S1097,_xlfn.SEQUENCE(LEN(S1097)),1),ISNUMBER(SEARCH(MID(S1097,_xlfn.SEQUENCE(LEN(S1097)),1),"ABCDEFGHIJKLMNOPQRSTUVWXYZabcdefghijklmnopqrstuvwxyz0123456789,")))),"")</f>
        <v/>
      </c>
      <c r="G1097" s="20" t="str" cm="1">
        <f t="array" ref="G1097">IF(TRIM(P1097)="","",IF(SUM(COUNTIF(P1097,{"*NLGD*","*FWG*"}))&gt;0,P1097,IF(SUM(COUNTIF(P1097,{"*GL*","*DGB*","*DGI*","*GT*","*CS*","*PWU*","*DBI*","*SWU*"}))=0,P1097,IF(IFERROR(VALUE(SUBSTITUTE(SUBSTITUTE(O1097,"W",""),"""","")),0)&gt;52,P1097&amp;"-OVRSIZE-",P1097))))</f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s="18" t="str">
        <v/>
      </c>
      <c r="O1097" s="15" t="str" cm="1">
        <f t="array" ref="O1097">IFERROR(_xlfn.LET(
_xlpm.clean,TRIM(SUBSTITUTE(SUBSTITUTE(P1097,CHAR(160),"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7" t="str">
        <f t="shared" si="18"/>
        <v/>
      </c>
    </row>
    <row r="1098" spans="3:19" ht="15.75" customHeight="1">
      <c r="C1098" s="15" t="str" cm="1">
        <f t="array" ref="C1098">IFERROR(_xlfn.TEXTJOIN("",TRUE,_xlfn._xlws.FILTER(MID(S1098,_xlfn.SEQUENCE(LEN(S1098)),1),ISNUMBER(SEARCH(MID(S1098,_xlfn.SEQUENCE(LEN(S1098)),1),"ABCDEFGHIJKLMNOPQRSTUVWXYZabcdefghijklmnopqrstuvwxyz0123456789,")))),"")</f>
        <v/>
      </c>
      <c r="G1098" s="20" t="str" cm="1">
        <f t="array" ref="G1098">IF(TRIM(P1098)="","",IF(SUM(COUNTIF(P1098,{"*NLGD*","*FWG*"}))&gt;0,P1098,IF(SUM(COUNTIF(P1098,{"*GL*","*DGB*","*DGI*","*GT*","*CS*","*PWU*","*DBI*","*SWU*"}))=0,P1098,IF(IFERROR(VALUE(SUBSTITUTE(SUBSTITUTE(O1098,"W",""),"""","")),0)&gt;52,P1098&amp;"-OVRSIZE-",P1098))))</f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s="18" t="str">
        <v/>
      </c>
      <c r="O1098" s="15" t="str" cm="1">
        <f t="array" ref="O1098">IFERROR(_xlfn.LET(
_xlpm.clean,TRIM(SUBSTITUTE(SUBSTITUTE(P1098,CHAR(160),"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8" t="str">
        <f t="shared" si="18"/>
        <v/>
      </c>
    </row>
    <row r="1099" spans="3:19" ht="15.75" customHeight="1">
      <c r="C1099" s="15" t="str" cm="1">
        <f t="array" ref="C1099">IFERROR(_xlfn.TEXTJOIN("",TRUE,_xlfn._xlws.FILTER(MID(S1099,_xlfn.SEQUENCE(LEN(S1099)),1),ISNUMBER(SEARCH(MID(S1099,_xlfn.SEQUENCE(LEN(S1099)),1),"ABCDEFGHIJKLMNOPQRSTUVWXYZabcdefghijklmnopqrstuvwxyz0123456789,")))),"")</f>
        <v/>
      </c>
      <c r="G1099" s="20" t="str" cm="1">
        <f t="array" ref="G1099">IF(TRIM(P1099)="","",IF(SUM(COUNTIF(P1099,{"*NLGD*","*FWG*"}))&gt;0,P1099,IF(SUM(COUNTIF(P1099,{"*GL*","*DGB*","*DGI*","*GT*","*CS*","*PWU*","*DBI*","*SWU*"}))=0,P1099,IF(IFERROR(VALUE(SUBSTITUTE(SUBSTITUTE(O1099,"W",""),"""","")),0)&gt;52,P1099&amp;"-OVRSIZE-",P1099))))</f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s="18" t="str">
        <v/>
      </c>
      <c r="O1099" s="15" t="str" cm="1">
        <f t="array" ref="O1099">IFERROR(_xlfn.LET(
_xlpm.clean,TRIM(SUBSTITUTE(SUBSTITUTE(P1099,CHAR(160),"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9" t="str">
        <f t="shared" si="18"/>
        <v/>
      </c>
    </row>
    <row r="1100" spans="3:19" ht="15.75" customHeight="1">
      <c r="C1100" s="15" t="str" cm="1">
        <f t="array" ref="C1100">IFERROR(_xlfn.TEXTJOIN("",TRUE,_xlfn._xlws.FILTER(MID(S1100,_xlfn.SEQUENCE(LEN(S1100)),1),ISNUMBER(SEARCH(MID(S1100,_xlfn.SEQUENCE(LEN(S1100)),1),"ABCDEFGHIJKLMNOPQRSTUVWXYZabcdefghijklmnopqrstuvwxyz0123456789,")))),"")</f>
        <v/>
      </c>
      <c r="G1100" s="20" t="str" cm="1">
        <f t="array" ref="G1100">IF(TRIM(P1100)="","",IF(SUM(COUNTIF(P1100,{"*NLGD*","*FWG*"}))&gt;0,P1100,IF(SUM(COUNTIF(P1100,{"*GL*","*DGB*","*DGI*","*GT*","*CS*","*PWU*","*DBI*","*SWU*"}))=0,P1100,IF(IFERROR(VALUE(SUBSTITUTE(SUBSTITUTE(O1100,"W",""),"""","")),0)&gt;52,P1100&amp;"-OVRSIZE-",P1100))))</f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s="18" t="str">
        <v/>
      </c>
      <c r="O1100" s="15" t="str" cm="1">
        <f t="array" ref="O1100">IFERROR(_xlfn.LET(
_xlpm.clean,TRIM(SUBSTITUTE(SUBSTITUTE(P1100,CHAR(160),"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0" t="str">
        <f t="shared" si="18"/>
        <v/>
      </c>
    </row>
    <row r="1101" spans="3:19" ht="15.75" customHeight="1">
      <c r="C1101" s="15" t="str" cm="1">
        <f t="array" ref="C1101">IFERROR(_xlfn.TEXTJOIN("",TRUE,_xlfn._xlws.FILTER(MID(S1101,_xlfn.SEQUENCE(LEN(S1101)),1),ISNUMBER(SEARCH(MID(S1101,_xlfn.SEQUENCE(LEN(S1101)),1),"ABCDEFGHIJKLMNOPQRSTUVWXYZabcdefghijklmnopqrstuvwxyz0123456789,")))),"")</f>
        <v/>
      </c>
      <c r="G1101" s="20" t="str" cm="1">
        <f t="array" ref="G1101">IF(TRIM(P1101)="","",IF(SUM(COUNTIF(P1101,{"*NLGD*","*FWG*"}))&gt;0,P1101,IF(SUM(COUNTIF(P1101,{"*GL*","*DGB*","*DGI*","*GT*","*CS*","*PWU*","*DBI*","*SWU*"}))=0,P1101,IF(IFERROR(VALUE(SUBSTITUTE(SUBSTITUTE(O1101,"W",""),"""","")),0)&gt;52,P1101&amp;"-OVRSIZE-",P1101))))</f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s="18" t="str">
        <v/>
      </c>
      <c r="O1101" s="15" t="str" cm="1">
        <f t="array" ref="O1101">IFERROR(_xlfn.LET(
_xlpm.clean,TRIM(SUBSTITUTE(SUBSTITUTE(P1101,CHAR(160),"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1" t="str">
        <f t="shared" si="18"/>
        <v/>
      </c>
    </row>
    <row r="1102" spans="3:19" ht="15.75" customHeight="1">
      <c r="C1102" s="15" t="str" cm="1">
        <f t="array" ref="C1102">IFERROR(_xlfn.TEXTJOIN("",TRUE,_xlfn._xlws.FILTER(MID(S1102,_xlfn.SEQUENCE(LEN(S1102)),1),ISNUMBER(SEARCH(MID(S1102,_xlfn.SEQUENCE(LEN(S1102)),1),"ABCDEFGHIJKLMNOPQRSTUVWXYZabcdefghijklmnopqrstuvwxyz0123456789,")))),"")</f>
        <v/>
      </c>
      <c r="G1102" s="20" t="str" cm="1">
        <f t="array" ref="G1102">IF(TRIM(P1102)="","",IF(SUM(COUNTIF(P1102,{"*NLGD*","*FWG*"}))&gt;0,P1102,IF(SUM(COUNTIF(P1102,{"*GL*","*DGB*","*DGI*","*GT*","*CS*","*PWU*","*DBI*","*SWU*"}))=0,P1102,IF(IFERROR(VALUE(SUBSTITUTE(SUBSTITUTE(O1102,"W",""),"""","")),0)&gt;52,P1102&amp;"-OVRSIZE-",P1102))))</f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s="18" t="str">
        <v/>
      </c>
      <c r="O1102" s="15" t="str" cm="1">
        <f t="array" ref="O1102">IFERROR(_xlfn.LET(
_xlpm.clean,TRIM(SUBSTITUTE(SUBSTITUTE(P1102,CHAR(160),"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2" t="str">
        <f t="shared" si="18"/>
        <v/>
      </c>
    </row>
    <row r="1103" spans="3:19" ht="15.75" customHeight="1">
      <c r="C1103" s="15" t="str" cm="1">
        <f t="array" ref="C1103">IFERROR(_xlfn.TEXTJOIN("",TRUE,_xlfn._xlws.FILTER(MID(S1103,_xlfn.SEQUENCE(LEN(S1103)),1),ISNUMBER(SEARCH(MID(S1103,_xlfn.SEQUENCE(LEN(S1103)),1),"ABCDEFGHIJKLMNOPQRSTUVWXYZabcdefghijklmnopqrstuvwxyz0123456789,")))),"")</f>
        <v/>
      </c>
      <c r="G1103" s="20" t="str" cm="1">
        <f t="array" ref="G1103">IF(TRIM(P1103)="","",IF(SUM(COUNTIF(P1103,{"*NLGD*","*FWG*"}))&gt;0,P1103,IF(SUM(COUNTIF(P1103,{"*GL*","*DGB*","*DGI*","*GT*","*CS*","*PWU*","*DBI*","*SWU*"}))=0,P1103,IF(IFERROR(VALUE(SUBSTITUTE(SUBSTITUTE(O1103,"W",""),"""","")),0)&gt;52,P1103&amp;"-OVRSIZE-",P1103))))</f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s="18" t="str">
        <v/>
      </c>
      <c r="O1103" s="15" t="str" cm="1">
        <f t="array" ref="O1103">IFERROR(_xlfn.LET(
_xlpm.clean,TRIM(SUBSTITUTE(SUBSTITUTE(P1103,CHAR(160),"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3" t="str">
        <f t="shared" si="18"/>
        <v/>
      </c>
    </row>
    <row r="1104" spans="3:19" ht="15.75" customHeight="1">
      <c r="C1104" s="15" t="str" cm="1">
        <f t="array" ref="C1104">IFERROR(_xlfn.TEXTJOIN("",TRUE,_xlfn._xlws.FILTER(MID(S1104,_xlfn.SEQUENCE(LEN(S1104)),1),ISNUMBER(SEARCH(MID(S1104,_xlfn.SEQUENCE(LEN(S1104)),1),"ABCDEFGHIJKLMNOPQRSTUVWXYZabcdefghijklmnopqrstuvwxyz0123456789,")))),"")</f>
        <v/>
      </c>
      <c r="G1104" s="20" t="str" cm="1">
        <f t="array" ref="G1104">IF(TRIM(P1104)="","",IF(SUM(COUNTIF(P1104,{"*NLGD*","*FWG*"}))&gt;0,P1104,IF(SUM(COUNTIF(P1104,{"*GL*","*DGB*","*DGI*","*GT*","*CS*","*PWU*","*DBI*","*SWU*"}))=0,P1104,IF(IFERROR(VALUE(SUBSTITUTE(SUBSTITUTE(O1104,"W",""),"""","")),0)&gt;52,P1104&amp;"-OVRSIZE-",P1104))))</f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s="18" t="str">
        <v/>
      </c>
      <c r="O1104" s="15" t="str" cm="1">
        <f t="array" ref="O1104">IFERROR(_xlfn.LET(
_xlpm.clean,TRIM(SUBSTITUTE(SUBSTITUTE(P1104,CHAR(160),"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4" t="str">
        <f t="shared" si="18"/>
        <v/>
      </c>
    </row>
    <row r="1105" spans="3:19" ht="15.75" customHeight="1">
      <c r="C1105" s="15" t="str" cm="1">
        <f t="array" ref="C1105">IFERROR(_xlfn.TEXTJOIN("",TRUE,_xlfn._xlws.FILTER(MID(S1105,_xlfn.SEQUENCE(LEN(S1105)),1),ISNUMBER(SEARCH(MID(S1105,_xlfn.SEQUENCE(LEN(S1105)),1),"ABCDEFGHIJKLMNOPQRSTUVWXYZabcdefghijklmnopqrstuvwxyz0123456789,")))),"")</f>
        <v/>
      </c>
      <c r="G1105" s="20" t="str" cm="1">
        <f t="array" ref="G1105">IF(TRIM(P1105)="","",IF(SUM(COUNTIF(P1105,{"*NLGD*","*FWG*"}))&gt;0,P1105,IF(SUM(COUNTIF(P1105,{"*GL*","*DGB*","*DGI*","*GT*","*CS*","*PWU*","*DBI*","*SWU*"}))=0,P1105,IF(IFERROR(VALUE(SUBSTITUTE(SUBSTITUTE(O1105,"W",""),"""","")),0)&gt;52,P1105&amp;"-OVRSIZE-",P1105))))</f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s="18" t="str">
        <v/>
      </c>
      <c r="O1105" s="15" t="str" cm="1">
        <f t="array" ref="O1105">IFERROR(_xlfn.LET(
_xlpm.clean,TRIM(SUBSTITUTE(SUBSTITUTE(P1105,CHAR(160),"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5" t="str">
        <f t="shared" si="18"/>
        <v/>
      </c>
    </row>
    <row r="1106" spans="3:19" ht="15.75" customHeight="1">
      <c r="C1106" s="15" t="str" cm="1">
        <f t="array" ref="C1106">IFERROR(_xlfn.TEXTJOIN("",TRUE,_xlfn._xlws.FILTER(MID(S1106,_xlfn.SEQUENCE(LEN(S1106)),1),ISNUMBER(SEARCH(MID(S1106,_xlfn.SEQUENCE(LEN(S1106)),1),"ABCDEFGHIJKLMNOPQRSTUVWXYZabcdefghijklmnopqrstuvwxyz0123456789,")))),"")</f>
        <v/>
      </c>
      <c r="G1106" s="20" t="str" cm="1">
        <f t="array" ref="G1106">IF(TRIM(P1106)="","",IF(SUM(COUNTIF(P1106,{"*NLGD*","*FWG*"}))&gt;0,P1106,IF(SUM(COUNTIF(P1106,{"*GL*","*DGB*","*DGI*","*GT*","*CS*","*PWU*","*DBI*","*SWU*"}))=0,P1106,IF(IFERROR(VALUE(SUBSTITUTE(SUBSTITUTE(O1106,"W",""),"""","")),0)&gt;52,P1106&amp;"-OVRSIZE-",P1106))))</f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s="18" t="str">
        <v/>
      </c>
      <c r="O1106" s="15" t="str" cm="1">
        <f t="array" ref="O1106">IFERROR(_xlfn.LET(
_xlpm.clean,TRIM(SUBSTITUTE(SUBSTITUTE(P1106,CHAR(160),"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6" t="str">
        <f t="shared" si="18"/>
        <v/>
      </c>
    </row>
    <row r="1107" spans="3:19" ht="15.75" customHeight="1">
      <c r="C1107" s="15" t="str" cm="1">
        <f t="array" ref="C1107">IFERROR(_xlfn.TEXTJOIN("",TRUE,_xlfn._xlws.FILTER(MID(S1107,_xlfn.SEQUENCE(LEN(S1107)),1),ISNUMBER(SEARCH(MID(S1107,_xlfn.SEQUENCE(LEN(S1107)),1),"ABCDEFGHIJKLMNOPQRSTUVWXYZabcdefghijklmnopqrstuvwxyz0123456789,")))),"")</f>
        <v/>
      </c>
      <c r="G1107" s="20" t="str" cm="1">
        <f t="array" ref="G1107">IF(TRIM(P1107)="","",IF(SUM(COUNTIF(P1107,{"*NLGD*","*FWG*"}))&gt;0,P1107,IF(SUM(COUNTIF(P1107,{"*GL*","*DGB*","*DGI*","*GT*","*CS*","*PWU*","*DBI*","*SWU*"}))=0,P1107,IF(IFERROR(VALUE(SUBSTITUTE(SUBSTITUTE(O1107,"W",""),"""","")),0)&gt;52,P1107&amp;"-OVRSIZE-",P1107))))</f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s="18" t="str">
        <v/>
      </c>
      <c r="O1107" s="15" t="str" cm="1">
        <f t="array" ref="O1107">IFERROR(_xlfn.LET(
_xlpm.clean,TRIM(SUBSTITUTE(SUBSTITUTE(P1107,CHAR(160),"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7" t="str">
        <f t="shared" si="18"/>
        <v/>
      </c>
    </row>
    <row r="1108" spans="3:19" ht="15.75" customHeight="1">
      <c r="C1108" s="15" t="str" cm="1">
        <f t="array" ref="C1108">IFERROR(_xlfn.TEXTJOIN("",TRUE,_xlfn._xlws.FILTER(MID(S1108,_xlfn.SEQUENCE(LEN(S1108)),1),ISNUMBER(SEARCH(MID(S1108,_xlfn.SEQUENCE(LEN(S1108)),1),"ABCDEFGHIJKLMNOPQRSTUVWXYZabcdefghijklmnopqrstuvwxyz0123456789,")))),"")</f>
        <v/>
      </c>
      <c r="G1108" s="20" t="str" cm="1">
        <f t="array" ref="G1108">IF(TRIM(P1108)="","",IF(SUM(COUNTIF(P1108,{"*NLGD*","*FWG*"}))&gt;0,P1108,IF(SUM(COUNTIF(P1108,{"*GL*","*DGB*","*DGI*","*GT*","*CS*","*PWU*","*DBI*","*SWU*"}))=0,P1108,IF(IFERROR(VALUE(SUBSTITUTE(SUBSTITUTE(O1108,"W",""),"""","")),0)&gt;52,P1108&amp;"-OVRSIZE-",P1108))))</f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s="18" t="str">
        <v/>
      </c>
      <c r="O1108" s="15" t="str" cm="1">
        <f t="array" ref="O1108">IFERROR(_xlfn.LET(
_xlpm.clean,TRIM(SUBSTITUTE(SUBSTITUTE(P1108,CHAR(160),"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8" t="str">
        <f t="shared" si="18"/>
        <v/>
      </c>
    </row>
    <row r="1109" spans="3:19" ht="15.75" customHeight="1">
      <c r="C1109" s="15" t="str" cm="1">
        <f t="array" ref="C1109">IFERROR(_xlfn.TEXTJOIN("",TRUE,_xlfn._xlws.FILTER(MID(S1109,_xlfn.SEQUENCE(LEN(S1109)),1),ISNUMBER(SEARCH(MID(S1109,_xlfn.SEQUENCE(LEN(S1109)),1),"ABCDEFGHIJKLMNOPQRSTUVWXYZabcdefghijklmnopqrstuvwxyz0123456789,")))),"")</f>
        <v/>
      </c>
      <c r="G1109" s="20" t="str" cm="1">
        <f t="array" ref="G1109">IF(TRIM(P1109)="","",IF(SUM(COUNTIF(P1109,{"*NLGD*","*FWG*"}))&gt;0,P1109,IF(SUM(COUNTIF(P1109,{"*GL*","*DGB*","*DGI*","*GT*","*CS*","*PWU*","*DBI*","*SWU*"}))=0,P1109,IF(IFERROR(VALUE(SUBSTITUTE(SUBSTITUTE(O1109,"W",""),"""","")),0)&gt;52,P1109&amp;"-OVRSIZE-",P1109))))</f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s="18" t="str">
        <v/>
      </c>
      <c r="O1109" s="15" t="str" cm="1">
        <f t="array" ref="O1109">IFERROR(_xlfn.LET(
_xlpm.clean,TRIM(SUBSTITUTE(SUBSTITUTE(P1109,CHAR(160),"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9" t="str">
        <f t="shared" si="18"/>
        <v/>
      </c>
    </row>
    <row r="1110" spans="3:19" ht="15.75" customHeight="1">
      <c r="C1110" s="15" t="str" cm="1">
        <f t="array" ref="C1110">IFERROR(_xlfn.TEXTJOIN("",TRUE,_xlfn._xlws.FILTER(MID(S1110,_xlfn.SEQUENCE(LEN(S1110)),1),ISNUMBER(SEARCH(MID(S1110,_xlfn.SEQUENCE(LEN(S1110)),1),"ABCDEFGHIJKLMNOPQRSTUVWXYZabcdefghijklmnopqrstuvwxyz0123456789,")))),"")</f>
        <v/>
      </c>
      <c r="G1110" s="20" t="str" cm="1">
        <f t="array" ref="G1110">IF(TRIM(P1110)="","",IF(SUM(COUNTIF(P1110,{"*NLGD*","*FWG*"}))&gt;0,P1110,IF(SUM(COUNTIF(P1110,{"*GL*","*DGB*","*DGI*","*GT*","*CS*","*PWU*","*DBI*","*SWU*"}))=0,P1110,IF(IFERROR(VALUE(SUBSTITUTE(SUBSTITUTE(O1110,"W",""),"""","")),0)&gt;52,P1110&amp;"-OVRSIZE-",P1110))))</f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s="18" t="str">
        <v/>
      </c>
      <c r="O1110" s="15" t="str" cm="1">
        <f t="array" ref="O1110">IFERROR(_xlfn.LET(
_xlpm.clean,TRIM(SUBSTITUTE(SUBSTITUTE(P1110,CHAR(160),"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0" t="str">
        <f t="shared" si="18"/>
        <v/>
      </c>
    </row>
    <row r="1111" spans="3:19" ht="15.75" customHeight="1">
      <c r="C1111" s="15" t="str" cm="1">
        <f t="array" ref="C1111">IFERROR(_xlfn.TEXTJOIN("",TRUE,_xlfn._xlws.FILTER(MID(S1111,_xlfn.SEQUENCE(LEN(S1111)),1),ISNUMBER(SEARCH(MID(S1111,_xlfn.SEQUENCE(LEN(S1111)),1),"ABCDEFGHIJKLMNOPQRSTUVWXYZabcdefghijklmnopqrstuvwxyz0123456789,")))),"")</f>
        <v/>
      </c>
      <c r="G1111" s="20" t="str" cm="1">
        <f t="array" ref="G1111">IF(TRIM(P1111)="","",IF(SUM(COUNTIF(P1111,{"*NLGD*","*FWG*"}))&gt;0,P1111,IF(SUM(COUNTIF(P1111,{"*GL*","*DGB*","*DGI*","*GT*","*CS*","*PWU*","*DBI*","*SWU*"}))=0,P1111,IF(IFERROR(VALUE(SUBSTITUTE(SUBSTITUTE(O1111,"W",""),"""","")),0)&gt;52,P1111&amp;"-OVRSIZE-",P1111))))</f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s="18" t="str">
        <v/>
      </c>
      <c r="O1111" s="15" t="str" cm="1">
        <f t="array" ref="O1111">IFERROR(_xlfn.LET(
_xlpm.clean,TRIM(SUBSTITUTE(SUBSTITUTE(P1111,CHAR(160),"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1" t="str">
        <f t="shared" si="18"/>
        <v/>
      </c>
    </row>
    <row r="1112" spans="3:19" ht="15.75" customHeight="1">
      <c r="C1112" s="15" t="str" cm="1">
        <f t="array" ref="C1112">IFERROR(_xlfn.TEXTJOIN("",TRUE,_xlfn._xlws.FILTER(MID(S1112,_xlfn.SEQUENCE(LEN(S1112)),1),ISNUMBER(SEARCH(MID(S1112,_xlfn.SEQUENCE(LEN(S1112)),1),"ABCDEFGHIJKLMNOPQRSTUVWXYZabcdefghijklmnopqrstuvwxyz0123456789,")))),"")</f>
        <v/>
      </c>
      <c r="G1112" s="20" t="str" cm="1">
        <f t="array" ref="G1112">IF(TRIM(P1112)="","",IF(SUM(COUNTIF(P1112,{"*NLGD*","*FWG*"}))&gt;0,P1112,IF(SUM(COUNTIF(P1112,{"*GL*","*DGB*","*DGI*","*GT*","*CS*","*PWU*","*DBI*","*SWU*"}))=0,P1112,IF(IFERROR(VALUE(SUBSTITUTE(SUBSTITUTE(O1112,"W",""),"""","")),0)&gt;52,P1112&amp;"-OVRSIZE-",P1112))))</f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s="18" t="str">
        <v/>
      </c>
      <c r="O1112" s="15" t="str" cm="1">
        <f t="array" ref="O1112">IFERROR(_xlfn.LET(
_xlpm.clean,TRIM(SUBSTITUTE(SUBSTITUTE(P1112,CHAR(160),"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2" t="str">
        <f t="shared" si="18"/>
        <v/>
      </c>
    </row>
    <row r="1113" spans="3:19" ht="15.75" customHeight="1">
      <c r="C1113" s="15" t="str" cm="1">
        <f t="array" ref="C1113">IFERROR(_xlfn.TEXTJOIN("",TRUE,_xlfn._xlws.FILTER(MID(S1113,_xlfn.SEQUENCE(LEN(S1113)),1),ISNUMBER(SEARCH(MID(S1113,_xlfn.SEQUENCE(LEN(S1113)),1),"ABCDEFGHIJKLMNOPQRSTUVWXYZabcdefghijklmnopqrstuvwxyz0123456789,")))),"")</f>
        <v/>
      </c>
      <c r="G1113" s="20" t="str" cm="1">
        <f t="array" ref="G1113">IF(TRIM(P1113)="","",IF(SUM(COUNTIF(P1113,{"*NLGD*","*FWG*"}))&gt;0,P1113,IF(SUM(COUNTIF(P1113,{"*GL*","*DGB*","*DGI*","*GT*","*CS*","*PWU*","*DBI*","*SWU*"}))=0,P1113,IF(IFERROR(VALUE(SUBSTITUTE(SUBSTITUTE(O1113,"W",""),"""","")),0)&gt;52,P1113&amp;"-OVRSIZE-",P1113))))</f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s="18" t="str">
        <v/>
      </c>
      <c r="O1113" s="15" t="str" cm="1">
        <f t="array" ref="O1113">IFERROR(_xlfn.LET(
_xlpm.clean,TRIM(SUBSTITUTE(SUBSTITUTE(P1113,CHAR(160),"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3" t="str">
        <f t="shared" si="18"/>
        <v/>
      </c>
    </row>
    <row r="1114" spans="3:19" ht="15.75" customHeight="1">
      <c r="C1114" s="15" t="str" cm="1">
        <f t="array" ref="C1114">IFERROR(_xlfn.TEXTJOIN("",TRUE,_xlfn._xlws.FILTER(MID(S1114,_xlfn.SEQUENCE(LEN(S1114)),1),ISNUMBER(SEARCH(MID(S1114,_xlfn.SEQUENCE(LEN(S1114)),1),"ABCDEFGHIJKLMNOPQRSTUVWXYZabcdefghijklmnopqrstuvwxyz0123456789,")))),"")</f>
        <v/>
      </c>
      <c r="G1114" s="20" t="str" cm="1">
        <f t="array" ref="G1114">IF(TRIM(P1114)="","",IF(SUM(COUNTIF(P1114,{"*NLGD*","*FWG*"}))&gt;0,P1114,IF(SUM(COUNTIF(P1114,{"*GL*","*DGB*","*DGI*","*GT*","*CS*","*PWU*","*DBI*","*SWU*"}))=0,P1114,IF(IFERROR(VALUE(SUBSTITUTE(SUBSTITUTE(O1114,"W",""),"""","")),0)&gt;52,P1114&amp;"-OVRSIZE-",P1114))))</f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s="18" t="str">
        <v/>
      </c>
      <c r="O1114" s="15" t="str" cm="1">
        <f t="array" ref="O1114">IFERROR(_xlfn.LET(
_xlpm.clean,TRIM(SUBSTITUTE(SUBSTITUTE(P1114,CHAR(160),"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4" t="str">
        <f t="shared" si="18"/>
        <v/>
      </c>
    </row>
    <row r="1115" spans="3:19" ht="15.75" customHeight="1">
      <c r="C1115" s="15" t="str" cm="1">
        <f t="array" ref="C1115">IFERROR(_xlfn.TEXTJOIN("",TRUE,_xlfn._xlws.FILTER(MID(S1115,_xlfn.SEQUENCE(LEN(S1115)),1),ISNUMBER(SEARCH(MID(S1115,_xlfn.SEQUENCE(LEN(S1115)),1),"ABCDEFGHIJKLMNOPQRSTUVWXYZabcdefghijklmnopqrstuvwxyz0123456789,")))),"")</f>
        <v/>
      </c>
      <c r="G1115" s="20" t="str" cm="1">
        <f t="array" ref="G1115">IF(TRIM(P1115)="","",IF(SUM(COUNTIF(P1115,{"*NLGD*","*FWG*"}))&gt;0,P1115,IF(SUM(COUNTIF(P1115,{"*GL*","*DGB*","*DGI*","*GT*","*CS*","*PWU*","*DBI*","*SWU*"}))=0,P1115,IF(IFERROR(VALUE(SUBSTITUTE(SUBSTITUTE(O1115,"W",""),"""","")),0)&gt;52,P1115&amp;"-OVRSIZE-",P1115))))</f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s="18" t="str">
        <v/>
      </c>
      <c r="O1115" s="15" t="str" cm="1">
        <f t="array" ref="O1115">IFERROR(_xlfn.LET(
_xlpm.clean,TRIM(SUBSTITUTE(SUBSTITUTE(P1115,CHAR(160),"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5" t="str">
        <f t="shared" si="18"/>
        <v/>
      </c>
    </row>
    <row r="1116" spans="3:19" ht="15.75" customHeight="1">
      <c r="C1116" s="15" t="str" cm="1">
        <f t="array" ref="C1116">IFERROR(_xlfn.TEXTJOIN("",TRUE,_xlfn._xlws.FILTER(MID(S1116,_xlfn.SEQUENCE(LEN(S1116)),1),ISNUMBER(SEARCH(MID(S1116,_xlfn.SEQUENCE(LEN(S1116)),1),"ABCDEFGHIJKLMNOPQRSTUVWXYZabcdefghijklmnopqrstuvwxyz0123456789,")))),"")</f>
        <v/>
      </c>
      <c r="G1116" s="20" t="str" cm="1">
        <f t="array" ref="G1116">IF(TRIM(P1116)="","",IF(SUM(COUNTIF(P1116,{"*NLGD*","*FWG*"}))&gt;0,P1116,IF(SUM(COUNTIF(P1116,{"*GL*","*DGB*","*DGI*","*GT*","*CS*","*PWU*","*DBI*","*SWU*"}))=0,P1116,IF(IFERROR(VALUE(SUBSTITUTE(SUBSTITUTE(O1116,"W",""),"""","")),0)&gt;52,P1116&amp;"-OVRSIZE-",P1116))))</f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s="18" t="str">
        <v/>
      </c>
      <c r="O1116" s="15" t="str" cm="1">
        <f t="array" ref="O1116">IFERROR(_xlfn.LET(
_xlpm.clean,TRIM(SUBSTITUTE(SUBSTITUTE(P1116,CHAR(160),"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6" t="str">
        <f t="shared" si="18"/>
        <v/>
      </c>
    </row>
    <row r="1117" spans="3:19" ht="15.75" customHeight="1">
      <c r="C1117" s="15" t="str" cm="1">
        <f t="array" ref="C1117">IFERROR(_xlfn.TEXTJOIN("",TRUE,_xlfn._xlws.FILTER(MID(S1117,_xlfn.SEQUENCE(LEN(S1117)),1),ISNUMBER(SEARCH(MID(S1117,_xlfn.SEQUENCE(LEN(S1117)),1),"ABCDEFGHIJKLMNOPQRSTUVWXYZabcdefghijklmnopqrstuvwxyz0123456789,")))),"")</f>
        <v/>
      </c>
      <c r="G1117" s="20" t="str" cm="1">
        <f t="array" ref="G1117">IF(TRIM(P1117)="","",IF(SUM(COUNTIF(P1117,{"*NLGD*","*FWG*"}))&gt;0,P1117,IF(SUM(COUNTIF(P1117,{"*GL*","*DGB*","*DGI*","*GT*","*CS*","*PWU*","*DBI*","*SWU*"}))=0,P1117,IF(IFERROR(VALUE(SUBSTITUTE(SUBSTITUTE(O1117,"W",""),"""","")),0)&gt;52,P1117&amp;"-OVRSIZE-",P1117))))</f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s="18" t="str">
        <v/>
      </c>
      <c r="O1117" s="15" t="str" cm="1">
        <f t="array" ref="O1117">IFERROR(_xlfn.LET(
_xlpm.clean,TRIM(SUBSTITUTE(SUBSTITUTE(P1117,CHAR(160),"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7" t="str">
        <f t="shared" si="18"/>
        <v/>
      </c>
    </row>
    <row r="1118" spans="3:19" ht="15.75" customHeight="1">
      <c r="C1118" s="15" t="str" cm="1">
        <f t="array" ref="C1118">IFERROR(_xlfn.TEXTJOIN("",TRUE,_xlfn._xlws.FILTER(MID(S1118,_xlfn.SEQUENCE(LEN(S1118)),1),ISNUMBER(SEARCH(MID(S1118,_xlfn.SEQUENCE(LEN(S1118)),1),"ABCDEFGHIJKLMNOPQRSTUVWXYZabcdefghijklmnopqrstuvwxyz0123456789,")))),"")</f>
        <v/>
      </c>
      <c r="G1118" s="20" t="str" cm="1">
        <f t="array" ref="G1118">IF(TRIM(P1118)="","",IF(SUM(COUNTIF(P1118,{"*NLGD*","*FWG*"}))&gt;0,P1118,IF(SUM(COUNTIF(P1118,{"*GL*","*DGB*","*DGI*","*GT*","*CS*","*PWU*","*DBI*","*SWU*"}))=0,P1118,IF(IFERROR(VALUE(SUBSTITUTE(SUBSTITUTE(O1118,"W",""),"""","")),0)&gt;52,P1118&amp;"-OVRSIZE-",P1118))))</f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s="18" t="str">
        <v/>
      </c>
      <c r="O1118" s="15" t="str" cm="1">
        <f t="array" ref="O1118">IFERROR(_xlfn.LET(
_xlpm.clean,TRIM(SUBSTITUTE(SUBSTITUTE(P1118,CHAR(160),"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8" t="str">
        <f t="shared" si="18"/>
        <v/>
      </c>
    </row>
    <row r="1119" spans="3:19" ht="15.75" customHeight="1">
      <c r="C1119" s="15" t="str" cm="1">
        <f t="array" ref="C1119">IFERROR(_xlfn.TEXTJOIN("",TRUE,_xlfn._xlws.FILTER(MID(S1119,_xlfn.SEQUENCE(LEN(S1119)),1),ISNUMBER(SEARCH(MID(S1119,_xlfn.SEQUENCE(LEN(S1119)),1),"ABCDEFGHIJKLMNOPQRSTUVWXYZabcdefghijklmnopqrstuvwxyz0123456789,")))),"")</f>
        <v/>
      </c>
      <c r="G1119" s="20" t="str" cm="1">
        <f t="array" ref="G1119">IF(TRIM(P1119)="","",IF(SUM(COUNTIF(P1119,{"*NLGD*","*FWG*"}))&gt;0,P1119,IF(SUM(COUNTIF(P1119,{"*GL*","*DGB*","*DGI*","*GT*","*CS*","*PWU*","*DBI*","*SWU*"}))=0,P1119,IF(IFERROR(VALUE(SUBSTITUTE(SUBSTITUTE(O1119,"W",""),"""","")),0)&gt;52,P1119&amp;"-OVRSIZE-",P1119))))</f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s="18" t="str">
        <v/>
      </c>
      <c r="O1119" s="15" t="str" cm="1">
        <f t="array" ref="O1119">IFERROR(_xlfn.LET(
_xlpm.clean,TRIM(SUBSTITUTE(SUBSTITUTE(P1119,CHAR(160),"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9" t="str">
        <f t="shared" si="18"/>
        <v/>
      </c>
    </row>
    <row r="1120" spans="3:19" ht="15.75" customHeight="1">
      <c r="C1120" s="15" t="str" cm="1">
        <f t="array" ref="C1120">IFERROR(_xlfn.TEXTJOIN("",TRUE,_xlfn._xlws.FILTER(MID(S1120,_xlfn.SEQUENCE(LEN(S1120)),1),ISNUMBER(SEARCH(MID(S1120,_xlfn.SEQUENCE(LEN(S1120)),1),"ABCDEFGHIJKLMNOPQRSTUVWXYZabcdefghijklmnopqrstuvwxyz0123456789,")))),"")</f>
        <v/>
      </c>
      <c r="G1120" s="20" t="str" cm="1">
        <f t="array" ref="G1120">IF(TRIM(P1120)="","",IF(SUM(COUNTIF(P1120,{"*NLGD*","*FWG*"}))&gt;0,P1120,IF(SUM(COUNTIF(P1120,{"*GL*","*DGB*","*DGI*","*GT*","*CS*","*PWU*","*DBI*","*SWU*"}))=0,P1120,IF(IFERROR(VALUE(SUBSTITUTE(SUBSTITUTE(O1120,"W",""),"""","")),0)&gt;52,P1120&amp;"-OVRSIZE-",P1120))))</f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s="18" t="str">
        <v/>
      </c>
      <c r="O1120" s="15" t="str" cm="1">
        <f t="array" ref="O1120">IFERROR(_xlfn.LET(
_xlpm.clean,TRIM(SUBSTITUTE(SUBSTITUTE(P1120,CHAR(160),"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0" t="str">
        <f t="shared" si="18"/>
        <v/>
      </c>
    </row>
    <row r="1121" spans="3:19" ht="15.75" customHeight="1">
      <c r="C1121" s="15" t="str" cm="1">
        <f t="array" ref="C1121">IFERROR(_xlfn.TEXTJOIN("",TRUE,_xlfn._xlws.FILTER(MID(S1121,_xlfn.SEQUENCE(LEN(S1121)),1),ISNUMBER(SEARCH(MID(S1121,_xlfn.SEQUENCE(LEN(S1121)),1),"ABCDEFGHIJKLMNOPQRSTUVWXYZabcdefghijklmnopqrstuvwxyz0123456789,")))),"")</f>
        <v/>
      </c>
      <c r="G1121" s="20" t="str" cm="1">
        <f t="array" ref="G1121">IF(TRIM(P1121)="","",IF(SUM(COUNTIF(P1121,{"*NLGD*","*FWG*"}))&gt;0,P1121,IF(SUM(COUNTIF(P1121,{"*GL*","*DGB*","*DGI*","*GT*","*CS*","*PWU*","*DBI*","*SWU*"}))=0,P1121,IF(IFERROR(VALUE(SUBSTITUTE(SUBSTITUTE(O1121,"W",""),"""","")),0)&gt;52,P1121&amp;"-OVRSIZE-",P1121))))</f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s="18" t="str">
        <v/>
      </c>
      <c r="O1121" s="15" t="str" cm="1">
        <f t="array" ref="O1121">IFERROR(_xlfn.LET(
_xlpm.clean,TRIM(SUBSTITUTE(SUBSTITUTE(P1121,CHAR(160),"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1" t="str">
        <f t="shared" si="18"/>
        <v/>
      </c>
    </row>
    <row r="1122" spans="3:19" ht="15.75" customHeight="1">
      <c r="C1122" s="15" t="str" cm="1">
        <f t="array" ref="C1122">IFERROR(_xlfn.TEXTJOIN("",TRUE,_xlfn._xlws.FILTER(MID(S1122,_xlfn.SEQUENCE(LEN(S1122)),1),ISNUMBER(SEARCH(MID(S1122,_xlfn.SEQUENCE(LEN(S1122)),1),"ABCDEFGHIJKLMNOPQRSTUVWXYZabcdefghijklmnopqrstuvwxyz0123456789,")))),"")</f>
        <v/>
      </c>
      <c r="G1122" s="20" t="str" cm="1">
        <f t="array" ref="G1122">IF(TRIM(P1122)="","",IF(SUM(COUNTIF(P1122,{"*NLGD*","*FWG*"}))&gt;0,P1122,IF(SUM(COUNTIF(P1122,{"*GL*","*DGB*","*DGI*","*GT*","*CS*","*PWU*","*DBI*","*SWU*"}))=0,P1122,IF(IFERROR(VALUE(SUBSTITUTE(SUBSTITUTE(O1122,"W",""),"""","")),0)&gt;52,P1122&amp;"-OVRSIZE-",P1122))))</f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s="18" t="str">
        <v/>
      </c>
      <c r="O1122" s="15" t="str" cm="1">
        <f t="array" ref="O1122">IFERROR(_xlfn.LET(
_xlpm.clean,TRIM(SUBSTITUTE(SUBSTITUTE(P1122,CHAR(160),"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2" t="str">
        <f t="shared" si="18"/>
        <v/>
      </c>
    </row>
    <row r="1123" spans="3:19" ht="15.75" customHeight="1">
      <c r="C1123" s="15" t="str" cm="1">
        <f t="array" ref="C1123">IFERROR(_xlfn.TEXTJOIN("",TRUE,_xlfn._xlws.FILTER(MID(S1123,_xlfn.SEQUENCE(LEN(S1123)),1),ISNUMBER(SEARCH(MID(S1123,_xlfn.SEQUENCE(LEN(S1123)),1),"ABCDEFGHIJKLMNOPQRSTUVWXYZabcdefghijklmnopqrstuvwxyz0123456789,")))),"")</f>
        <v/>
      </c>
      <c r="G1123" s="20" t="str" cm="1">
        <f t="array" ref="G1123">IF(TRIM(P1123)="","",IF(SUM(COUNTIF(P1123,{"*NLGD*","*FWG*"}))&gt;0,P1123,IF(SUM(COUNTIF(P1123,{"*GL*","*DGB*","*DGI*","*GT*","*CS*","*PWU*","*DBI*","*SWU*"}))=0,P1123,IF(IFERROR(VALUE(SUBSTITUTE(SUBSTITUTE(O1123,"W",""),"""","")),0)&gt;52,P1123&amp;"-OVRSIZE-",P1123))))</f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s="18" t="str">
        <v/>
      </c>
      <c r="O1123" s="15" t="str" cm="1">
        <f t="array" ref="O1123">IFERROR(_xlfn.LET(
_xlpm.clean,TRIM(SUBSTITUTE(SUBSTITUTE(P1123,CHAR(160),"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3" t="str">
        <f t="shared" si="18"/>
        <v/>
      </c>
    </row>
    <row r="1124" spans="3:19" ht="15.75" customHeight="1">
      <c r="C1124" s="15" t="str" cm="1">
        <f t="array" ref="C1124">IFERROR(_xlfn.TEXTJOIN("",TRUE,_xlfn._xlws.FILTER(MID(S1124,_xlfn.SEQUENCE(LEN(S1124)),1),ISNUMBER(SEARCH(MID(S1124,_xlfn.SEQUENCE(LEN(S1124)),1),"ABCDEFGHIJKLMNOPQRSTUVWXYZabcdefghijklmnopqrstuvwxyz0123456789,")))),"")</f>
        <v/>
      </c>
      <c r="G1124" s="20" t="str" cm="1">
        <f t="array" ref="G1124">IF(TRIM(P1124)="","",IF(SUM(COUNTIF(P1124,{"*NLGD*","*FWG*"}))&gt;0,P1124,IF(SUM(COUNTIF(P1124,{"*GL*","*DGB*","*DGI*","*GT*","*CS*","*PWU*","*DBI*","*SWU*"}))=0,P1124,IF(IFERROR(VALUE(SUBSTITUTE(SUBSTITUTE(O1124,"W",""),"""","")),0)&gt;52,P1124&amp;"-OVRSIZE-",P1124))))</f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s="18" t="str">
        <v/>
      </c>
      <c r="O1124" s="15" t="str" cm="1">
        <f t="array" ref="O1124">IFERROR(_xlfn.LET(
_xlpm.clean,TRIM(SUBSTITUTE(SUBSTITUTE(P1124,CHAR(160),"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4" t="str">
        <f t="shared" si="18"/>
        <v/>
      </c>
    </row>
    <row r="1125" spans="3:19" ht="15.75" customHeight="1">
      <c r="C1125" s="15" t="str" cm="1">
        <f t="array" ref="C1125">IFERROR(_xlfn.TEXTJOIN("",TRUE,_xlfn._xlws.FILTER(MID(S1125,_xlfn.SEQUENCE(LEN(S1125)),1),ISNUMBER(SEARCH(MID(S1125,_xlfn.SEQUENCE(LEN(S1125)),1),"ABCDEFGHIJKLMNOPQRSTUVWXYZabcdefghijklmnopqrstuvwxyz0123456789,")))),"")</f>
        <v/>
      </c>
      <c r="G1125" s="20" t="str" cm="1">
        <f t="array" ref="G1125">IF(TRIM(P1125)="","",IF(SUM(COUNTIF(P1125,{"*NLGD*","*FWG*"}))&gt;0,P1125,IF(SUM(COUNTIF(P1125,{"*GL*","*DGB*","*DGI*","*GT*","*CS*","*PWU*","*DBI*","*SWU*"}))=0,P1125,IF(IFERROR(VALUE(SUBSTITUTE(SUBSTITUTE(O1125,"W",""),"""","")),0)&gt;52,P1125&amp;"-OVRSIZE-",P1125))))</f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s="18" t="str">
        <v/>
      </c>
      <c r="O1125" s="15" t="str" cm="1">
        <f t="array" ref="O1125">IFERROR(_xlfn.LET(
_xlpm.clean,TRIM(SUBSTITUTE(SUBSTITUTE(P1125,CHAR(160),"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5" t="str">
        <f t="shared" si="18"/>
        <v/>
      </c>
    </row>
    <row r="1126" spans="3:19" ht="15.75" customHeight="1">
      <c r="C1126" s="15" t="str" cm="1">
        <f t="array" ref="C1126">IFERROR(_xlfn.TEXTJOIN("",TRUE,_xlfn._xlws.FILTER(MID(S1126,_xlfn.SEQUENCE(LEN(S1126)),1),ISNUMBER(SEARCH(MID(S1126,_xlfn.SEQUENCE(LEN(S1126)),1),"ABCDEFGHIJKLMNOPQRSTUVWXYZabcdefghijklmnopqrstuvwxyz0123456789,")))),"")</f>
        <v/>
      </c>
      <c r="G1126" s="20" t="str" cm="1">
        <f t="array" ref="G1126">IF(TRIM(P1126)="","",IF(SUM(COUNTIF(P1126,{"*NLGD*","*FWG*"}))&gt;0,P1126,IF(SUM(COUNTIF(P1126,{"*GL*","*DGB*","*DGI*","*GT*","*CS*","*PWU*","*DBI*","*SWU*"}))=0,P1126,IF(IFERROR(VALUE(SUBSTITUTE(SUBSTITUTE(O1126,"W",""),"""","")),0)&gt;52,P1126&amp;"-OVRSIZE-",P1126))))</f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s="18" t="str">
        <v/>
      </c>
      <c r="O1126" s="15" t="str" cm="1">
        <f t="array" ref="O1126">IFERROR(_xlfn.LET(
_xlpm.clean,TRIM(SUBSTITUTE(SUBSTITUTE(P1126,CHAR(160),"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6" t="str">
        <f t="shared" si="18"/>
        <v/>
      </c>
    </row>
    <row r="1127" spans="3:19" ht="15.75" customHeight="1">
      <c r="C1127" s="15" t="str" cm="1">
        <f t="array" ref="C1127">IFERROR(_xlfn.TEXTJOIN("",TRUE,_xlfn._xlws.FILTER(MID(S1127,_xlfn.SEQUENCE(LEN(S1127)),1),ISNUMBER(SEARCH(MID(S1127,_xlfn.SEQUENCE(LEN(S1127)),1),"ABCDEFGHIJKLMNOPQRSTUVWXYZabcdefghijklmnopqrstuvwxyz0123456789,")))),"")</f>
        <v/>
      </c>
      <c r="G1127" s="20" t="str" cm="1">
        <f t="array" ref="G1127">IF(TRIM(P1127)="","",IF(SUM(COUNTIF(P1127,{"*NLGD*","*FWG*"}))&gt;0,P1127,IF(SUM(COUNTIF(P1127,{"*GL*","*DGB*","*DGI*","*GT*","*CS*","*PWU*","*DBI*","*SWU*"}))=0,P1127,IF(IFERROR(VALUE(SUBSTITUTE(SUBSTITUTE(O1127,"W",""),"""","")),0)&gt;52,P1127&amp;"-OVRSIZE-",P1127))))</f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s="18" t="str">
        <v/>
      </c>
      <c r="O1127" s="15" t="str" cm="1">
        <f t="array" ref="O1127">IFERROR(_xlfn.LET(
_xlpm.clean,TRIM(SUBSTITUTE(SUBSTITUTE(P1127,CHAR(160),"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7" t="str">
        <f t="shared" si="18"/>
        <v/>
      </c>
    </row>
    <row r="1128" spans="3:19" ht="15.75" customHeight="1">
      <c r="C1128" s="15" t="str" cm="1">
        <f t="array" ref="C1128">IFERROR(_xlfn.TEXTJOIN("",TRUE,_xlfn._xlws.FILTER(MID(S1128,_xlfn.SEQUENCE(LEN(S1128)),1),ISNUMBER(SEARCH(MID(S1128,_xlfn.SEQUENCE(LEN(S1128)),1),"ABCDEFGHIJKLMNOPQRSTUVWXYZabcdefghijklmnopqrstuvwxyz0123456789,")))),"")</f>
        <v/>
      </c>
      <c r="G1128" s="20" t="str" cm="1">
        <f t="array" ref="G1128">IF(TRIM(P1128)="","",IF(SUM(COUNTIF(P1128,{"*NLGD*","*FWG*"}))&gt;0,P1128,IF(SUM(COUNTIF(P1128,{"*GL*","*DGB*","*DGI*","*GT*","*CS*","*PWU*","*DBI*","*SWU*"}))=0,P1128,IF(IFERROR(VALUE(SUBSTITUTE(SUBSTITUTE(O1128,"W",""),"""","")),0)&gt;52,P1128&amp;"-OVRSIZE-",P1128))))</f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s="18" t="str">
        <v/>
      </c>
      <c r="O1128" s="15" t="str" cm="1">
        <f t="array" ref="O1128">IFERROR(_xlfn.LET(
_xlpm.clean,TRIM(SUBSTITUTE(SUBSTITUTE(P1128,CHAR(160),"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8" t="str">
        <f t="shared" si="18"/>
        <v/>
      </c>
    </row>
    <row r="1129" spans="3:19" ht="15.75" customHeight="1">
      <c r="C1129" s="15" t="str" cm="1">
        <f t="array" ref="C1129">IFERROR(_xlfn.TEXTJOIN("",TRUE,_xlfn._xlws.FILTER(MID(S1129,_xlfn.SEQUENCE(LEN(S1129)),1),ISNUMBER(SEARCH(MID(S1129,_xlfn.SEQUENCE(LEN(S1129)),1),"ABCDEFGHIJKLMNOPQRSTUVWXYZabcdefghijklmnopqrstuvwxyz0123456789,")))),"")</f>
        <v/>
      </c>
      <c r="G1129" s="20" t="str" cm="1">
        <f t="array" ref="G1129">IF(TRIM(P1129)="","",IF(SUM(COUNTIF(P1129,{"*NLGD*","*FWG*"}))&gt;0,P1129,IF(SUM(COUNTIF(P1129,{"*GL*","*DGB*","*DGI*","*GT*","*CS*","*PWU*","*DBI*","*SWU*"}))=0,P1129,IF(IFERROR(VALUE(SUBSTITUTE(SUBSTITUTE(O1129,"W",""),"""","")),0)&gt;52,P1129&amp;"-OVRSIZE-",P1129))))</f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s="18" t="str">
        <v/>
      </c>
      <c r="O1129" s="15" t="str" cm="1">
        <f t="array" ref="O1129">IFERROR(_xlfn.LET(
_xlpm.clean,TRIM(SUBSTITUTE(SUBSTITUTE(P1129,CHAR(160),"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9" t="str">
        <f t="shared" si="18"/>
        <v/>
      </c>
    </row>
    <row r="1130" spans="3:19" ht="15.75" customHeight="1">
      <c r="C1130" s="15" t="str" cm="1">
        <f t="array" ref="C1130">IFERROR(_xlfn.TEXTJOIN("",TRUE,_xlfn._xlws.FILTER(MID(S1130,_xlfn.SEQUENCE(LEN(S1130)),1),ISNUMBER(SEARCH(MID(S1130,_xlfn.SEQUENCE(LEN(S1130)),1),"ABCDEFGHIJKLMNOPQRSTUVWXYZabcdefghijklmnopqrstuvwxyz0123456789,")))),"")</f>
        <v/>
      </c>
      <c r="G1130" s="20" t="str" cm="1">
        <f t="array" ref="G1130">IF(TRIM(P1130)="","",IF(SUM(COUNTIF(P1130,{"*NLGD*","*FWG*"}))&gt;0,P1130,IF(SUM(COUNTIF(P1130,{"*GL*","*DGB*","*DGI*","*GT*","*CS*","*PWU*","*DBI*","*SWU*"}))=0,P1130,IF(IFERROR(VALUE(SUBSTITUTE(SUBSTITUTE(O1130,"W",""),"""","")),0)&gt;52,P1130&amp;"-OVRSIZE-",P1130))))</f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s="18" t="str">
        <v/>
      </c>
      <c r="O1130" s="15" t="str" cm="1">
        <f t="array" ref="O1130">IFERROR(_xlfn.LET(
_xlpm.clean,TRIM(SUBSTITUTE(SUBSTITUTE(P1130,CHAR(160),"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0" t="str">
        <f t="shared" si="18"/>
        <v/>
      </c>
    </row>
    <row r="1131" spans="3:19" ht="15.75" customHeight="1">
      <c r="C1131" s="15" t="str" cm="1">
        <f t="array" ref="C1131">IFERROR(_xlfn.TEXTJOIN("",TRUE,_xlfn._xlws.FILTER(MID(S1131,_xlfn.SEQUENCE(LEN(S1131)),1),ISNUMBER(SEARCH(MID(S1131,_xlfn.SEQUENCE(LEN(S1131)),1),"ABCDEFGHIJKLMNOPQRSTUVWXYZabcdefghijklmnopqrstuvwxyz0123456789,")))),"")</f>
        <v/>
      </c>
      <c r="G1131" s="20" t="str" cm="1">
        <f t="array" ref="G1131">IF(TRIM(P1131)="","",IF(SUM(COUNTIF(P1131,{"*NLGD*","*FWG*"}))&gt;0,P1131,IF(SUM(COUNTIF(P1131,{"*GL*","*DGB*","*DGI*","*GT*","*CS*","*PWU*","*DBI*","*SWU*"}))=0,P1131,IF(IFERROR(VALUE(SUBSTITUTE(SUBSTITUTE(O1131,"W",""),"""","")),0)&gt;52,P1131&amp;"-OVRSIZE-",P1131))))</f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s="18" t="str">
        <v/>
      </c>
      <c r="O1131" s="15" t="str" cm="1">
        <f t="array" ref="O1131">IFERROR(_xlfn.LET(
_xlpm.clean,TRIM(SUBSTITUTE(SUBSTITUTE(P1131,CHAR(160),"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1" t="str">
        <f t="shared" si="18"/>
        <v/>
      </c>
    </row>
    <row r="1132" spans="3:19" ht="15.75" customHeight="1">
      <c r="C1132" s="15" t="str" cm="1">
        <f t="array" ref="C1132">IFERROR(_xlfn.TEXTJOIN("",TRUE,_xlfn._xlws.FILTER(MID(S1132,_xlfn.SEQUENCE(LEN(S1132)),1),ISNUMBER(SEARCH(MID(S1132,_xlfn.SEQUENCE(LEN(S1132)),1),"ABCDEFGHIJKLMNOPQRSTUVWXYZabcdefghijklmnopqrstuvwxyz0123456789,")))),"")</f>
        <v/>
      </c>
      <c r="G1132" s="20" t="str" cm="1">
        <f t="array" ref="G1132">IF(TRIM(P1132)="","",IF(SUM(COUNTIF(P1132,{"*NLGD*","*FWG*"}))&gt;0,P1132,IF(SUM(COUNTIF(P1132,{"*GL*","*DGB*","*DGI*","*GT*","*CS*","*PWU*","*DBI*","*SWU*"}))=0,P1132,IF(IFERROR(VALUE(SUBSTITUTE(SUBSTITUTE(O1132,"W",""),"""","")),0)&gt;52,P1132&amp;"-OVRSIZE-",P1132))))</f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s="18" t="str">
        <v/>
      </c>
      <c r="O1132" s="15" t="str" cm="1">
        <f t="array" ref="O1132">IFERROR(_xlfn.LET(
_xlpm.clean,TRIM(SUBSTITUTE(SUBSTITUTE(P1132,CHAR(160),"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2" t="str">
        <f t="shared" si="18"/>
        <v/>
      </c>
    </row>
    <row r="1133" spans="3:19" ht="15.75" customHeight="1">
      <c r="C1133" s="15" t="str" cm="1">
        <f t="array" ref="C1133">IFERROR(_xlfn.TEXTJOIN("",TRUE,_xlfn._xlws.FILTER(MID(S1133,_xlfn.SEQUENCE(LEN(S1133)),1),ISNUMBER(SEARCH(MID(S1133,_xlfn.SEQUENCE(LEN(S1133)),1),"ABCDEFGHIJKLMNOPQRSTUVWXYZabcdefghijklmnopqrstuvwxyz0123456789,")))),"")</f>
        <v/>
      </c>
      <c r="G1133" s="20" t="str" cm="1">
        <f t="array" ref="G1133">IF(TRIM(P1133)="","",IF(SUM(COUNTIF(P1133,{"*NLGD*","*FWG*"}))&gt;0,P1133,IF(SUM(COUNTIF(P1133,{"*GL*","*DGB*","*DGI*","*GT*","*CS*","*PWU*","*DBI*","*SWU*"}))=0,P1133,IF(IFERROR(VALUE(SUBSTITUTE(SUBSTITUTE(O1133,"W",""),"""","")),0)&gt;52,P1133&amp;"-OVRSIZE-",P1133))))</f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s="18" t="str">
        <v/>
      </c>
      <c r="O1133" s="15" t="str" cm="1">
        <f t="array" ref="O1133">IFERROR(_xlfn.LET(
_xlpm.clean,TRIM(SUBSTITUTE(SUBSTITUTE(P1133,CHAR(160),"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3" t="str">
        <f t="shared" si="18"/>
        <v/>
      </c>
    </row>
    <row r="1134" spans="3:19" ht="15.75" customHeight="1">
      <c r="C1134" s="15" t="str" cm="1">
        <f t="array" ref="C1134">IFERROR(_xlfn.TEXTJOIN("",TRUE,_xlfn._xlws.FILTER(MID(S1134,_xlfn.SEQUENCE(LEN(S1134)),1),ISNUMBER(SEARCH(MID(S1134,_xlfn.SEQUENCE(LEN(S1134)),1),"ABCDEFGHIJKLMNOPQRSTUVWXYZabcdefghijklmnopqrstuvwxyz0123456789,")))),"")</f>
        <v/>
      </c>
      <c r="G1134" s="20" t="str" cm="1">
        <f t="array" ref="G1134">IF(TRIM(P1134)="","",IF(SUM(COUNTIF(P1134,{"*NLGD*","*FWG*"}))&gt;0,P1134,IF(SUM(COUNTIF(P1134,{"*GL*","*DGB*","*DGI*","*GT*","*CS*","*PWU*","*DBI*","*SWU*"}))=0,P1134,IF(IFERROR(VALUE(SUBSTITUTE(SUBSTITUTE(O1134,"W",""),"""","")),0)&gt;52,P1134&amp;"-OVRSIZE-",P1134))))</f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s="18" t="str">
        <v/>
      </c>
      <c r="O1134" s="15" t="str" cm="1">
        <f t="array" ref="O1134">IFERROR(_xlfn.LET(
_xlpm.clean,TRIM(SUBSTITUTE(SUBSTITUTE(P1134,CHAR(160),"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4" t="str">
        <f t="shared" si="18"/>
        <v/>
      </c>
    </row>
    <row r="1135" spans="3:19" ht="15.75" customHeight="1">
      <c r="C1135" s="15" t="str" cm="1">
        <f t="array" ref="C1135">IFERROR(_xlfn.TEXTJOIN("",TRUE,_xlfn._xlws.FILTER(MID(S1135,_xlfn.SEQUENCE(LEN(S1135)),1),ISNUMBER(SEARCH(MID(S1135,_xlfn.SEQUENCE(LEN(S1135)),1),"ABCDEFGHIJKLMNOPQRSTUVWXYZabcdefghijklmnopqrstuvwxyz0123456789,")))),"")</f>
        <v/>
      </c>
      <c r="G1135" s="20" t="str" cm="1">
        <f t="array" ref="G1135">IF(TRIM(P1135)="","",IF(SUM(COUNTIF(P1135,{"*NLGD*","*FWG*"}))&gt;0,P1135,IF(SUM(COUNTIF(P1135,{"*GL*","*DGB*","*DGI*","*GT*","*CS*","*PWU*","*DBI*","*SWU*"}))=0,P1135,IF(IFERROR(VALUE(SUBSTITUTE(SUBSTITUTE(O1135,"W",""),"""","")),0)&gt;52,P1135&amp;"-OVRSIZE-",P1135))))</f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s="18" t="str">
        <v/>
      </c>
      <c r="O1135" s="15" t="str" cm="1">
        <f t="array" ref="O1135">IFERROR(_xlfn.LET(
_xlpm.clean,TRIM(SUBSTITUTE(SUBSTITUTE(P1135,CHAR(160),"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5" t="str">
        <f t="shared" si="18"/>
        <v/>
      </c>
    </row>
    <row r="1136" spans="3:19" ht="15.75" customHeight="1">
      <c r="C1136" s="15" t="str" cm="1">
        <f t="array" ref="C1136">IFERROR(_xlfn.TEXTJOIN("",TRUE,_xlfn._xlws.FILTER(MID(S1136,_xlfn.SEQUENCE(LEN(S1136)),1),ISNUMBER(SEARCH(MID(S1136,_xlfn.SEQUENCE(LEN(S1136)),1),"ABCDEFGHIJKLMNOPQRSTUVWXYZabcdefghijklmnopqrstuvwxyz0123456789,")))),"")</f>
        <v/>
      </c>
      <c r="G1136" s="20" t="str" cm="1">
        <f t="array" ref="G1136">IF(TRIM(P1136)="","",IF(SUM(COUNTIF(P1136,{"*NLGD*","*FWG*"}))&gt;0,P1136,IF(SUM(COUNTIF(P1136,{"*GL*","*DGB*","*DGI*","*GT*","*CS*","*PWU*","*DBI*","*SWU*"}))=0,P1136,IF(IFERROR(VALUE(SUBSTITUTE(SUBSTITUTE(O1136,"W",""),"""","")),0)&gt;52,P1136&amp;"-OVRSIZE-",P1136))))</f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s="18" t="str">
        <v/>
      </c>
      <c r="O1136" s="15" t="str" cm="1">
        <f t="array" ref="O1136">IFERROR(_xlfn.LET(
_xlpm.clean,TRIM(SUBSTITUTE(SUBSTITUTE(P1136,CHAR(160),"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6" t="str">
        <f t="shared" si="18"/>
        <v/>
      </c>
    </row>
    <row r="1137" spans="3:19" ht="15.75" customHeight="1">
      <c r="C1137" s="15" t="str" cm="1">
        <f t="array" ref="C1137">IFERROR(_xlfn.TEXTJOIN("",TRUE,_xlfn._xlws.FILTER(MID(S1137,_xlfn.SEQUENCE(LEN(S1137)),1),ISNUMBER(SEARCH(MID(S1137,_xlfn.SEQUENCE(LEN(S1137)),1),"ABCDEFGHIJKLMNOPQRSTUVWXYZabcdefghijklmnopqrstuvwxyz0123456789,")))),"")</f>
        <v/>
      </c>
      <c r="G1137" s="20" t="str" cm="1">
        <f t="array" ref="G1137">IF(TRIM(P1137)="","",IF(SUM(COUNTIF(P1137,{"*NLGD*","*FWG*"}))&gt;0,P1137,IF(SUM(COUNTIF(P1137,{"*GL*","*DGB*","*DGI*","*GT*","*CS*","*PWU*","*DBI*","*SWU*"}))=0,P1137,IF(IFERROR(VALUE(SUBSTITUTE(SUBSTITUTE(O1137,"W",""),"""","")),0)&gt;52,P1137&amp;"-OVRSIZE-",P1137))))</f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s="18" t="str">
        <v/>
      </c>
      <c r="O1137" s="15" t="str" cm="1">
        <f t="array" ref="O1137">IFERROR(_xlfn.LET(
_xlpm.clean,TRIM(SUBSTITUTE(SUBSTITUTE(P1137,CHAR(160),"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7" t="str">
        <f t="shared" si="18"/>
        <v/>
      </c>
    </row>
    <row r="1138" spans="3:19" ht="15.75" customHeight="1">
      <c r="C1138" s="15" t="str" cm="1">
        <f t="array" ref="C1138">IFERROR(_xlfn.TEXTJOIN("",TRUE,_xlfn._xlws.FILTER(MID(S1138,_xlfn.SEQUENCE(LEN(S1138)),1),ISNUMBER(SEARCH(MID(S1138,_xlfn.SEQUENCE(LEN(S1138)),1),"ABCDEFGHIJKLMNOPQRSTUVWXYZabcdefghijklmnopqrstuvwxyz0123456789,")))),"")</f>
        <v/>
      </c>
      <c r="G1138" s="20" t="str" cm="1">
        <f t="array" ref="G1138">IF(TRIM(P1138)="","",IF(SUM(COUNTIF(P1138,{"*NLGD*","*FWG*"}))&gt;0,P1138,IF(SUM(COUNTIF(P1138,{"*GL*","*DGB*","*DGI*","*GT*","*CS*","*PWU*","*DBI*","*SWU*"}))=0,P1138,IF(IFERROR(VALUE(SUBSTITUTE(SUBSTITUTE(O1138,"W",""),"""","")),0)&gt;52,P1138&amp;"-OVRSIZE-",P1138))))</f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s="18" t="str">
        <v/>
      </c>
      <c r="O1138" s="15" t="str" cm="1">
        <f t="array" ref="O1138">IFERROR(_xlfn.LET(
_xlpm.clean,TRIM(SUBSTITUTE(SUBSTITUTE(P1138,CHAR(160),"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8" t="str">
        <f t="shared" si="18"/>
        <v/>
      </c>
    </row>
    <row r="1139" spans="3:19" ht="15.75" customHeight="1">
      <c r="C1139" s="15" t="str" cm="1">
        <f t="array" ref="C1139">IFERROR(_xlfn.TEXTJOIN("",TRUE,_xlfn._xlws.FILTER(MID(S1139,_xlfn.SEQUENCE(LEN(S1139)),1),ISNUMBER(SEARCH(MID(S1139,_xlfn.SEQUENCE(LEN(S1139)),1),"ABCDEFGHIJKLMNOPQRSTUVWXYZabcdefghijklmnopqrstuvwxyz0123456789,")))),"")</f>
        <v/>
      </c>
      <c r="G1139" s="20" t="str" cm="1">
        <f t="array" ref="G1139">IF(TRIM(P1139)="","",IF(SUM(COUNTIF(P1139,{"*NLGD*","*FWG*"}))&gt;0,P1139,IF(SUM(COUNTIF(P1139,{"*GL*","*DGB*","*DGI*","*GT*","*CS*","*PWU*","*DBI*","*SWU*"}))=0,P1139,IF(IFERROR(VALUE(SUBSTITUTE(SUBSTITUTE(O1139,"W",""),"""","")),0)&gt;52,P1139&amp;"-OVRSIZE-",P1139))))</f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s="18" t="str">
        <v/>
      </c>
      <c r="O1139" s="15" t="str" cm="1">
        <f t="array" ref="O1139">IFERROR(_xlfn.LET(
_xlpm.clean,TRIM(SUBSTITUTE(SUBSTITUTE(P1139,CHAR(160),"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9" t="str">
        <f t="shared" si="18"/>
        <v/>
      </c>
    </row>
    <row r="1140" spans="3:19" ht="15.75" customHeight="1">
      <c r="C1140" s="15" t="str" cm="1">
        <f t="array" ref="C1140">IFERROR(_xlfn.TEXTJOIN("",TRUE,_xlfn._xlws.FILTER(MID(S1140,_xlfn.SEQUENCE(LEN(S1140)),1),ISNUMBER(SEARCH(MID(S1140,_xlfn.SEQUENCE(LEN(S1140)),1),"ABCDEFGHIJKLMNOPQRSTUVWXYZabcdefghijklmnopqrstuvwxyz0123456789,")))),"")</f>
        <v/>
      </c>
      <c r="G1140" s="20" t="str" cm="1">
        <f t="array" ref="G1140">IF(TRIM(P1140)="","",IF(SUM(COUNTIF(P1140,{"*NLGD*","*FWG*"}))&gt;0,P1140,IF(SUM(COUNTIF(P1140,{"*GL*","*DGB*","*DGI*","*GT*","*CS*","*PWU*","*DBI*","*SWU*"}))=0,P1140,IF(IFERROR(VALUE(SUBSTITUTE(SUBSTITUTE(O1140,"W",""),"""","")),0)&gt;52,P1140&amp;"-OVRSIZE-",P1140))))</f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s="18" t="str">
        <v/>
      </c>
      <c r="O1140" s="15" t="str" cm="1">
        <f t="array" ref="O1140">IFERROR(_xlfn.LET(
_xlpm.clean,TRIM(SUBSTITUTE(SUBSTITUTE(P1140,CHAR(160),"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0" t="str">
        <f t="shared" si="18"/>
        <v/>
      </c>
    </row>
    <row r="1141" spans="3:19" ht="15.75" customHeight="1">
      <c r="C1141" s="15" t="str" cm="1">
        <f t="array" ref="C1141">IFERROR(_xlfn.TEXTJOIN("",TRUE,_xlfn._xlws.FILTER(MID(S1141,_xlfn.SEQUENCE(LEN(S1141)),1),ISNUMBER(SEARCH(MID(S1141,_xlfn.SEQUENCE(LEN(S1141)),1),"ABCDEFGHIJKLMNOPQRSTUVWXYZabcdefghijklmnopqrstuvwxyz0123456789,")))),"")</f>
        <v/>
      </c>
      <c r="G1141" s="20" t="str" cm="1">
        <f t="array" ref="G1141">IF(TRIM(P1141)="","",IF(SUM(COUNTIF(P1141,{"*NLGD*","*FWG*"}))&gt;0,P1141,IF(SUM(COUNTIF(P1141,{"*GL*","*DGB*","*DGI*","*GT*","*CS*","*PWU*","*DBI*","*SWU*"}))=0,P1141,IF(IFERROR(VALUE(SUBSTITUTE(SUBSTITUTE(O1141,"W",""),"""","")),0)&gt;52,P1141&amp;"-OVRSIZE-",P1141))))</f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s="18" t="str">
        <v/>
      </c>
      <c r="O1141" s="15" t="str" cm="1">
        <f t="array" ref="O1141">IFERROR(_xlfn.LET(
_xlpm.clean,TRIM(SUBSTITUTE(SUBSTITUTE(P1141,CHAR(160),"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1" t="str">
        <f t="shared" si="18"/>
        <v/>
      </c>
    </row>
    <row r="1142" spans="3:19" ht="15.75" customHeight="1">
      <c r="C1142" s="15" t="str" cm="1">
        <f t="array" ref="C1142">IFERROR(_xlfn.TEXTJOIN("",TRUE,_xlfn._xlws.FILTER(MID(S1142,_xlfn.SEQUENCE(LEN(S1142)),1),ISNUMBER(SEARCH(MID(S1142,_xlfn.SEQUENCE(LEN(S1142)),1),"ABCDEFGHIJKLMNOPQRSTUVWXYZabcdefghijklmnopqrstuvwxyz0123456789,")))),"")</f>
        <v/>
      </c>
      <c r="G1142" s="20" t="str" cm="1">
        <f t="array" ref="G1142">IF(TRIM(P1142)="","",IF(SUM(COUNTIF(P1142,{"*NLGD*","*FWG*"}))&gt;0,P1142,IF(SUM(COUNTIF(P1142,{"*GL*","*DGB*","*DGI*","*GT*","*CS*","*PWU*","*DBI*","*SWU*"}))=0,P1142,IF(IFERROR(VALUE(SUBSTITUTE(SUBSTITUTE(O1142,"W",""),"""","")),0)&gt;52,P1142&amp;"-OVRSIZE-",P1142))))</f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s="18" t="str">
        <v/>
      </c>
      <c r="O1142" s="15" t="str" cm="1">
        <f t="array" ref="O1142">IFERROR(_xlfn.LET(
_xlpm.clean,TRIM(SUBSTITUTE(SUBSTITUTE(P1142,CHAR(160),"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2" t="str">
        <f t="shared" si="18"/>
        <v/>
      </c>
    </row>
    <row r="1143" spans="3:19" ht="15.75" customHeight="1">
      <c r="C1143" s="15" t="str" cm="1">
        <f t="array" ref="C1143">IFERROR(_xlfn.TEXTJOIN("",TRUE,_xlfn._xlws.FILTER(MID(S1143,_xlfn.SEQUENCE(LEN(S1143)),1),ISNUMBER(SEARCH(MID(S1143,_xlfn.SEQUENCE(LEN(S1143)),1),"ABCDEFGHIJKLMNOPQRSTUVWXYZabcdefghijklmnopqrstuvwxyz0123456789,")))),"")</f>
        <v/>
      </c>
      <c r="G1143" s="20" t="str" cm="1">
        <f t="array" ref="G1143">IF(TRIM(P1143)="","",IF(SUM(COUNTIF(P1143,{"*NLGD*","*FWG*"}))&gt;0,P1143,IF(SUM(COUNTIF(P1143,{"*GL*","*DGB*","*DGI*","*GT*","*CS*","*PWU*","*DBI*","*SWU*"}))=0,P1143,IF(IFERROR(VALUE(SUBSTITUTE(SUBSTITUTE(O1143,"W",""),"""","")),0)&gt;52,P1143&amp;"-OVRSIZE-",P1143))))</f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s="18" t="str">
        <v/>
      </c>
      <c r="O1143" s="15" t="str" cm="1">
        <f t="array" ref="O1143">IFERROR(_xlfn.LET(
_xlpm.clean,TRIM(SUBSTITUTE(SUBSTITUTE(P1143,CHAR(160),"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3" t="str">
        <f t="shared" si="18"/>
        <v/>
      </c>
    </row>
    <row r="1144" spans="3:19" ht="15.75" customHeight="1">
      <c r="C1144" s="15" t="str" cm="1">
        <f t="array" ref="C1144">IFERROR(_xlfn.TEXTJOIN("",TRUE,_xlfn._xlws.FILTER(MID(S1144,_xlfn.SEQUENCE(LEN(S1144)),1),ISNUMBER(SEARCH(MID(S1144,_xlfn.SEQUENCE(LEN(S1144)),1),"ABCDEFGHIJKLMNOPQRSTUVWXYZabcdefghijklmnopqrstuvwxyz0123456789,")))),"")</f>
        <v/>
      </c>
      <c r="G1144" s="20" t="str" cm="1">
        <f t="array" ref="G1144">IF(TRIM(P1144)="","",IF(SUM(COUNTIF(P1144,{"*NLGD*","*FWG*"}))&gt;0,P1144,IF(SUM(COUNTIF(P1144,{"*GL*","*DGB*","*DGI*","*GT*","*CS*","*PWU*","*DBI*","*SWU*"}))=0,P1144,IF(IFERROR(VALUE(SUBSTITUTE(SUBSTITUTE(O1144,"W",""),"""","")),0)&gt;52,P1144&amp;"-OVRSIZE-",P1144))))</f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s="18" t="str">
        <v/>
      </c>
      <c r="O1144" s="15" t="str" cm="1">
        <f t="array" ref="O1144">IFERROR(_xlfn.LET(
_xlpm.clean,TRIM(SUBSTITUTE(SUBSTITUTE(P1144,CHAR(160),"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4" t="str">
        <f t="shared" si="18"/>
        <v/>
      </c>
    </row>
    <row r="1145" spans="3:19" ht="15.75" customHeight="1">
      <c r="C1145" s="15" t="str" cm="1">
        <f t="array" ref="C1145">IFERROR(_xlfn.TEXTJOIN("",TRUE,_xlfn._xlws.FILTER(MID(S1145,_xlfn.SEQUENCE(LEN(S1145)),1),ISNUMBER(SEARCH(MID(S1145,_xlfn.SEQUENCE(LEN(S1145)),1),"ABCDEFGHIJKLMNOPQRSTUVWXYZabcdefghijklmnopqrstuvwxyz0123456789,")))),"")</f>
        <v/>
      </c>
      <c r="G1145" s="20" t="str" cm="1">
        <f t="array" ref="G1145">IF(TRIM(P1145)="","",IF(SUM(COUNTIF(P1145,{"*NLGD*","*FWG*"}))&gt;0,P1145,IF(SUM(COUNTIF(P1145,{"*GL*","*DGB*","*DGI*","*GT*","*CS*","*PWU*","*DBI*","*SWU*"}))=0,P1145,IF(IFERROR(VALUE(SUBSTITUTE(SUBSTITUTE(O1145,"W",""),"""","")),0)&gt;52,P1145&amp;"-OVRSIZE-",P1145))))</f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s="18" t="str">
        <v/>
      </c>
      <c r="O1145" s="15" t="str" cm="1">
        <f t="array" ref="O1145">IFERROR(_xlfn.LET(
_xlpm.clean,TRIM(SUBSTITUTE(SUBSTITUTE(P1145,CHAR(160),"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5" t="str">
        <f t="shared" si="18"/>
        <v/>
      </c>
    </row>
    <row r="1146" spans="3:19" ht="15.75" customHeight="1">
      <c r="C1146" s="15" t="str" cm="1">
        <f t="array" ref="C1146">IFERROR(_xlfn.TEXTJOIN("",TRUE,_xlfn._xlws.FILTER(MID(S1146,_xlfn.SEQUENCE(LEN(S1146)),1),ISNUMBER(SEARCH(MID(S1146,_xlfn.SEQUENCE(LEN(S1146)),1),"ABCDEFGHIJKLMNOPQRSTUVWXYZabcdefghijklmnopqrstuvwxyz0123456789,")))),"")</f>
        <v/>
      </c>
      <c r="G1146" s="20" t="str" cm="1">
        <f t="array" ref="G1146">IF(TRIM(P1146)="","",IF(SUM(COUNTIF(P1146,{"*NLGD*","*FWG*"}))&gt;0,P1146,IF(SUM(COUNTIF(P1146,{"*GL*","*DGB*","*DGI*","*GT*","*CS*","*PWU*","*DBI*","*SWU*"}))=0,P1146,IF(IFERROR(VALUE(SUBSTITUTE(SUBSTITUTE(O1146,"W",""),"""","")),0)&gt;52,P1146&amp;"-OVRSIZE-",P1146))))</f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s="18" t="str">
        <v/>
      </c>
      <c r="O1146" s="15" t="str" cm="1">
        <f t="array" ref="O1146">IFERROR(_xlfn.LET(
_xlpm.clean,TRIM(SUBSTITUTE(SUBSTITUTE(P1146,CHAR(160),"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6" t="str">
        <f t="shared" si="18"/>
        <v/>
      </c>
    </row>
    <row r="1147" spans="3:19" ht="15.75" customHeight="1">
      <c r="C1147" s="15" t="str" cm="1">
        <f t="array" ref="C1147">IFERROR(_xlfn.TEXTJOIN("",TRUE,_xlfn._xlws.FILTER(MID(S1147,_xlfn.SEQUENCE(LEN(S1147)),1),ISNUMBER(SEARCH(MID(S1147,_xlfn.SEQUENCE(LEN(S1147)),1),"ABCDEFGHIJKLMNOPQRSTUVWXYZabcdefghijklmnopqrstuvwxyz0123456789,")))),"")</f>
        <v/>
      </c>
      <c r="G1147" s="20" t="str" cm="1">
        <f t="array" ref="G1147">IF(TRIM(P1147)="","",IF(SUM(COUNTIF(P1147,{"*NLGD*","*FWG*"}))&gt;0,P1147,IF(SUM(COUNTIF(P1147,{"*GL*","*DGB*","*DGI*","*GT*","*CS*","*PWU*","*DBI*","*SWU*"}))=0,P1147,IF(IFERROR(VALUE(SUBSTITUTE(SUBSTITUTE(O1147,"W",""),"""","")),0)&gt;52,P1147&amp;"-OVRSIZE-",P1147))))</f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s="18" t="str">
        <v/>
      </c>
      <c r="O1147" s="15" t="str" cm="1">
        <f t="array" ref="O1147">IFERROR(_xlfn.LET(
_xlpm.clean,TRIM(SUBSTITUTE(SUBSTITUTE(P1147,CHAR(160),"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7" t="str">
        <f t="shared" si="18"/>
        <v/>
      </c>
    </row>
    <row r="1148" spans="3:19" ht="15.75" customHeight="1">
      <c r="C1148" s="15" t="str" cm="1">
        <f t="array" ref="C1148">IFERROR(_xlfn.TEXTJOIN("",TRUE,_xlfn._xlws.FILTER(MID(S1148,_xlfn.SEQUENCE(LEN(S1148)),1),ISNUMBER(SEARCH(MID(S1148,_xlfn.SEQUENCE(LEN(S1148)),1),"ABCDEFGHIJKLMNOPQRSTUVWXYZabcdefghijklmnopqrstuvwxyz0123456789,")))),"")</f>
        <v/>
      </c>
      <c r="G1148" s="20" t="str" cm="1">
        <f t="array" ref="G1148">IF(TRIM(P1148)="","",IF(SUM(COUNTIF(P1148,{"*NLGD*","*FWG*"}))&gt;0,P1148,IF(SUM(COUNTIF(P1148,{"*GL*","*DGB*","*DGI*","*GT*","*CS*","*PWU*","*DBI*","*SWU*"}))=0,P1148,IF(IFERROR(VALUE(SUBSTITUTE(SUBSTITUTE(O1148,"W",""),"""","")),0)&gt;52,P1148&amp;"-OVRSIZE-",P1148))))</f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s="18" t="str">
        <v/>
      </c>
      <c r="O1148" s="15" t="str" cm="1">
        <f t="array" ref="O1148">IFERROR(_xlfn.LET(
_xlpm.clean,TRIM(SUBSTITUTE(SUBSTITUTE(P1148,CHAR(160),"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8" t="str">
        <f t="shared" si="18"/>
        <v/>
      </c>
    </row>
    <row r="1149" spans="3:19" ht="15.75" customHeight="1">
      <c r="C1149" s="15" t="str" cm="1">
        <f t="array" ref="C1149">IFERROR(_xlfn.TEXTJOIN("",TRUE,_xlfn._xlws.FILTER(MID(S1149,_xlfn.SEQUENCE(LEN(S1149)),1),ISNUMBER(SEARCH(MID(S1149,_xlfn.SEQUENCE(LEN(S1149)),1),"ABCDEFGHIJKLMNOPQRSTUVWXYZabcdefghijklmnopqrstuvwxyz0123456789,")))),"")</f>
        <v/>
      </c>
      <c r="G1149" s="20" t="str" cm="1">
        <f t="array" ref="G1149">IF(TRIM(P1149)="","",IF(SUM(COUNTIF(P1149,{"*NLGD*","*FWG*"}))&gt;0,P1149,IF(SUM(COUNTIF(P1149,{"*GL*","*DGB*","*DGI*","*GT*","*CS*","*PWU*","*DBI*","*SWU*"}))=0,P1149,IF(IFERROR(VALUE(SUBSTITUTE(SUBSTITUTE(O1149,"W",""),"""","")),0)&gt;52,P1149&amp;"-OVRSIZE-",P1149))))</f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s="18" t="str">
        <v/>
      </c>
      <c r="O1149" s="15" t="str" cm="1">
        <f t="array" ref="O1149">IFERROR(_xlfn.LET(
_xlpm.clean,TRIM(SUBSTITUTE(SUBSTITUTE(P1149,CHAR(160),"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9" t="str">
        <f t="shared" si="18"/>
        <v/>
      </c>
    </row>
    <row r="1150" spans="3:19" ht="15.75" customHeight="1">
      <c r="C1150" s="15" t="str" cm="1">
        <f t="array" ref="C1150">IFERROR(_xlfn.TEXTJOIN("",TRUE,_xlfn._xlws.FILTER(MID(S1150,_xlfn.SEQUENCE(LEN(S1150)),1),ISNUMBER(SEARCH(MID(S1150,_xlfn.SEQUENCE(LEN(S1150)),1),"ABCDEFGHIJKLMNOPQRSTUVWXYZabcdefghijklmnopqrstuvwxyz0123456789,")))),"")</f>
        <v/>
      </c>
      <c r="G1150" s="20" t="str" cm="1">
        <f t="array" ref="G1150">IF(TRIM(P1150)="","",IF(SUM(COUNTIF(P1150,{"*NLGD*","*FWG*"}))&gt;0,P1150,IF(SUM(COUNTIF(P1150,{"*GL*","*DGB*","*DGI*","*GT*","*CS*","*PWU*","*DBI*","*SWU*"}))=0,P1150,IF(IFERROR(VALUE(SUBSTITUTE(SUBSTITUTE(O1150,"W",""),"""","")),0)&gt;52,P1150&amp;"-OVRSIZE-",P1150))))</f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s="18" t="str">
        <v/>
      </c>
      <c r="O1150" s="15" t="str" cm="1">
        <f t="array" ref="O1150">IFERROR(_xlfn.LET(
_xlpm.clean,TRIM(SUBSTITUTE(SUBSTITUTE(P1150,CHAR(160),"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0" t="str">
        <f t="shared" si="18"/>
        <v/>
      </c>
    </row>
    <row r="1151" spans="3:19" ht="15.75" customHeight="1">
      <c r="C1151" s="15" t="str" cm="1">
        <f t="array" ref="C1151">IFERROR(_xlfn.TEXTJOIN("",TRUE,_xlfn._xlws.FILTER(MID(S1151,_xlfn.SEQUENCE(LEN(S1151)),1),ISNUMBER(SEARCH(MID(S1151,_xlfn.SEQUENCE(LEN(S1151)),1),"ABCDEFGHIJKLMNOPQRSTUVWXYZabcdefghijklmnopqrstuvwxyz0123456789,")))),"")</f>
        <v/>
      </c>
      <c r="G1151" s="20" t="str" cm="1">
        <f t="array" ref="G1151">IF(TRIM(P1151)="","",IF(SUM(COUNTIF(P1151,{"*NLGD*","*FWG*"}))&gt;0,P1151,IF(SUM(COUNTIF(P1151,{"*GL*","*DGB*","*DGI*","*GT*","*CS*","*PWU*","*DBI*","*SWU*"}))=0,P1151,IF(IFERROR(VALUE(SUBSTITUTE(SUBSTITUTE(O1151,"W",""),"""","")),0)&gt;52,P1151&amp;"-OVRSIZE-",P1151))))</f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s="18" t="str">
        <v/>
      </c>
      <c r="O1151" s="15" t="str" cm="1">
        <f t="array" ref="O1151">IFERROR(_xlfn.LET(
_xlpm.clean,TRIM(SUBSTITUTE(SUBSTITUTE(P1151,CHAR(160),"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1" t="str">
        <f t="shared" si="18"/>
        <v/>
      </c>
    </row>
    <row r="1152" spans="3:19" ht="15.75" customHeight="1">
      <c r="C1152" s="15" t="str" cm="1">
        <f t="array" ref="C1152">IFERROR(_xlfn.TEXTJOIN("",TRUE,_xlfn._xlws.FILTER(MID(S1152,_xlfn.SEQUENCE(LEN(S1152)),1),ISNUMBER(SEARCH(MID(S1152,_xlfn.SEQUENCE(LEN(S1152)),1),"ABCDEFGHIJKLMNOPQRSTUVWXYZabcdefghijklmnopqrstuvwxyz0123456789,")))),"")</f>
        <v/>
      </c>
      <c r="G1152" s="20" t="str" cm="1">
        <f t="array" ref="G1152">IF(TRIM(P1152)="","",IF(SUM(COUNTIF(P1152,{"*NLGD*","*FWG*"}))&gt;0,P1152,IF(SUM(COUNTIF(P1152,{"*GL*","*DGB*","*DGI*","*GT*","*CS*","*PWU*","*DBI*","*SWU*"}))=0,P1152,IF(IFERROR(VALUE(SUBSTITUTE(SUBSTITUTE(O1152,"W",""),"""","")),0)&gt;52,P1152&amp;"-OVRSIZE-",P1152))))</f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s="18" t="str">
        <v/>
      </c>
      <c r="O1152" s="15" t="str" cm="1">
        <f t="array" ref="O1152">IFERROR(_xlfn.LET(
_xlpm.clean,TRIM(SUBSTITUTE(SUBSTITUTE(P1152,CHAR(160),"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2" t="str">
        <f t="shared" si="18"/>
        <v/>
      </c>
    </row>
    <row r="1153" spans="3:19" ht="15.75" customHeight="1">
      <c r="C1153" s="15" t="str" cm="1">
        <f t="array" ref="C1153">IFERROR(_xlfn.TEXTJOIN("",TRUE,_xlfn._xlws.FILTER(MID(S1153,_xlfn.SEQUENCE(LEN(S1153)),1),ISNUMBER(SEARCH(MID(S1153,_xlfn.SEQUENCE(LEN(S1153)),1),"ABCDEFGHIJKLMNOPQRSTUVWXYZabcdefghijklmnopqrstuvwxyz0123456789,")))),"")</f>
        <v/>
      </c>
      <c r="G1153" s="20" t="str" cm="1">
        <f t="array" ref="G1153">IF(TRIM(P1153)="","",IF(SUM(COUNTIF(P1153,{"*NLGD*","*FWG*"}))&gt;0,P1153,IF(SUM(COUNTIF(P1153,{"*GL*","*DGB*","*DGI*","*GT*","*CS*","*PWU*","*DBI*","*SWU*"}))=0,P1153,IF(IFERROR(VALUE(SUBSTITUTE(SUBSTITUTE(O1153,"W",""),"""","")),0)&gt;52,P1153&amp;"-OVRSIZE-",P1153))))</f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s="18" t="str">
        <v/>
      </c>
      <c r="O1153" s="15" t="str" cm="1">
        <f t="array" ref="O1153">IFERROR(_xlfn.LET(
_xlpm.clean,TRIM(SUBSTITUTE(SUBSTITUTE(P1153,CHAR(160),"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3" t="str">
        <f t="shared" si="18"/>
        <v/>
      </c>
    </row>
    <row r="1154" spans="3:19" ht="15.75" customHeight="1">
      <c r="C1154" s="15" t="str" cm="1">
        <f t="array" ref="C1154">IFERROR(_xlfn.TEXTJOIN("",TRUE,_xlfn._xlws.FILTER(MID(S1154,_xlfn.SEQUENCE(LEN(S1154)),1),ISNUMBER(SEARCH(MID(S1154,_xlfn.SEQUENCE(LEN(S1154)),1),"ABCDEFGHIJKLMNOPQRSTUVWXYZabcdefghijklmnopqrstuvwxyz0123456789,")))),"")</f>
        <v/>
      </c>
      <c r="G1154" s="20" t="str" cm="1">
        <f t="array" ref="G1154">IF(TRIM(P1154)="","",IF(SUM(COUNTIF(P1154,{"*NLGD*","*FWG*"}))&gt;0,P1154,IF(SUM(COUNTIF(P1154,{"*GL*","*DGB*","*DGI*","*GT*","*CS*","*PWU*","*DBI*","*SWU*"}))=0,P1154,IF(IFERROR(VALUE(SUBSTITUTE(SUBSTITUTE(O1154,"W",""),"""","")),0)&gt;52,P1154&amp;"-OVRSIZE-",P1154))))</f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s="18" t="str">
        <v/>
      </c>
      <c r="O1154" s="15" t="str" cm="1">
        <f t="array" ref="O1154">IFERROR(_xlfn.LET(
_xlpm.clean,TRIM(SUBSTITUTE(SUBSTITUTE(P1154,CHAR(160),"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4" t="str">
        <f t="shared" si="18"/>
        <v/>
      </c>
    </row>
    <row r="1155" spans="3:19" ht="15.75" customHeight="1">
      <c r="C1155" s="15" t="str" cm="1">
        <f t="array" ref="C1155">IFERROR(_xlfn.TEXTJOIN("",TRUE,_xlfn._xlws.FILTER(MID(S1155,_xlfn.SEQUENCE(LEN(S1155)),1),ISNUMBER(SEARCH(MID(S1155,_xlfn.SEQUENCE(LEN(S1155)),1),"ABCDEFGHIJKLMNOPQRSTUVWXYZabcdefghijklmnopqrstuvwxyz0123456789,")))),"")</f>
        <v/>
      </c>
      <c r="G1155" s="20" t="str" cm="1">
        <f t="array" ref="G1155">IF(TRIM(P1155)="","",IF(SUM(COUNTIF(P1155,{"*NLGD*","*FWG*"}))&gt;0,P1155,IF(SUM(COUNTIF(P1155,{"*GL*","*DGB*","*DGI*","*GT*","*CS*","*PWU*","*DBI*","*SWU*"}))=0,P1155,IF(IFERROR(VALUE(SUBSTITUTE(SUBSTITUTE(O1155,"W",""),"""","")),0)&gt;52,P1155&amp;"-OVRSIZE-",P1155))))</f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s="18" t="str">
        <v/>
      </c>
      <c r="O1155" s="15" t="str" cm="1">
        <f t="array" ref="O1155">IFERROR(_xlfn.LET(
_xlpm.clean,TRIM(SUBSTITUTE(SUBSTITUTE(P1155,CHAR(160),"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5" t="str">
        <f t="shared" si="18"/>
        <v/>
      </c>
    </row>
    <row r="1156" spans="3:19" ht="15.75" customHeight="1">
      <c r="C1156" s="15" t="str" cm="1">
        <f t="array" ref="C1156">IFERROR(_xlfn.TEXTJOIN("",TRUE,_xlfn._xlws.FILTER(MID(S1156,_xlfn.SEQUENCE(LEN(S1156)),1),ISNUMBER(SEARCH(MID(S1156,_xlfn.SEQUENCE(LEN(S1156)),1),"ABCDEFGHIJKLMNOPQRSTUVWXYZabcdefghijklmnopqrstuvwxyz0123456789,")))),"")</f>
        <v/>
      </c>
      <c r="G1156" s="20" t="str" cm="1">
        <f t="array" ref="G1156">IF(TRIM(P1156)="","",IF(SUM(COUNTIF(P1156,{"*NLGD*","*FWG*"}))&gt;0,P1156,IF(SUM(COUNTIF(P1156,{"*GL*","*DGB*","*DGI*","*GT*","*CS*","*PWU*","*DBI*","*SWU*"}))=0,P1156,IF(IFERROR(VALUE(SUBSTITUTE(SUBSTITUTE(O1156,"W",""),"""","")),0)&gt;52,P1156&amp;"-OVRSIZE-",P1156))))</f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s="18" t="str">
        <v/>
      </c>
      <c r="O1156" s="15" t="str" cm="1">
        <f t="array" ref="O1156">IFERROR(_xlfn.LET(
_xlpm.clean,TRIM(SUBSTITUTE(SUBSTITUTE(P1156,CHAR(160),"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6" t="str">
        <f t="shared" si="18"/>
        <v/>
      </c>
    </row>
    <row r="1157" spans="3:19" ht="15.75" customHeight="1">
      <c r="C1157" s="15" t="str" cm="1">
        <f t="array" ref="C1157">IFERROR(_xlfn.TEXTJOIN("",TRUE,_xlfn._xlws.FILTER(MID(S1157,_xlfn.SEQUENCE(LEN(S1157)),1),ISNUMBER(SEARCH(MID(S1157,_xlfn.SEQUENCE(LEN(S1157)),1),"ABCDEFGHIJKLMNOPQRSTUVWXYZabcdefghijklmnopqrstuvwxyz0123456789,")))),"")</f>
        <v/>
      </c>
      <c r="G1157" s="20" t="str" cm="1">
        <f t="array" ref="G1157">IF(TRIM(P1157)="","",IF(SUM(COUNTIF(P1157,{"*NLGD*","*FWG*"}))&gt;0,P1157,IF(SUM(COUNTIF(P1157,{"*GL*","*DGB*","*DGI*","*GT*","*CS*","*PWU*","*DBI*","*SWU*"}))=0,P1157,IF(IFERROR(VALUE(SUBSTITUTE(SUBSTITUTE(O1157,"W",""),"""","")),0)&gt;52,P1157&amp;"-OVRSIZE-",P1157))))</f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s="18" t="str">
        <v/>
      </c>
      <c r="O1157" s="15" t="str" cm="1">
        <f t="array" ref="O1157">IFERROR(_xlfn.LET(
_xlpm.clean,TRIM(SUBSTITUTE(SUBSTITUTE(P1157,CHAR(160),"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7" t="str">
        <f t="shared" si="18"/>
        <v/>
      </c>
    </row>
    <row r="1158" spans="3:19" ht="15.75" customHeight="1">
      <c r="C1158" s="15" t="str" cm="1">
        <f t="array" ref="C1158">IFERROR(_xlfn.TEXTJOIN("",TRUE,_xlfn._xlws.FILTER(MID(S1158,_xlfn.SEQUENCE(LEN(S1158)),1),ISNUMBER(SEARCH(MID(S1158,_xlfn.SEQUENCE(LEN(S1158)),1),"ABCDEFGHIJKLMNOPQRSTUVWXYZabcdefghijklmnopqrstuvwxyz0123456789,")))),"")</f>
        <v/>
      </c>
      <c r="G1158" s="20" t="str" cm="1">
        <f t="array" ref="G1158">IF(TRIM(P1158)="","",IF(SUM(COUNTIF(P1158,{"*NLGD*","*FWG*"}))&gt;0,P1158,IF(SUM(COUNTIF(P1158,{"*GL*","*DGB*","*DGI*","*GT*","*CS*","*PWU*","*DBI*","*SWU*"}))=0,P1158,IF(IFERROR(VALUE(SUBSTITUTE(SUBSTITUTE(O1158,"W",""),"""","")),0)&gt;52,P1158&amp;"-OVRSIZE-",P1158))))</f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s="18" t="str">
        <v/>
      </c>
      <c r="O1158" s="15" t="str" cm="1">
        <f t="array" ref="O1158">IFERROR(_xlfn.LET(
_xlpm.clean,TRIM(SUBSTITUTE(SUBSTITUTE(P1158,CHAR(160),"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8" t="str">
        <f t="shared" si="18"/>
        <v/>
      </c>
    </row>
    <row r="1159" spans="3:19" ht="15.75" customHeight="1">
      <c r="C1159" s="15" t="str" cm="1">
        <f t="array" ref="C1159">IFERROR(_xlfn.TEXTJOIN("",TRUE,_xlfn._xlws.FILTER(MID(S1159,_xlfn.SEQUENCE(LEN(S1159)),1),ISNUMBER(SEARCH(MID(S1159,_xlfn.SEQUENCE(LEN(S1159)),1),"ABCDEFGHIJKLMNOPQRSTUVWXYZabcdefghijklmnopqrstuvwxyz0123456789,")))),"")</f>
        <v/>
      </c>
      <c r="G1159" s="20" t="str" cm="1">
        <f t="array" ref="G1159">IF(TRIM(P1159)="","",IF(SUM(COUNTIF(P1159,{"*NLGD*","*FWG*"}))&gt;0,P1159,IF(SUM(COUNTIF(P1159,{"*GL*","*DGB*","*DGI*","*GT*","*CS*","*PWU*","*DBI*","*SWU*"}))=0,P1159,IF(IFERROR(VALUE(SUBSTITUTE(SUBSTITUTE(O1159,"W",""),"""","")),0)&gt;52,P1159&amp;"-OVRSIZE-",P1159))))</f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s="18" t="str">
        <v/>
      </c>
      <c r="O1159" s="15" t="str" cm="1">
        <f t="array" ref="O1159">IFERROR(_xlfn.LET(
_xlpm.clean,TRIM(SUBSTITUTE(SUBSTITUTE(P1159,CHAR(160),"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9" t="str">
        <f t="shared" si="18"/>
        <v/>
      </c>
    </row>
    <row r="1160" spans="3:19" ht="15.75" customHeight="1">
      <c r="C1160" s="15" t="str" cm="1">
        <f t="array" ref="C1160">IFERROR(_xlfn.TEXTJOIN("",TRUE,_xlfn._xlws.FILTER(MID(S1160,_xlfn.SEQUENCE(LEN(S1160)),1),ISNUMBER(SEARCH(MID(S1160,_xlfn.SEQUENCE(LEN(S1160)),1),"ABCDEFGHIJKLMNOPQRSTUVWXYZabcdefghijklmnopqrstuvwxyz0123456789,")))),"")</f>
        <v/>
      </c>
      <c r="G1160" s="20" t="str" cm="1">
        <f t="array" ref="G1160">IF(TRIM(P1160)="","",IF(SUM(COUNTIF(P1160,{"*NLGD*","*FWG*"}))&gt;0,P1160,IF(SUM(COUNTIF(P1160,{"*GL*","*DGB*","*DGI*","*GT*","*CS*","*PWU*","*DBI*","*SWU*"}))=0,P1160,IF(IFERROR(VALUE(SUBSTITUTE(SUBSTITUTE(O1160,"W",""),"""","")),0)&gt;52,P1160&amp;"-OVRSIZE-",P1160))))</f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s="18" t="str">
        <v/>
      </c>
      <c r="O1160" s="15" t="str" cm="1">
        <f t="array" ref="O1160">IFERROR(_xlfn.LET(
_xlpm.clean,TRIM(SUBSTITUTE(SUBSTITUTE(P1160,CHAR(160),"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0" t="str">
        <f t="shared" ref="S1160:S1223" si="19">IF(R1160="","",_xlfn.LET(
_xlpm.x,TRIM(SUBSTITUTE(SUBSTITUTE(SUBSTITUTE(SUBSTITUTE(R1160,":","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161" spans="3:19" ht="15.75" customHeight="1">
      <c r="C1161" s="15" t="str" cm="1">
        <f t="array" ref="C1161">IFERROR(_xlfn.TEXTJOIN("",TRUE,_xlfn._xlws.FILTER(MID(S1161,_xlfn.SEQUENCE(LEN(S1161)),1),ISNUMBER(SEARCH(MID(S1161,_xlfn.SEQUENCE(LEN(S1161)),1),"ABCDEFGHIJKLMNOPQRSTUVWXYZabcdefghijklmnopqrstuvwxyz0123456789,")))),"")</f>
        <v/>
      </c>
      <c r="G1161" s="20" t="str" cm="1">
        <f t="array" ref="G1161">IF(TRIM(P1161)="","",IF(SUM(COUNTIF(P1161,{"*NLGD*","*FWG*"}))&gt;0,P1161,IF(SUM(COUNTIF(P1161,{"*GL*","*DGB*","*DGI*","*GT*","*CS*","*PWU*","*DBI*","*SWU*"}))=0,P1161,IF(IFERROR(VALUE(SUBSTITUTE(SUBSTITUTE(O1161,"W",""),"""","")),0)&gt;52,P1161&amp;"-OVRSIZE-",P1161))))</f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s="18" t="str">
        <v/>
      </c>
      <c r="O1161" s="15" t="str" cm="1">
        <f t="array" ref="O1161">IFERROR(_xlfn.LET(
_xlpm.clean,TRIM(SUBSTITUTE(SUBSTITUTE(P1161,CHAR(160),"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1" t="str">
        <f t="shared" si="19"/>
        <v/>
      </c>
    </row>
    <row r="1162" spans="3:19" ht="15.75" customHeight="1">
      <c r="C1162" s="15" t="str" cm="1">
        <f t="array" ref="C1162">IFERROR(_xlfn.TEXTJOIN("",TRUE,_xlfn._xlws.FILTER(MID(S1162,_xlfn.SEQUENCE(LEN(S1162)),1),ISNUMBER(SEARCH(MID(S1162,_xlfn.SEQUENCE(LEN(S1162)),1),"ABCDEFGHIJKLMNOPQRSTUVWXYZabcdefghijklmnopqrstuvwxyz0123456789,")))),"")</f>
        <v/>
      </c>
      <c r="G1162" s="20" t="str" cm="1">
        <f t="array" ref="G1162">IF(TRIM(P1162)="","",IF(SUM(COUNTIF(P1162,{"*NLGD*","*FWG*"}))&gt;0,P1162,IF(SUM(COUNTIF(P1162,{"*GL*","*DGB*","*DGI*","*GT*","*CS*","*PWU*","*DBI*","*SWU*"}))=0,P1162,IF(IFERROR(VALUE(SUBSTITUTE(SUBSTITUTE(O1162,"W",""),"""","")),0)&gt;52,P1162&amp;"-OVRSIZE-",P1162))))</f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s="18" t="str">
        <v/>
      </c>
      <c r="O1162" s="15" t="str" cm="1">
        <f t="array" ref="O1162">IFERROR(_xlfn.LET(
_xlpm.clean,TRIM(SUBSTITUTE(SUBSTITUTE(P1162,CHAR(160),"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2" t="str">
        <f t="shared" si="19"/>
        <v/>
      </c>
    </row>
    <row r="1163" spans="3:19" ht="15.75" customHeight="1">
      <c r="C1163" s="15" t="str" cm="1">
        <f t="array" ref="C1163">IFERROR(_xlfn.TEXTJOIN("",TRUE,_xlfn._xlws.FILTER(MID(S1163,_xlfn.SEQUENCE(LEN(S1163)),1),ISNUMBER(SEARCH(MID(S1163,_xlfn.SEQUENCE(LEN(S1163)),1),"ABCDEFGHIJKLMNOPQRSTUVWXYZabcdefghijklmnopqrstuvwxyz0123456789,")))),"")</f>
        <v/>
      </c>
      <c r="G1163" s="20" t="str" cm="1">
        <f t="array" ref="G1163">IF(TRIM(P1163)="","",IF(SUM(COUNTIF(P1163,{"*NLGD*","*FWG*"}))&gt;0,P1163,IF(SUM(COUNTIF(P1163,{"*GL*","*DGB*","*DGI*","*GT*","*CS*","*PWU*","*DBI*","*SWU*"}))=0,P1163,IF(IFERROR(VALUE(SUBSTITUTE(SUBSTITUTE(O1163,"W",""),"""","")),0)&gt;52,P1163&amp;"-OVRSIZE-",P1163))))</f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s="18" t="str">
        <v/>
      </c>
      <c r="O1163" s="15" t="str" cm="1">
        <f t="array" ref="O1163">IFERROR(_xlfn.LET(
_xlpm.clean,TRIM(SUBSTITUTE(SUBSTITUTE(P1163,CHAR(160),"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3" t="str">
        <f t="shared" si="19"/>
        <v/>
      </c>
    </row>
    <row r="1164" spans="3:19" ht="15.75" customHeight="1">
      <c r="C1164" s="15" t="str" cm="1">
        <f t="array" ref="C1164">IFERROR(_xlfn.TEXTJOIN("",TRUE,_xlfn._xlws.FILTER(MID(S1164,_xlfn.SEQUENCE(LEN(S1164)),1),ISNUMBER(SEARCH(MID(S1164,_xlfn.SEQUENCE(LEN(S1164)),1),"ABCDEFGHIJKLMNOPQRSTUVWXYZabcdefghijklmnopqrstuvwxyz0123456789,")))),"")</f>
        <v/>
      </c>
      <c r="G1164" s="20" t="str" cm="1">
        <f t="array" ref="G1164">IF(TRIM(P1164)="","",IF(SUM(COUNTIF(P1164,{"*NLGD*","*FWG*"}))&gt;0,P1164,IF(SUM(COUNTIF(P1164,{"*GL*","*DGB*","*DGI*","*GT*","*CS*","*PWU*","*DBI*","*SWU*"}))=0,P1164,IF(IFERROR(VALUE(SUBSTITUTE(SUBSTITUTE(O1164,"W",""),"""","")),0)&gt;52,P1164&amp;"-OVRSIZE-",P1164))))</f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s="18" t="str">
        <v/>
      </c>
      <c r="O1164" s="15" t="str" cm="1">
        <f t="array" ref="O1164">IFERROR(_xlfn.LET(
_xlpm.clean,TRIM(SUBSTITUTE(SUBSTITUTE(P1164,CHAR(160),"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4" t="str">
        <f t="shared" si="19"/>
        <v/>
      </c>
    </row>
    <row r="1165" spans="3:19" ht="15.75" customHeight="1">
      <c r="C1165" s="15" t="str" cm="1">
        <f t="array" ref="C1165">IFERROR(_xlfn.TEXTJOIN("",TRUE,_xlfn._xlws.FILTER(MID(S1165,_xlfn.SEQUENCE(LEN(S1165)),1),ISNUMBER(SEARCH(MID(S1165,_xlfn.SEQUENCE(LEN(S1165)),1),"ABCDEFGHIJKLMNOPQRSTUVWXYZabcdefghijklmnopqrstuvwxyz0123456789,")))),"")</f>
        <v/>
      </c>
      <c r="G1165" s="20" t="str" cm="1">
        <f t="array" ref="G1165">IF(TRIM(P1165)="","",IF(SUM(COUNTIF(P1165,{"*NLGD*","*FWG*"}))&gt;0,P1165,IF(SUM(COUNTIF(P1165,{"*GL*","*DGB*","*DGI*","*GT*","*CS*","*PWU*","*DBI*","*SWU*"}))=0,P1165,IF(IFERROR(VALUE(SUBSTITUTE(SUBSTITUTE(O1165,"W",""),"""","")),0)&gt;52,P1165&amp;"-OVRSIZE-",P1165))))</f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s="18" t="str">
        <v/>
      </c>
      <c r="O1165" s="15" t="str" cm="1">
        <f t="array" ref="O1165">IFERROR(_xlfn.LET(
_xlpm.clean,TRIM(SUBSTITUTE(SUBSTITUTE(P1165,CHAR(160),"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5" t="str">
        <f t="shared" si="19"/>
        <v/>
      </c>
    </row>
    <row r="1166" spans="3:19" ht="15.75" customHeight="1">
      <c r="C1166" s="15" t="str" cm="1">
        <f t="array" ref="C1166">IFERROR(_xlfn.TEXTJOIN("",TRUE,_xlfn._xlws.FILTER(MID(S1166,_xlfn.SEQUENCE(LEN(S1166)),1),ISNUMBER(SEARCH(MID(S1166,_xlfn.SEQUENCE(LEN(S1166)),1),"ABCDEFGHIJKLMNOPQRSTUVWXYZabcdefghijklmnopqrstuvwxyz0123456789,")))),"")</f>
        <v/>
      </c>
      <c r="G1166" s="20" t="str" cm="1">
        <f t="array" ref="G1166">IF(TRIM(P1166)="","",IF(SUM(COUNTIF(P1166,{"*NLGD*","*FWG*"}))&gt;0,P1166,IF(SUM(COUNTIF(P1166,{"*GL*","*DGB*","*DGI*","*GT*","*CS*","*PWU*","*DBI*","*SWU*"}))=0,P1166,IF(IFERROR(VALUE(SUBSTITUTE(SUBSTITUTE(O1166,"W",""),"""","")),0)&gt;52,P1166&amp;"-OVRSIZE-",P1166))))</f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s="18" t="str">
        <v/>
      </c>
      <c r="O1166" s="15" t="str" cm="1">
        <f t="array" ref="O1166">IFERROR(_xlfn.LET(
_xlpm.clean,TRIM(SUBSTITUTE(SUBSTITUTE(P1166,CHAR(160),"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6" t="str">
        <f t="shared" si="19"/>
        <v/>
      </c>
    </row>
    <row r="1167" spans="3:19" ht="15.75" customHeight="1">
      <c r="C1167" s="15" t="str" cm="1">
        <f t="array" ref="C1167">IFERROR(_xlfn.TEXTJOIN("",TRUE,_xlfn._xlws.FILTER(MID(S1167,_xlfn.SEQUENCE(LEN(S1167)),1),ISNUMBER(SEARCH(MID(S1167,_xlfn.SEQUENCE(LEN(S1167)),1),"ABCDEFGHIJKLMNOPQRSTUVWXYZabcdefghijklmnopqrstuvwxyz0123456789,")))),"")</f>
        <v/>
      </c>
      <c r="G1167" s="20" t="str" cm="1">
        <f t="array" ref="G1167">IF(TRIM(P1167)="","",IF(SUM(COUNTIF(P1167,{"*NLGD*","*FWG*"}))&gt;0,P1167,IF(SUM(COUNTIF(P1167,{"*GL*","*DGB*","*DGI*","*GT*","*CS*","*PWU*","*DBI*","*SWU*"}))=0,P1167,IF(IFERROR(VALUE(SUBSTITUTE(SUBSTITUTE(O1167,"W",""),"""","")),0)&gt;52,P1167&amp;"-OVRSIZE-",P1167))))</f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s="18" t="str">
        <v/>
      </c>
      <c r="O1167" s="15" t="str" cm="1">
        <f t="array" ref="O1167">IFERROR(_xlfn.LET(
_xlpm.clean,TRIM(SUBSTITUTE(SUBSTITUTE(P1167,CHAR(160),"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7" t="str">
        <f t="shared" si="19"/>
        <v/>
      </c>
    </row>
    <row r="1168" spans="3:19" ht="15.75" customHeight="1">
      <c r="C1168" s="15" t="str" cm="1">
        <f t="array" ref="C1168">IFERROR(_xlfn.TEXTJOIN("",TRUE,_xlfn._xlws.FILTER(MID(S1168,_xlfn.SEQUENCE(LEN(S1168)),1),ISNUMBER(SEARCH(MID(S1168,_xlfn.SEQUENCE(LEN(S1168)),1),"ABCDEFGHIJKLMNOPQRSTUVWXYZabcdefghijklmnopqrstuvwxyz0123456789,")))),"")</f>
        <v/>
      </c>
      <c r="G1168" s="20" t="str" cm="1">
        <f t="array" ref="G1168">IF(TRIM(P1168)="","",IF(SUM(COUNTIF(P1168,{"*NLGD*","*FWG*"}))&gt;0,P1168,IF(SUM(COUNTIF(P1168,{"*GL*","*DGB*","*DGI*","*GT*","*CS*","*PWU*","*DBI*","*SWU*"}))=0,P1168,IF(IFERROR(VALUE(SUBSTITUTE(SUBSTITUTE(O1168,"W",""),"""","")),0)&gt;52,P1168&amp;"-OVRSIZE-",P1168))))</f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s="18" t="str">
        <v/>
      </c>
      <c r="O1168" s="15" t="str" cm="1">
        <f t="array" ref="O1168">IFERROR(_xlfn.LET(
_xlpm.clean,TRIM(SUBSTITUTE(SUBSTITUTE(P1168,CHAR(160),"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8" t="str">
        <f t="shared" si="19"/>
        <v/>
      </c>
    </row>
    <row r="1169" spans="3:19" ht="15.75" customHeight="1">
      <c r="C1169" s="15" t="str" cm="1">
        <f t="array" ref="C1169">IFERROR(_xlfn.TEXTJOIN("",TRUE,_xlfn._xlws.FILTER(MID(S1169,_xlfn.SEQUENCE(LEN(S1169)),1),ISNUMBER(SEARCH(MID(S1169,_xlfn.SEQUENCE(LEN(S1169)),1),"ABCDEFGHIJKLMNOPQRSTUVWXYZabcdefghijklmnopqrstuvwxyz0123456789,")))),"")</f>
        <v/>
      </c>
      <c r="G1169" s="20" t="str" cm="1">
        <f t="array" ref="G1169">IF(TRIM(P1169)="","",IF(SUM(COUNTIF(P1169,{"*NLGD*","*FWG*"}))&gt;0,P1169,IF(SUM(COUNTIF(P1169,{"*GL*","*DGB*","*DGI*","*GT*","*CS*","*PWU*","*DBI*","*SWU*"}))=0,P1169,IF(IFERROR(VALUE(SUBSTITUTE(SUBSTITUTE(O1169,"W",""),"""","")),0)&gt;52,P1169&amp;"-OVRSIZE-",P1169))))</f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s="18" t="str">
        <v/>
      </c>
      <c r="O1169" s="15" t="str" cm="1">
        <f t="array" ref="O1169">IFERROR(_xlfn.LET(
_xlpm.clean,TRIM(SUBSTITUTE(SUBSTITUTE(P1169,CHAR(160),"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9" t="str">
        <f t="shared" si="19"/>
        <v/>
      </c>
    </row>
    <row r="1170" spans="3:19" ht="15.75" customHeight="1">
      <c r="C1170" s="15" t="str" cm="1">
        <f t="array" ref="C1170">IFERROR(_xlfn.TEXTJOIN("",TRUE,_xlfn._xlws.FILTER(MID(S1170,_xlfn.SEQUENCE(LEN(S1170)),1),ISNUMBER(SEARCH(MID(S1170,_xlfn.SEQUENCE(LEN(S1170)),1),"ABCDEFGHIJKLMNOPQRSTUVWXYZabcdefghijklmnopqrstuvwxyz0123456789,")))),"")</f>
        <v/>
      </c>
      <c r="G1170" s="20" t="str" cm="1">
        <f t="array" ref="G1170">IF(TRIM(P1170)="","",IF(SUM(COUNTIF(P1170,{"*NLGD*","*FWG*"}))&gt;0,P1170,IF(SUM(COUNTIF(P1170,{"*GL*","*DGB*","*DGI*","*GT*","*CS*","*PWU*","*DBI*","*SWU*"}))=0,P1170,IF(IFERROR(VALUE(SUBSTITUTE(SUBSTITUTE(O1170,"W",""),"""","")),0)&gt;52,P1170&amp;"-OVRSIZE-",P1170))))</f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s="18" t="str">
        <v/>
      </c>
      <c r="O1170" s="15" t="str" cm="1">
        <f t="array" ref="O1170">IFERROR(_xlfn.LET(
_xlpm.clean,TRIM(SUBSTITUTE(SUBSTITUTE(P1170,CHAR(160),"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0" t="str">
        <f t="shared" si="19"/>
        <v/>
      </c>
    </row>
    <row r="1171" spans="3:19" ht="15.75" customHeight="1">
      <c r="C1171" s="15" t="str" cm="1">
        <f t="array" ref="C1171">IFERROR(_xlfn.TEXTJOIN("",TRUE,_xlfn._xlws.FILTER(MID(S1171,_xlfn.SEQUENCE(LEN(S1171)),1),ISNUMBER(SEARCH(MID(S1171,_xlfn.SEQUENCE(LEN(S1171)),1),"ABCDEFGHIJKLMNOPQRSTUVWXYZabcdefghijklmnopqrstuvwxyz0123456789,")))),"")</f>
        <v/>
      </c>
      <c r="G1171" s="20" t="str" cm="1">
        <f t="array" ref="G1171">IF(TRIM(P1171)="","",IF(SUM(COUNTIF(P1171,{"*NLGD*","*FWG*"}))&gt;0,P1171,IF(SUM(COUNTIF(P1171,{"*GL*","*DGB*","*DGI*","*GT*","*CS*","*PWU*","*DBI*","*SWU*"}))=0,P1171,IF(IFERROR(VALUE(SUBSTITUTE(SUBSTITUTE(O1171,"W",""),"""","")),0)&gt;52,P1171&amp;"-OVRSIZE-",P1171))))</f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s="18" t="str">
        <v/>
      </c>
      <c r="O1171" s="15" t="str" cm="1">
        <f t="array" ref="O1171">IFERROR(_xlfn.LET(
_xlpm.clean,TRIM(SUBSTITUTE(SUBSTITUTE(P1171,CHAR(160),"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1" t="str">
        <f t="shared" si="19"/>
        <v/>
      </c>
    </row>
    <row r="1172" spans="3:19" ht="15.75" customHeight="1">
      <c r="C1172" s="15" t="str" cm="1">
        <f t="array" ref="C1172">IFERROR(_xlfn.TEXTJOIN("",TRUE,_xlfn._xlws.FILTER(MID(S1172,_xlfn.SEQUENCE(LEN(S1172)),1),ISNUMBER(SEARCH(MID(S1172,_xlfn.SEQUENCE(LEN(S1172)),1),"ABCDEFGHIJKLMNOPQRSTUVWXYZabcdefghijklmnopqrstuvwxyz0123456789,")))),"")</f>
        <v/>
      </c>
      <c r="G1172" s="20" t="str" cm="1">
        <f t="array" ref="G1172">IF(TRIM(P1172)="","",IF(SUM(COUNTIF(P1172,{"*NLGD*","*FWG*"}))&gt;0,P1172,IF(SUM(COUNTIF(P1172,{"*GL*","*DGB*","*DGI*","*GT*","*CS*","*PWU*","*DBI*","*SWU*"}))=0,P1172,IF(IFERROR(VALUE(SUBSTITUTE(SUBSTITUTE(O1172,"W",""),"""","")),0)&gt;52,P1172&amp;"-OVRSIZE-",P1172))))</f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s="18" t="str">
        <v/>
      </c>
      <c r="O1172" s="15" t="str" cm="1">
        <f t="array" ref="O1172">IFERROR(_xlfn.LET(
_xlpm.clean,TRIM(SUBSTITUTE(SUBSTITUTE(P1172,CHAR(160),"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2" t="str">
        <f t="shared" si="19"/>
        <v/>
      </c>
    </row>
    <row r="1173" spans="3:19" ht="15.75" customHeight="1">
      <c r="C1173" s="15" t="str" cm="1">
        <f t="array" ref="C1173">IFERROR(_xlfn.TEXTJOIN("",TRUE,_xlfn._xlws.FILTER(MID(S1173,_xlfn.SEQUENCE(LEN(S1173)),1),ISNUMBER(SEARCH(MID(S1173,_xlfn.SEQUENCE(LEN(S1173)),1),"ABCDEFGHIJKLMNOPQRSTUVWXYZabcdefghijklmnopqrstuvwxyz0123456789,")))),"")</f>
        <v/>
      </c>
      <c r="G1173" s="20" t="str" cm="1">
        <f t="array" ref="G1173">IF(TRIM(P1173)="","",IF(SUM(COUNTIF(P1173,{"*NLGD*","*FWG*"}))&gt;0,P1173,IF(SUM(COUNTIF(P1173,{"*GL*","*DGB*","*DGI*","*GT*","*CS*","*PWU*","*DBI*","*SWU*"}))=0,P1173,IF(IFERROR(VALUE(SUBSTITUTE(SUBSTITUTE(O1173,"W",""),"""","")),0)&gt;52,P1173&amp;"-OVRSIZE-",P1173))))</f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s="18" t="str">
        <v/>
      </c>
      <c r="O1173" s="15" t="str" cm="1">
        <f t="array" ref="O1173">IFERROR(_xlfn.LET(
_xlpm.clean,TRIM(SUBSTITUTE(SUBSTITUTE(P1173,CHAR(160),"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3" t="str">
        <f t="shared" si="19"/>
        <v/>
      </c>
    </row>
    <row r="1174" spans="3:19" ht="15.75" customHeight="1">
      <c r="C1174" s="15" t="str" cm="1">
        <f t="array" ref="C1174">IFERROR(_xlfn.TEXTJOIN("",TRUE,_xlfn._xlws.FILTER(MID(S1174,_xlfn.SEQUENCE(LEN(S1174)),1),ISNUMBER(SEARCH(MID(S1174,_xlfn.SEQUENCE(LEN(S1174)),1),"ABCDEFGHIJKLMNOPQRSTUVWXYZabcdefghijklmnopqrstuvwxyz0123456789,")))),"")</f>
        <v/>
      </c>
      <c r="G1174" s="20" t="str" cm="1">
        <f t="array" ref="G1174">IF(TRIM(P1174)="","",IF(SUM(COUNTIF(P1174,{"*NLGD*","*FWG*"}))&gt;0,P1174,IF(SUM(COUNTIF(P1174,{"*GL*","*DGB*","*DGI*","*GT*","*CS*","*PWU*","*DBI*","*SWU*"}))=0,P1174,IF(IFERROR(VALUE(SUBSTITUTE(SUBSTITUTE(O1174,"W",""),"""","")),0)&gt;52,P1174&amp;"-OVRSIZE-",P1174))))</f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s="18" t="str">
        <v/>
      </c>
      <c r="O1174" s="15" t="str" cm="1">
        <f t="array" ref="O1174">IFERROR(_xlfn.LET(
_xlpm.clean,TRIM(SUBSTITUTE(SUBSTITUTE(P1174,CHAR(160),"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4" t="str">
        <f t="shared" si="19"/>
        <v/>
      </c>
    </row>
    <row r="1175" spans="3:19" ht="15.75" customHeight="1">
      <c r="C1175" s="15" t="str" cm="1">
        <f t="array" ref="C1175">IFERROR(_xlfn.TEXTJOIN("",TRUE,_xlfn._xlws.FILTER(MID(S1175,_xlfn.SEQUENCE(LEN(S1175)),1),ISNUMBER(SEARCH(MID(S1175,_xlfn.SEQUENCE(LEN(S1175)),1),"ABCDEFGHIJKLMNOPQRSTUVWXYZabcdefghijklmnopqrstuvwxyz0123456789,")))),"")</f>
        <v/>
      </c>
      <c r="G1175" s="20" t="str" cm="1">
        <f t="array" ref="G1175">IF(TRIM(P1175)="","",IF(SUM(COUNTIF(P1175,{"*NLGD*","*FWG*"}))&gt;0,P1175,IF(SUM(COUNTIF(P1175,{"*GL*","*DGB*","*DGI*","*GT*","*CS*","*PWU*","*DBI*","*SWU*"}))=0,P1175,IF(IFERROR(VALUE(SUBSTITUTE(SUBSTITUTE(O1175,"W",""),"""","")),0)&gt;52,P1175&amp;"-OVRSIZE-",P1175))))</f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s="18" t="str">
        <v/>
      </c>
      <c r="O1175" s="15" t="str" cm="1">
        <f t="array" ref="O1175">IFERROR(_xlfn.LET(
_xlpm.clean,TRIM(SUBSTITUTE(SUBSTITUTE(P1175,CHAR(160),"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5" t="str">
        <f t="shared" si="19"/>
        <v/>
      </c>
    </row>
    <row r="1176" spans="3:19" ht="15.75" customHeight="1">
      <c r="C1176" s="15" t="str" cm="1">
        <f t="array" ref="C1176">IFERROR(_xlfn.TEXTJOIN("",TRUE,_xlfn._xlws.FILTER(MID(S1176,_xlfn.SEQUENCE(LEN(S1176)),1),ISNUMBER(SEARCH(MID(S1176,_xlfn.SEQUENCE(LEN(S1176)),1),"ABCDEFGHIJKLMNOPQRSTUVWXYZabcdefghijklmnopqrstuvwxyz0123456789,")))),"")</f>
        <v/>
      </c>
      <c r="G1176" s="20" t="str" cm="1">
        <f t="array" ref="G1176">IF(TRIM(P1176)="","",IF(SUM(COUNTIF(P1176,{"*NLGD*","*FWG*"}))&gt;0,P1176,IF(SUM(COUNTIF(P1176,{"*GL*","*DGB*","*DGI*","*GT*","*CS*","*PWU*","*DBI*","*SWU*"}))=0,P1176,IF(IFERROR(VALUE(SUBSTITUTE(SUBSTITUTE(O1176,"W",""),"""","")),0)&gt;52,P1176&amp;"-OVRSIZE-",P1176))))</f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s="18" t="str">
        <v/>
      </c>
      <c r="O1176" s="15" t="str" cm="1">
        <f t="array" ref="O1176">IFERROR(_xlfn.LET(
_xlpm.clean,TRIM(SUBSTITUTE(SUBSTITUTE(P1176,CHAR(160),"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6" t="str">
        <f t="shared" si="19"/>
        <v/>
      </c>
    </row>
    <row r="1177" spans="3:19" ht="15.75" customHeight="1">
      <c r="C1177" s="15" t="str" cm="1">
        <f t="array" ref="C1177">IFERROR(_xlfn.TEXTJOIN("",TRUE,_xlfn._xlws.FILTER(MID(S1177,_xlfn.SEQUENCE(LEN(S1177)),1),ISNUMBER(SEARCH(MID(S1177,_xlfn.SEQUENCE(LEN(S1177)),1),"ABCDEFGHIJKLMNOPQRSTUVWXYZabcdefghijklmnopqrstuvwxyz0123456789,")))),"")</f>
        <v/>
      </c>
      <c r="G1177" s="20" t="str" cm="1">
        <f t="array" ref="G1177">IF(TRIM(P1177)="","",IF(SUM(COUNTIF(P1177,{"*NLGD*","*FWG*"}))&gt;0,P1177,IF(SUM(COUNTIF(P1177,{"*GL*","*DGB*","*DGI*","*GT*","*CS*","*PWU*","*DBI*","*SWU*"}))=0,P1177,IF(IFERROR(VALUE(SUBSTITUTE(SUBSTITUTE(O1177,"W",""),"""","")),0)&gt;52,P1177&amp;"-OVRSIZE-",P1177))))</f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s="18" t="str">
        <v/>
      </c>
      <c r="O1177" s="15" t="str" cm="1">
        <f t="array" ref="O1177">IFERROR(_xlfn.LET(
_xlpm.clean,TRIM(SUBSTITUTE(SUBSTITUTE(P1177,CHAR(160),"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7" t="str">
        <f t="shared" si="19"/>
        <v/>
      </c>
    </row>
    <row r="1178" spans="3:19" ht="15.75" customHeight="1">
      <c r="C1178" s="15" t="str" cm="1">
        <f t="array" ref="C1178">IFERROR(_xlfn.TEXTJOIN("",TRUE,_xlfn._xlws.FILTER(MID(S1178,_xlfn.SEQUENCE(LEN(S1178)),1),ISNUMBER(SEARCH(MID(S1178,_xlfn.SEQUENCE(LEN(S1178)),1),"ABCDEFGHIJKLMNOPQRSTUVWXYZabcdefghijklmnopqrstuvwxyz0123456789,")))),"")</f>
        <v/>
      </c>
      <c r="G1178" s="20" t="str" cm="1">
        <f t="array" ref="G1178">IF(TRIM(P1178)="","",IF(SUM(COUNTIF(P1178,{"*NLGD*","*FWG*"}))&gt;0,P1178,IF(SUM(COUNTIF(P1178,{"*GL*","*DGB*","*DGI*","*GT*","*CS*","*PWU*","*DBI*","*SWU*"}))=0,P1178,IF(IFERROR(VALUE(SUBSTITUTE(SUBSTITUTE(O1178,"W",""),"""","")),0)&gt;52,P1178&amp;"-OVRSIZE-",P1178))))</f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s="18" t="str">
        <v/>
      </c>
      <c r="O1178" s="15" t="str" cm="1">
        <f t="array" ref="O1178">IFERROR(_xlfn.LET(
_xlpm.clean,TRIM(SUBSTITUTE(SUBSTITUTE(P1178,CHAR(160),"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8" t="str">
        <f t="shared" si="19"/>
        <v/>
      </c>
    </row>
    <row r="1179" spans="3:19" ht="15.75" customHeight="1">
      <c r="C1179" s="15" t="str" cm="1">
        <f t="array" ref="C1179">IFERROR(_xlfn.TEXTJOIN("",TRUE,_xlfn._xlws.FILTER(MID(S1179,_xlfn.SEQUENCE(LEN(S1179)),1),ISNUMBER(SEARCH(MID(S1179,_xlfn.SEQUENCE(LEN(S1179)),1),"ABCDEFGHIJKLMNOPQRSTUVWXYZabcdefghijklmnopqrstuvwxyz0123456789,")))),"")</f>
        <v/>
      </c>
      <c r="G1179" s="20" t="str" cm="1">
        <f t="array" ref="G1179">IF(TRIM(P1179)="","",IF(SUM(COUNTIF(P1179,{"*NLGD*","*FWG*"}))&gt;0,P1179,IF(SUM(COUNTIF(P1179,{"*GL*","*DGB*","*DGI*","*GT*","*CS*","*PWU*","*DBI*","*SWU*"}))=0,P1179,IF(IFERROR(VALUE(SUBSTITUTE(SUBSTITUTE(O1179,"W",""),"""","")),0)&gt;52,P1179&amp;"-OVRSIZE-",P1179))))</f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s="18" t="str">
        <v/>
      </c>
      <c r="O1179" s="15" t="str" cm="1">
        <f t="array" ref="O1179">IFERROR(_xlfn.LET(
_xlpm.clean,TRIM(SUBSTITUTE(SUBSTITUTE(P1179,CHAR(160),"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9" t="str">
        <f t="shared" si="19"/>
        <v/>
      </c>
    </row>
    <row r="1180" spans="3:19" ht="15.75" customHeight="1">
      <c r="C1180" s="15" t="str" cm="1">
        <f t="array" ref="C1180">IFERROR(_xlfn.TEXTJOIN("",TRUE,_xlfn._xlws.FILTER(MID(S1180,_xlfn.SEQUENCE(LEN(S1180)),1),ISNUMBER(SEARCH(MID(S1180,_xlfn.SEQUENCE(LEN(S1180)),1),"ABCDEFGHIJKLMNOPQRSTUVWXYZabcdefghijklmnopqrstuvwxyz0123456789,")))),"")</f>
        <v/>
      </c>
      <c r="G1180" s="20" t="str" cm="1">
        <f t="array" ref="G1180">IF(TRIM(P1180)="","",IF(SUM(COUNTIF(P1180,{"*NLGD*","*FWG*"}))&gt;0,P1180,IF(SUM(COUNTIF(P1180,{"*GL*","*DGB*","*DGI*","*GT*","*CS*","*PWU*","*DBI*","*SWU*"}))=0,P1180,IF(IFERROR(VALUE(SUBSTITUTE(SUBSTITUTE(O1180,"W",""),"""","")),0)&gt;52,P1180&amp;"-OVRSIZE-",P1180))))</f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s="18" t="str">
        <v/>
      </c>
      <c r="O1180" s="15" t="str" cm="1">
        <f t="array" ref="O1180">IFERROR(_xlfn.LET(
_xlpm.clean,TRIM(SUBSTITUTE(SUBSTITUTE(P1180,CHAR(160),"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0" t="str">
        <f t="shared" si="19"/>
        <v/>
      </c>
    </row>
    <row r="1181" spans="3:19" ht="15.75" customHeight="1">
      <c r="C1181" s="15" t="str" cm="1">
        <f t="array" ref="C1181">IFERROR(_xlfn.TEXTJOIN("",TRUE,_xlfn._xlws.FILTER(MID(S1181,_xlfn.SEQUENCE(LEN(S1181)),1),ISNUMBER(SEARCH(MID(S1181,_xlfn.SEQUENCE(LEN(S1181)),1),"ABCDEFGHIJKLMNOPQRSTUVWXYZabcdefghijklmnopqrstuvwxyz0123456789,")))),"")</f>
        <v/>
      </c>
      <c r="G1181" s="20" t="str" cm="1">
        <f t="array" ref="G1181">IF(TRIM(P1181)="","",IF(SUM(COUNTIF(P1181,{"*NLGD*","*FWG*"}))&gt;0,P1181,IF(SUM(COUNTIF(P1181,{"*GL*","*DGB*","*DGI*","*GT*","*CS*","*PWU*","*DBI*","*SWU*"}))=0,P1181,IF(IFERROR(VALUE(SUBSTITUTE(SUBSTITUTE(O1181,"W",""),"""","")),0)&gt;52,P1181&amp;"-OVRSIZE-",P1181))))</f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s="18" t="str">
        <v/>
      </c>
      <c r="O1181" s="15" t="str" cm="1">
        <f t="array" ref="O1181">IFERROR(_xlfn.LET(
_xlpm.clean,TRIM(SUBSTITUTE(SUBSTITUTE(P1181,CHAR(160),"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1" t="str">
        <f t="shared" si="19"/>
        <v/>
      </c>
    </row>
    <row r="1182" spans="3:19" ht="15.75" customHeight="1">
      <c r="C1182" s="15" t="str" cm="1">
        <f t="array" ref="C1182">IFERROR(_xlfn.TEXTJOIN("",TRUE,_xlfn._xlws.FILTER(MID(S1182,_xlfn.SEQUENCE(LEN(S1182)),1),ISNUMBER(SEARCH(MID(S1182,_xlfn.SEQUENCE(LEN(S1182)),1),"ABCDEFGHIJKLMNOPQRSTUVWXYZabcdefghijklmnopqrstuvwxyz0123456789,")))),"")</f>
        <v/>
      </c>
      <c r="G1182" s="20" t="str" cm="1">
        <f t="array" ref="G1182">IF(TRIM(P1182)="","",IF(SUM(COUNTIF(P1182,{"*NLGD*","*FWG*"}))&gt;0,P1182,IF(SUM(COUNTIF(P1182,{"*GL*","*DGB*","*DGI*","*GT*","*CS*","*PWU*","*DBI*","*SWU*"}))=0,P1182,IF(IFERROR(VALUE(SUBSTITUTE(SUBSTITUTE(O1182,"W",""),"""","")),0)&gt;52,P1182&amp;"-OVRSIZE-",P1182))))</f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s="18" t="str">
        <v/>
      </c>
      <c r="O1182" s="15" t="str" cm="1">
        <f t="array" ref="O1182">IFERROR(_xlfn.LET(
_xlpm.clean,TRIM(SUBSTITUTE(SUBSTITUTE(P1182,CHAR(160),"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2" t="str">
        <f t="shared" si="19"/>
        <v/>
      </c>
    </row>
    <row r="1183" spans="3:19" ht="15.75" customHeight="1">
      <c r="C1183" s="15" t="str" cm="1">
        <f t="array" ref="C1183">IFERROR(_xlfn.TEXTJOIN("",TRUE,_xlfn._xlws.FILTER(MID(S1183,_xlfn.SEQUENCE(LEN(S1183)),1),ISNUMBER(SEARCH(MID(S1183,_xlfn.SEQUENCE(LEN(S1183)),1),"ABCDEFGHIJKLMNOPQRSTUVWXYZabcdefghijklmnopqrstuvwxyz0123456789,")))),"")</f>
        <v/>
      </c>
      <c r="G1183" s="20" t="str" cm="1">
        <f t="array" ref="G1183">IF(TRIM(P1183)="","",IF(SUM(COUNTIF(P1183,{"*NLGD*","*FWG*"}))&gt;0,P1183,IF(SUM(COUNTIF(P1183,{"*GL*","*DGB*","*DGI*","*GT*","*CS*","*PWU*","*DBI*","*SWU*"}))=0,P1183,IF(IFERROR(VALUE(SUBSTITUTE(SUBSTITUTE(O1183,"W",""),"""","")),0)&gt;52,P1183&amp;"-OVRSIZE-",P1183))))</f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s="18" t="str">
        <v/>
      </c>
      <c r="O1183" s="15" t="str" cm="1">
        <f t="array" ref="O1183">IFERROR(_xlfn.LET(
_xlpm.clean,TRIM(SUBSTITUTE(SUBSTITUTE(P1183,CHAR(160),"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3" t="str">
        <f t="shared" si="19"/>
        <v/>
      </c>
    </row>
    <row r="1184" spans="3:19" ht="15.75" customHeight="1">
      <c r="C1184" s="15" t="str" cm="1">
        <f t="array" ref="C1184">IFERROR(_xlfn.TEXTJOIN("",TRUE,_xlfn._xlws.FILTER(MID(S1184,_xlfn.SEQUENCE(LEN(S1184)),1),ISNUMBER(SEARCH(MID(S1184,_xlfn.SEQUENCE(LEN(S1184)),1),"ABCDEFGHIJKLMNOPQRSTUVWXYZabcdefghijklmnopqrstuvwxyz0123456789,")))),"")</f>
        <v/>
      </c>
      <c r="G1184" s="20" t="str" cm="1">
        <f t="array" ref="G1184">IF(TRIM(P1184)="","",IF(SUM(COUNTIF(P1184,{"*NLGD*","*FWG*"}))&gt;0,P1184,IF(SUM(COUNTIF(P1184,{"*GL*","*DGB*","*DGI*","*GT*","*CS*","*PWU*","*DBI*","*SWU*"}))=0,P1184,IF(IFERROR(VALUE(SUBSTITUTE(SUBSTITUTE(O1184,"W",""),"""","")),0)&gt;52,P1184&amp;"-OVRSIZE-",P1184))))</f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s="18" t="str">
        <v/>
      </c>
      <c r="O1184" s="15" t="str" cm="1">
        <f t="array" ref="O1184">IFERROR(_xlfn.LET(
_xlpm.clean,TRIM(SUBSTITUTE(SUBSTITUTE(P1184,CHAR(160),"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4" t="str">
        <f t="shared" si="19"/>
        <v/>
      </c>
    </row>
    <row r="1185" spans="3:19" ht="15.75" customHeight="1">
      <c r="C1185" s="15" t="str" cm="1">
        <f t="array" ref="C1185">IFERROR(_xlfn.TEXTJOIN("",TRUE,_xlfn._xlws.FILTER(MID(S1185,_xlfn.SEQUENCE(LEN(S1185)),1),ISNUMBER(SEARCH(MID(S1185,_xlfn.SEQUENCE(LEN(S1185)),1),"ABCDEFGHIJKLMNOPQRSTUVWXYZabcdefghijklmnopqrstuvwxyz0123456789,")))),"")</f>
        <v/>
      </c>
      <c r="G1185" s="20" t="str" cm="1">
        <f t="array" ref="G1185">IF(TRIM(P1185)="","",IF(SUM(COUNTIF(P1185,{"*NLGD*","*FWG*"}))&gt;0,P1185,IF(SUM(COUNTIF(P1185,{"*GL*","*DGB*","*DGI*","*GT*","*CS*","*PWU*","*DBI*","*SWU*"}))=0,P1185,IF(IFERROR(VALUE(SUBSTITUTE(SUBSTITUTE(O1185,"W",""),"""","")),0)&gt;52,P1185&amp;"-OVRSIZE-",P1185))))</f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s="18" t="str">
        <v/>
      </c>
      <c r="O1185" s="15" t="str" cm="1">
        <f t="array" ref="O1185">IFERROR(_xlfn.LET(
_xlpm.clean,TRIM(SUBSTITUTE(SUBSTITUTE(P1185,CHAR(160),"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5" t="str">
        <f t="shared" si="19"/>
        <v/>
      </c>
    </row>
    <row r="1186" spans="3:19" ht="15.75" customHeight="1">
      <c r="C1186" s="15" t="str" cm="1">
        <f t="array" ref="C1186">IFERROR(_xlfn.TEXTJOIN("",TRUE,_xlfn._xlws.FILTER(MID(S1186,_xlfn.SEQUENCE(LEN(S1186)),1),ISNUMBER(SEARCH(MID(S1186,_xlfn.SEQUENCE(LEN(S1186)),1),"ABCDEFGHIJKLMNOPQRSTUVWXYZabcdefghijklmnopqrstuvwxyz0123456789,")))),"")</f>
        <v/>
      </c>
      <c r="G1186" s="20" t="str" cm="1">
        <f t="array" ref="G1186">IF(TRIM(P1186)="","",IF(SUM(COUNTIF(P1186,{"*NLGD*","*FWG*"}))&gt;0,P1186,IF(SUM(COUNTIF(P1186,{"*GL*","*DGB*","*DGI*","*GT*","*CS*","*PWU*","*DBI*","*SWU*"}))=0,P1186,IF(IFERROR(VALUE(SUBSTITUTE(SUBSTITUTE(O1186,"W",""),"""","")),0)&gt;52,P1186&amp;"-OVRSIZE-",P1186))))</f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s="18" t="str">
        <v/>
      </c>
      <c r="O1186" s="15" t="str" cm="1">
        <f t="array" ref="O1186">IFERROR(_xlfn.LET(
_xlpm.clean,TRIM(SUBSTITUTE(SUBSTITUTE(P1186,CHAR(160),"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6" t="str">
        <f t="shared" si="19"/>
        <v/>
      </c>
    </row>
    <row r="1187" spans="3:19" ht="15.75" customHeight="1">
      <c r="C1187" s="15" t="str" cm="1">
        <f t="array" ref="C1187">IFERROR(_xlfn.TEXTJOIN("",TRUE,_xlfn._xlws.FILTER(MID(S1187,_xlfn.SEQUENCE(LEN(S1187)),1),ISNUMBER(SEARCH(MID(S1187,_xlfn.SEQUENCE(LEN(S1187)),1),"ABCDEFGHIJKLMNOPQRSTUVWXYZabcdefghijklmnopqrstuvwxyz0123456789,")))),"")</f>
        <v/>
      </c>
      <c r="G1187" s="20" t="str" cm="1">
        <f t="array" ref="G1187">IF(TRIM(P1187)="","",IF(SUM(COUNTIF(P1187,{"*NLGD*","*FWG*"}))&gt;0,P1187,IF(SUM(COUNTIF(P1187,{"*GL*","*DGB*","*DGI*","*GT*","*CS*","*PWU*","*DBI*","*SWU*"}))=0,P1187,IF(IFERROR(VALUE(SUBSTITUTE(SUBSTITUTE(O1187,"W",""),"""","")),0)&gt;52,P1187&amp;"-OVRSIZE-",P1187))))</f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s="18" t="str">
        <v/>
      </c>
      <c r="O1187" s="15" t="str" cm="1">
        <f t="array" ref="O1187">IFERROR(_xlfn.LET(
_xlpm.clean,TRIM(SUBSTITUTE(SUBSTITUTE(P1187,CHAR(160),"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7" t="str">
        <f t="shared" si="19"/>
        <v/>
      </c>
    </row>
    <row r="1188" spans="3:19" ht="15.75" customHeight="1">
      <c r="C1188" s="15" t="str" cm="1">
        <f t="array" ref="C1188">IFERROR(_xlfn.TEXTJOIN("",TRUE,_xlfn._xlws.FILTER(MID(S1188,_xlfn.SEQUENCE(LEN(S1188)),1),ISNUMBER(SEARCH(MID(S1188,_xlfn.SEQUENCE(LEN(S1188)),1),"ABCDEFGHIJKLMNOPQRSTUVWXYZabcdefghijklmnopqrstuvwxyz0123456789,")))),"")</f>
        <v/>
      </c>
      <c r="G1188" s="20" t="str" cm="1">
        <f t="array" ref="G1188">IF(TRIM(P1188)="","",IF(SUM(COUNTIF(P1188,{"*NLGD*","*FWG*"}))&gt;0,P1188,IF(SUM(COUNTIF(P1188,{"*GL*","*DGB*","*DGI*","*GT*","*CS*","*PWU*","*DBI*","*SWU*"}))=0,P1188,IF(IFERROR(VALUE(SUBSTITUTE(SUBSTITUTE(O1188,"W",""),"""","")),0)&gt;52,P1188&amp;"-OVRSIZE-",P1188))))</f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s="18" t="str">
        <v/>
      </c>
      <c r="O1188" s="15" t="str" cm="1">
        <f t="array" ref="O1188">IFERROR(_xlfn.LET(
_xlpm.clean,TRIM(SUBSTITUTE(SUBSTITUTE(P1188,CHAR(160),"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8" t="str">
        <f t="shared" si="19"/>
        <v/>
      </c>
    </row>
    <row r="1189" spans="3:19" ht="15.75" customHeight="1">
      <c r="C1189" s="15" t="str" cm="1">
        <f t="array" ref="C1189">IFERROR(_xlfn.TEXTJOIN("",TRUE,_xlfn._xlws.FILTER(MID(S1189,_xlfn.SEQUENCE(LEN(S1189)),1),ISNUMBER(SEARCH(MID(S1189,_xlfn.SEQUENCE(LEN(S1189)),1),"ABCDEFGHIJKLMNOPQRSTUVWXYZabcdefghijklmnopqrstuvwxyz0123456789,")))),"")</f>
        <v/>
      </c>
      <c r="G1189" s="20" t="str" cm="1">
        <f t="array" ref="G1189">IF(TRIM(P1189)="","",IF(SUM(COUNTIF(P1189,{"*NLGD*","*FWG*"}))&gt;0,P1189,IF(SUM(COUNTIF(P1189,{"*GL*","*DGB*","*DGI*","*GT*","*CS*","*PWU*","*DBI*","*SWU*"}))=0,P1189,IF(IFERROR(VALUE(SUBSTITUTE(SUBSTITUTE(O1189,"W",""),"""","")),0)&gt;52,P1189&amp;"-OVRSIZE-",P1189))))</f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s="18" t="str">
        <v/>
      </c>
      <c r="O1189" s="15" t="str" cm="1">
        <f t="array" ref="O1189">IFERROR(_xlfn.LET(
_xlpm.clean,TRIM(SUBSTITUTE(SUBSTITUTE(P1189,CHAR(160),"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9" t="str">
        <f t="shared" si="19"/>
        <v/>
      </c>
    </row>
    <row r="1190" spans="3:19" ht="15.75" customHeight="1">
      <c r="C1190" s="15" t="str" cm="1">
        <f t="array" ref="C1190">IFERROR(_xlfn.TEXTJOIN("",TRUE,_xlfn._xlws.FILTER(MID(S1190,_xlfn.SEQUENCE(LEN(S1190)),1),ISNUMBER(SEARCH(MID(S1190,_xlfn.SEQUENCE(LEN(S1190)),1),"ABCDEFGHIJKLMNOPQRSTUVWXYZabcdefghijklmnopqrstuvwxyz0123456789,")))),"")</f>
        <v/>
      </c>
      <c r="G1190" s="20" t="str" cm="1">
        <f t="array" ref="G1190">IF(TRIM(P1190)="","",IF(SUM(COUNTIF(P1190,{"*NLGD*","*FWG*"}))&gt;0,P1190,IF(SUM(COUNTIF(P1190,{"*GL*","*DGB*","*DGI*","*GT*","*CS*","*PWU*","*DBI*","*SWU*"}))=0,P1190,IF(IFERROR(VALUE(SUBSTITUTE(SUBSTITUTE(O1190,"W",""),"""","")),0)&gt;52,P1190&amp;"-OVRSIZE-",P1190))))</f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s="18" t="str">
        <v/>
      </c>
      <c r="O1190" s="15" t="str" cm="1">
        <f t="array" ref="O1190">IFERROR(_xlfn.LET(
_xlpm.clean,TRIM(SUBSTITUTE(SUBSTITUTE(P1190,CHAR(160),"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0" t="str">
        <f t="shared" si="19"/>
        <v/>
      </c>
    </row>
    <row r="1191" spans="3:19" ht="15.75" customHeight="1">
      <c r="C1191" s="15" t="str" cm="1">
        <f t="array" ref="C1191">IFERROR(_xlfn.TEXTJOIN("",TRUE,_xlfn._xlws.FILTER(MID(S1191,_xlfn.SEQUENCE(LEN(S1191)),1),ISNUMBER(SEARCH(MID(S1191,_xlfn.SEQUENCE(LEN(S1191)),1),"ABCDEFGHIJKLMNOPQRSTUVWXYZabcdefghijklmnopqrstuvwxyz0123456789,")))),"")</f>
        <v/>
      </c>
      <c r="G1191" s="20" t="str" cm="1">
        <f t="array" ref="G1191">IF(TRIM(P1191)="","",IF(SUM(COUNTIF(P1191,{"*NLGD*","*FWG*"}))&gt;0,P1191,IF(SUM(COUNTIF(P1191,{"*GL*","*DGB*","*DGI*","*GT*","*CS*","*PWU*","*DBI*","*SWU*"}))=0,P1191,IF(IFERROR(VALUE(SUBSTITUTE(SUBSTITUTE(O1191,"W",""),"""","")),0)&gt;52,P1191&amp;"-OVRSIZE-",P1191))))</f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s="18" t="str">
        <v/>
      </c>
      <c r="O1191" s="15" t="str" cm="1">
        <f t="array" ref="O1191">IFERROR(_xlfn.LET(
_xlpm.clean,TRIM(SUBSTITUTE(SUBSTITUTE(P1191,CHAR(160),"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1" t="str">
        <f t="shared" si="19"/>
        <v/>
      </c>
    </row>
    <row r="1192" spans="3:19" ht="15.75" customHeight="1">
      <c r="C1192" s="15" t="str" cm="1">
        <f t="array" ref="C1192">IFERROR(_xlfn.TEXTJOIN("",TRUE,_xlfn._xlws.FILTER(MID(S1192,_xlfn.SEQUENCE(LEN(S1192)),1),ISNUMBER(SEARCH(MID(S1192,_xlfn.SEQUENCE(LEN(S1192)),1),"ABCDEFGHIJKLMNOPQRSTUVWXYZabcdefghijklmnopqrstuvwxyz0123456789,")))),"")</f>
        <v/>
      </c>
      <c r="G1192" s="20" t="str" cm="1">
        <f t="array" ref="G1192">IF(TRIM(P1192)="","",IF(SUM(COUNTIF(P1192,{"*NLGD*","*FWG*"}))&gt;0,P1192,IF(SUM(COUNTIF(P1192,{"*GL*","*DGB*","*DGI*","*GT*","*CS*","*PWU*","*DBI*","*SWU*"}))=0,P1192,IF(IFERROR(VALUE(SUBSTITUTE(SUBSTITUTE(O1192,"W",""),"""","")),0)&gt;52,P1192&amp;"-OVRSIZE-",P1192))))</f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s="18" t="str">
        <v/>
      </c>
      <c r="O1192" s="15" t="str" cm="1">
        <f t="array" ref="O1192">IFERROR(_xlfn.LET(
_xlpm.clean,TRIM(SUBSTITUTE(SUBSTITUTE(P1192,CHAR(160),"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2" t="str">
        <f t="shared" si="19"/>
        <v/>
      </c>
    </row>
    <row r="1193" spans="3:19" ht="15.75" customHeight="1">
      <c r="C1193" s="15" t="str" cm="1">
        <f t="array" ref="C1193">IFERROR(_xlfn.TEXTJOIN("",TRUE,_xlfn._xlws.FILTER(MID(S1193,_xlfn.SEQUENCE(LEN(S1193)),1),ISNUMBER(SEARCH(MID(S1193,_xlfn.SEQUENCE(LEN(S1193)),1),"ABCDEFGHIJKLMNOPQRSTUVWXYZabcdefghijklmnopqrstuvwxyz0123456789,")))),"")</f>
        <v/>
      </c>
      <c r="G1193" s="20" t="str" cm="1">
        <f t="array" ref="G1193">IF(TRIM(P1193)="","",IF(SUM(COUNTIF(P1193,{"*NLGD*","*FWG*"}))&gt;0,P1193,IF(SUM(COUNTIF(P1193,{"*GL*","*DGB*","*DGI*","*GT*","*CS*","*PWU*","*DBI*","*SWU*"}))=0,P1193,IF(IFERROR(VALUE(SUBSTITUTE(SUBSTITUTE(O1193,"W",""),"""","")),0)&gt;52,P1193&amp;"-OVRSIZE-",P1193))))</f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s="18" t="str">
        <v/>
      </c>
      <c r="O1193" s="15" t="str" cm="1">
        <f t="array" ref="O1193">IFERROR(_xlfn.LET(
_xlpm.clean,TRIM(SUBSTITUTE(SUBSTITUTE(P1193,CHAR(160),"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3" t="str">
        <f t="shared" si="19"/>
        <v/>
      </c>
    </row>
    <row r="1194" spans="3:19" ht="15.75" customHeight="1">
      <c r="C1194" s="15" t="str" cm="1">
        <f t="array" ref="C1194">IFERROR(_xlfn.TEXTJOIN("",TRUE,_xlfn._xlws.FILTER(MID(S1194,_xlfn.SEQUENCE(LEN(S1194)),1),ISNUMBER(SEARCH(MID(S1194,_xlfn.SEQUENCE(LEN(S1194)),1),"ABCDEFGHIJKLMNOPQRSTUVWXYZabcdefghijklmnopqrstuvwxyz0123456789,")))),"")</f>
        <v/>
      </c>
      <c r="G1194" s="20" t="str" cm="1">
        <f t="array" ref="G1194">IF(TRIM(P1194)="","",IF(SUM(COUNTIF(P1194,{"*NLGD*","*FWG*"}))&gt;0,P1194,IF(SUM(COUNTIF(P1194,{"*GL*","*DGB*","*DGI*","*GT*","*CS*","*PWU*","*DBI*","*SWU*"}))=0,P1194,IF(IFERROR(VALUE(SUBSTITUTE(SUBSTITUTE(O1194,"W",""),"""","")),0)&gt;52,P1194&amp;"-OVRSIZE-",P1194))))</f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s="18" t="str">
        <v/>
      </c>
      <c r="O1194" s="15" t="str" cm="1">
        <f t="array" ref="O1194">IFERROR(_xlfn.LET(
_xlpm.clean,TRIM(SUBSTITUTE(SUBSTITUTE(P1194,CHAR(160),"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4" t="str">
        <f t="shared" si="19"/>
        <v/>
      </c>
    </row>
    <row r="1195" spans="3:19" ht="15.75" customHeight="1">
      <c r="C1195" s="15" t="str" cm="1">
        <f t="array" ref="C1195">IFERROR(_xlfn.TEXTJOIN("",TRUE,_xlfn._xlws.FILTER(MID(S1195,_xlfn.SEQUENCE(LEN(S1195)),1),ISNUMBER(SEARCH(MID(S1195,_xlfn.SEQUENCE(LEN(S1195)),1),"ABCDEFGHIJKLMNOPQRSTUVWXYZabcdefghijklmnopqrstuvwxyz0123456789,")))),"")</f>
        <v/>
      </c>
      <c r="G1195" s="20" t="str" cm="1">
        <f t="array" ref="G1195">IF(TRIM(P1195)="","",IF(SUM(COUNTIF(P1195,{"*NLGD*","*FWG*"}))&gt;0,P1195,IF(SUM(COUNTIF(P1195,{"*GL*","*DGB*","*DGI*","*GT*","*CS*","*PWU*","*DBI*","*SWU*"}))=0,P1195,IF(IFERROR(VALUE(SUBSTITUTE(SUBSTITUTE(O1195,"W",""),"""","")),0)&gt;52,P1195&amp;"-OVRSIZE-",P1195))))</f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s="18" t="str">
        <v/>
      </c>
      <c r="O1195" s="15" t="str" cm="1">
        <f t="array" ref="O1195">IFERROR(_xlfn.LET(
_xlpm.clean,TRIM(SUBSTITUTE(SUBSTITUTE(P1195,CHAR(160),"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5" t="str">
        <f t="shared" si="19"/>
        <v/>
      </c>
    </row>
    <row r="1196" spans="3:19" ht="15.75" customHeight="1">
      <c r="C1196" s="15" t="str" cm="1">
        <f t="array" ref="C1196">IFERROR(_xlfn.TEXTJOIN("",TRUE,_xlfn._xlws.FILTER(MID(S1196,_xlfn.SEQUENCE(LEN(S1196)),1),ISNUMBER(SEARCH(MID(S1196,_xlfn.SEQUENCE(LEN(S1196)),1),"ABCDEFGHIJKLMNOPQRSTUVWXYZabcdefghijklmnopqrstuvwxyz0123456789,")))),"")</f>
        <v/>
      </c>
      <c r="G1196" s="20" t="str" cm="1">
        <f t="array" ref="G1196">IF(TRIM(P1196)="","",IF(SUM(COUNTIF(P1196,{"*NLGD*","*FWG*"}))&gt;0,P1196,IF(SUM(COUNTIF(P1196,{"*GL*","*DGB*","*DGI*","*GT*","*CS*","*PWU*","*DBI*","*SWU*"}))=0,P1196,IF(IFERROR(VALUE(SUBSTITUTE(SUBSTITUTE(O1196,"W",""),"""","")),0)&gt;52,P1196&amp;"-OVRSIZE-",P1196))))</f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s="18" t="str">
        <v/>
      </c>
      <c r="O1196" s="15" t="str" cm="1">
        <f t="array" ref="O1196">IFERROR(_xlfn.LET(
_xlpm.clean,TRIM(SUBSTITUTE(SUBSTITUTE(P1196,CHAR(160),"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6" t="str">
        <f t="shared" si="19"/>
        <v/>
      </c>
    </row>
    <row r="1197" spans="3:19" ht="15.75" customHeight="1">
      <c r="C1197" s="15" t="str" cm="1">
        <f t="array" ref="C1197">IFERROR(_xlfn.TEXTJOIN("",TRUE,_xlfn._xlws.FILTER(MID(S1197,_xlfn.SEQUENCE(LEN(S1197)),1),ISNUMBER(SEARCH(MID(S1197,_xlfn.SEQUENCE(LEN(S1197)),1),"ABCDEFGHIJKLMNOPQRSTUVWXYZabcdefghijklmnopqrstuvwxyz0123456789,")))),"")</f>
        <v/>
      </c>
      <c r="G1197" s="20" t="str" cm="1">
        <f t="array" ref="G1197">IF(TRIM(P1197)="","",IF(SUM(COUNTIF(P1197,{"*NLGD*","*FWG*"}))&gt;0,P1197,IF(SUM(COUNTIF(P1197,{"*GL*","*DGB*","*DGI*","*GT*","*CS*","*PWU*","*DBI*","*SWU*"}))=0,P1197,IF(IFERROR(VALUE(SUBSTITUTE(SUBSTITUTE(O1197,"W",""),"""","")),0)&gt;52,P1197&amp;"-OVRSIZE-",P1197))))</f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s="18" t="str">
        <v/>
      </c>
      <c r="O1197" s="15" t="str" cm="1">
        <f t="array" ref="O1197">IFERROR(_xlfn.LET(
_xlpm.clean,TRIM(SUBSTITUTE(SUBSTITUTE(P1197,CHAR(160),"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7" t="str">
        <f t="shared" si="19"/>
        <v/>
      </c>
    </row>
    <row r="1198" spans="3:19" ht="15.75" customHeight="1">
      <c r="C1198" s="15" t="str" cm="1">
        <f t="array" ref="C1198">IFERROR(_xlfn.TEXTJOIN("",TRUE,_xlfn._xlws.FILTER(MID(S1198,_xlfn.SEQUENCE(LEN(S1198)),1),ISNUMBER(SEARCH(MID(S1198,_xlfn.SEQUENCE(LEN(S1198)),1),"ABCDEFGHIJKLMNOPQRSTUVWXYZabcdefghijklmnopqrstuvwxyz0123456789,")))),"")</f>
        <v/>
      </c>
      <c r="G1198" s="20" t="str" cm="1">
        <f t="array" ref="G1198">IF(TRIM(P1198)="","",IF(SUM(COUNTIF(P1198,{"*NLGD*","*FWG*"}))&gt;0,P1198,IF(SUM(COUNTIF(P1198,{"*GL*","*DGB*","*DGI*","*GT*","*CS*","*PWU*","*DBI*","*SWU*"}))=0,P1198,IF(IFERROR(VALUE(SUBSTITUTE(SUBSTITUTE(O1198,"W",""),"""","")),0)&gt;52,P1198&amp;"-OVRSIZE-",P1198))))</f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s="18" t="str">
        <v/>
      </c>
      <c r="O1198" s="15" t="str" cm="1">
        <f t="array" ref="O1198">IFERROR(_xlfn.LET(
_xlpm.clean,TRIM(SUBSTITUTE(SUBSTITUTE(P1198,CHAR(160),"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8" t="str">
        <f t="shared" si="19"/>
        <v/>
      </c>
    </row>
    <row r="1199" spans="3:19" ht="15.75" customHeight="1">
      <c r="C1199" s="15" t="str" cm="1">
        <f t="array" ref="C1199">IFERROR(_xlfn.TEXTJOIN("",TRUE,_xlfn._xlws.FILTER(MID(S1199,_xlfn.SEQUENCE(LEN(S1199)),1),ISNUMBER(SEARCH(MID(S1199,_xlfn.SEQUENCE(LEN(S1199)),1),"ABCDEFGHIJKLMNOPQRSTUVWXYZabcdefghijklmnopqrstuvwxyz0123456789,")))),"")</f>
        <v/>
      </c>
      <c r="G1199" s="20" t="str" cm="1">
        <f t="array" ref="G1199">IF(TRIM(P1199)="","",IF(SUM(COUNTIF(P1199,{"*NLGD*","*FWG*"}))&gt;0,P1199,IF(SUM(COUNTIF(P1199,{"*GL*","*DGB*","*DGI*","*GT*","*CS*","*PWU*","*DBI*","*SWU*"}))=0,P1199,IF(IFERROR(VALUE(SUBSTITUTE(SUBSTITUTE(O1199,"W",""),"""","")),0)&gt;52,P1199&amp;"-OVRSIZE-",P1199))))</f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s="18" t="str">
        <v/>
      </c>
      <c r="O1199" s="15" t="str" cm="1">
        <f t="array" ref="O1199">IFERROR(_xlfn.LET(
_xlpm.clean,TRIM(SUBSTITUTE(SUBSTITUTE(P1199,CHAR(160),"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9" t="str">
        <f t="shared" si="19"/>
        <v/>
      </c>
    </row>
    <row r="1200" spans="3:19" ht="15.75" customHeight="1">
      <c r="C1200" s="15" t="str" cm="1">
        <f t="array" ref="C1200">IFERROR(_xlfn.TEXTJOIN("",TRUE,_xlfn._xlws.FILTER(MID(S1200,_xlfn.SEQUENCE(LEN(S1200)),1),ISNUMBER(SEARCH(MID(S1200,_xlfn.SEQUENCE(LEN(S1200)),1),"ABCDEFGHIJKLMNOPQRSTUVWXYZabcdefghijklmnopqrstuvwxyz0123456789,")))),"")</f>
        <v/>
      </c>
      <c r="G1200" s="20" t="str" cm="1">
        <f t="array" ref="G1200">IF(TRIM(P1200)="","",IF(SUM(COUNTIF(P1200,{"*NLGD*","*FWG*"}))&gt;0,P1200,IF(SUM(COUNTIF(P1200,{"*GL*","*DGB*","*DGI*","*GT*","*CS*","*PWU*","*DBI*","*SWU*"}))=0,P1200,IF(IFERROR(VALUE(SUBSTITUTE(SUBSTITUTE(O1200,"W",""),"""","")),0)&gt;52,P1200&amp;"-OVRSIZE-",P1200))))</f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s="18" t="str">
        <v/>
      </c>
      <c r="O1200" s="15" t="str" cm="1">
        <f t="array" ref="O1200">IFERROR(_xlfn.LET(
_xlpm.clean,TRIM(SUBSTITUTE(SUBSTITUTE(P1200,CHAR(160),"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0" t="str">
        <f t="shared" si="19"/>
        <v/>
      </c>
    </row>
    <row r="1201" spans="3:19" ht="15.75" customHeight="1">
      <c r="C1201" s="15" t="str" cm="1">
        <f t="array" ref="C1201">IFERROR(_xlfn.TEXTJOIN("",TRUE,_xlfn._xlws.FILTER(MID(S1201,_xlfn.SEQUENCE(LEN(S1201)),1),ISNUMBER(SEARCH(MID(S1201,_xlfn.SEQUENCE(LEN(S1201)),1),"ABCDEFGHIJKLMNOPQRSTUVWXYZabcdefghijklmnopqrstuvwxyz0123456789,")))),"")</f>
        <v/>
      </c>
      <c r="G1201" s="20" t="str" cm="1">
        <f t="array" ref="G1201">IF(TRIM(P1201)="","",IF(SUM(COUNTIF(P1201,{"*NLGD*","*FWG*"}))&gt;0,P1201,IF(SUM(COUNTIF(P1201,{"*GL*","*DGB*","*DGI*","*GT*","*CS*","*PWU*","*DBI*","*SWU*"}))=0,P1201,IF(IFERROR(VALUE(SUBSTITUTE(SUBSTITUTE(O1201,"W",""),"""","")),0)&gt;52,P1201&amp;"-OVRSIZE-",P1201))))</f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s="18" t="str">
        <v/>
      </c>
      <c r="O1201" s="15" t="str" cm="1">
        <f t="array" ref="O1201">IFERROR(_xlfn.LET(
_xlpm.clean,TRIM(SUBSTITUTE(SUBSTITUTE(P1201,CHAR(160),"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1" t="str">
        <f t="shared" si="19"/>
        <v/>
      </c>
    </row>
    <row r="1202" spans="3:19" ht="15.75" customHeight="1">
      <c r="C1202" s="15" t="str" cm="1">
        <f t="array" ref="C1202">IFERROR(_xlfn.TEXTJOIN("",TRUE,_xlfn._xlws.FILTER(MID(S1202,_xlfn.SEQUENCE(LEN(S1202)),1),ISNUMBER(SEARCH(MID(S1202,_xlfn.SEQUENCE(LEN(S1202)),1),"ABCDEFGHIJKLMNOPQRSTUVWXYZabcdefghijklmnopqrstuvwxyz0123456789,")))),"")</f>
        <v/>
      </c>
      <c r="G1202" s="20" t="str" cm="1">
        <f t="array" ref="G1202">IF(TRIM(P1202)="","",IF(SUM(COUNTIF(P1202,{"*NLGD*","*FWG*"}))&gt;0,P1202,IF(SUM(COUNTIF(P1202,{"*GL*","*DGB*","*DGI*","*GT*","*CS*","*PWU*","*DBI*","*SWU*"}))=0,P1202,IF(IFERROR(VALUE(SUBSTITUTE(SUBSTITUTE(O1202,"W",""),"""","")),0)&gt;52,P1202&amp;"-OVRSIZE-",P1202))))</f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s="18" t="str">
        <v/>
      </c>
      <c r="O1202" s="15" t="str" cm="1">
        <f t="array" ref="O1202">IFERROR(_xlfn.LET(
_xlpm.clean,TRIM(SUBSTITUTE(SUBSTITUTE(P1202,CHAR(160),"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2" t="str">
        <f t="shared" si="19"/>
        <v/>
      </c>
    </row>
    <row r="1203" spans="3:19" ht="15.75" customHeight="1">
      <c r="C1203" s="15" t="str" cm="1">
        <f t="array" ref="C1203">IFERROR(_xlfn.TEXTJOIN("",TRUE,_xlfn._xlws.FILTER(MID(S1203,_xlfn.SEQUENCE(LEN(S1203)),1),ISNUMBER(SEARCH(MID(S1203,_xlfn.SEQUENCE(LEN(S1203)),1),"ABCDEFGHIJKLMNOPQRSTUVWXYZabcdefghijklmnopqrstuvwxyz0123456789,")))),"")</f>
        <v/>
      </c>
      <c r="G1203" s="20" t="str" cm="1">
        <f t="array" ref="G1203">IF(TRIM(P1203)="","",IF(SUM(COUNTIF(P1203,{"*NLGD*","*FWG*"}))&gt;0,P1203,IF(SUM(COUNTIF(P1203,{"*GL*","*DGB*","*DGI*","*GT*","*CS*","*PWU*","*DBI*","*SWU*"}))=0,P1203,IF(IFERROR(VALUE(SUBSTITUTE(SUBSTITUTE(O1203,"W",""),"""","")),0)&gt;52,P1203&amp;"-OVRSIZE-",P1203))))</f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s="18" t="str">
        <v/>
      </c>
      <c r="O1203" s="15" t="str" cm="1">
        <f t="array" ref="O1203">IFERROR(_xlfn.LET(
_xlpm.clean,TRIM(SUBSTITUTE(SUBSTITUTE(P1203,CHAR(160),"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3" t="str">
        <f t="shared" si="19"/>
        <v/>
      </c>
    </row>
    <row r="1204" spans="3:19" ht="15.75" customHeight="1">
      <c r="C1204" s="15" t="str" cm="1">
        <f t="array" ref="C1204">IFERROR(_xlfn.TEXTJOIN("",TRUE,_xlfn._xlws.FILTER(MID(S1204,_xlfn.SEQUENCE(LEN(S1204)),1),ISNUMBER(SEARCH(MID(S1204,_xlfn.SEQUENCE(LEN(S1204)),1),"ABCDEFGHIJKLMNOPQRSTUVWXYZabcdefghijklmnopqrstuvwxyz0123456789,")))),"")</f>
        <v/>
      </c>
      <c r="G1204" s="20" t="str" cm="1">
        <f t="array" ref="G1204">IF(TRIM(P1204)="","",IF(SUM(COUNTIF(P1204,{"*NLGD*","*FWG*"}))&gt;0,P1204,IF(SUM(COUNTIF(P1204,{"*GL*","*DGB*","*DGI*","*GT*","*CS*","*PWU*","*DBI*","*SWU*"}))=0,P1204,IF(IFERROR(VALUE(SUBSTITUTE(SUBSTITUTE(O1204,"W",""),"""","")),0)&gt;52,P1204&amp;"-OVRSIZE-",P1204))))</f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s="18" t="str">
        <v/>
      </c>
      <c r="O1204" s="15" t="str" cm="1">
        <f t="array" ref="O1204">IFERROR(_xlfn.LET(
_xlpm.clean,TRIM(SUBSTITUTE(SUBSTITUTE(P1204,CHAR(160),"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4" t="str">
        <f t="shared" si="19"/>
        <v/>
      </c>
    </row>
    <row r="1205" spans="3:19" ht="15.75" customHeight="1">
      <c r="C1205" s="15" t="str" cm="1">
        <f t="array" ref="C1205">IFERROR(_xlfn.TEXTJOIN("",TRUE,_xlfn._xlws.FILTER(MID(S1205,_xlfn.SEQUENCE(LEN(S1205)),1),ISNUMBER(SEARCH(MID(S1205,_xlfn.SEQUENCE(LEN(S1205)),1),"ABCDEFGHIJKLMNOPQRSTUVWXYZabcdefghijklmnopqrstuvwxyz0123456789,")))),"")</f>
        <v/>
      </c>
      <c r="G1205" s="20" t="str" cm="1">
        <f t="array" ref="G1205">IF(TRIM(P1205)="","",IF(SUM(COUNTIF(P1205,{"*NLGD*","*FWG*"}))&gt;0,P1205,IF(SUM(COUNTIF(P1205,{"*GL*","*DGB*","*DGI*","*GT*","*CS*","*PWU*","*DBI*","*SWU*"}))=0,P1205,IF(IFERROR(VALUE(SUBSTITUTE(SUBSTITUTE(O1205,"W",""),"""","")),0)&gt;52,P1205&amp;"-OVRSIZE-",P1205))))</f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s="18" t="str">
        <v/>
      </c>
      <c r="O1205" s="15" t="str" cm="1">
        <f t="array" ref="O1205">IFERROR(_xlfn.LET(
_xlpm.clean,TRIM(SUBSTITUTE(SUBSTITUTE(P1205,CHAR(160),"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5" t="str">
        <f t="shared" si="19"/>
        <v/>
      </c>
    </row>
    <row r="1206" spans="3:19" ht="15.75" customHeight="1">
      <c r="C1206" s="15" t="str" cm="1">
        <f t="array" ref="C1206">IFERROR(_xlfn.TEXTJOIN("",TRUE,_xlfn._xlws.FILTER(MID(S1206,_xlfn.SEQUENCE(LEN(S1206)),1),ISNUMBER(SEARCH(MID(S1206,_xlfn.SEQUENCE(LEN(S1206)),1),"ABCDEFGHIJKLMNOPQRSTUVWXYZabcdefghijklmnopqrstuvwxyz0123456789,")))),"")</f>
        <v/>
      </c>
      <c r="G1206" s="20" t="str" cm="1">
        <f t="array" ref="G1206">IF(TRIM(P1206)="","",IF(SUM(COUNTIF(P1206,{"*NLGD*","*FWG*"}))&gt;0,P1206,IF(SUM(COUNTIF(P1206,{"*GL*","*DGB*","*DGI*","*GT*","*CS*","*PWU*","*DBI*","*SWU*"}))=0,P1206,IF(IFERROR(VALUE(SUBSTITUTE(SUBSTITUTE(O1206,"W",""),"""","")),0)&gt;52,P1206&amp;"-OVRSIZE-",P1206))))</f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s="18" t="str">
        <v/>
      </c>
      <c r="O1206" s="15" t="str" cm="1">
        <f t="array" ref="O1206">IFERROR(_xlfn.LET(
_xlpm.clean,TRIM(SUBSTITUTE(SUBSTITUTE(P1206,CHAR(160),"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6" t="str">
        <f t="shared" si="19"/>
        <v/>
      </c>
    </row>
    <row r="1207" spans="3:19" ht="15.75" customHeight="1">
      <c r="C1207" s="15" t="str" cm="1">
        <f t="array" ref="C1207">IFERROR(_xlfn.TEXTJOIN("",TRUE,_xlfn._xlws.FILTER(MID(S1207,_xlfn.SEQUENCE(LEN(S1207)),1),ISNUMBER(SEARCH(MID(S1207,_xlfn.SEQUENCE(LEN(S1207)),1),"ABCDEFGHIJKLMNOPQRSTUVWXYZabcdefghijklmnopqrstuvwxyz0123456789,")))),"")</f>
        <v/>
      </c>
      <c r="G1207" s="20" t="str" cm="1">
        <f t="array" ref="G1207">IF(TRIM(P1207)="","",IF(SUM(COUNTIF(P1207,{"*NLGD*","*FWG*"}))&gt;0,P1207,IF(SUM(COUNTIF(P1207,{"*GL*","*DGB*","*DGI*","*GT*","*CS*","*PWU*","*DBI*","*SWU*"}))=0,P1207,IF(IFERROR(VALUE(SUBSTITUTE(SUBSTITUTE(O1207,"W",""),"""","")),0)&gt;52,P1207&amp;"-OVRSIZE-",P1207))))</f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s="18" t="str">
        <v/>
      </c>
      <c r="O1207" s="15" t="str" cm="1">
        <f t="array" ref="O1207">IFERROR(_xlfn.LET(
_xlpm.clean,TRIM(SUBSTITUTE(SUBSTITUTE(P1207,CHAR(160),"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7" t="str">
        <f t="shared" si="19"/>
        <v/>
      </c>
    </row>
    <row r="1208" spans="3:19" ht="15.75" customHeight="1">
      <c r="C1208" s="15" t="str" cm="1">
        <f t="array" ref="C1208">IFERROR(_xlfn.TEXTJOIN("",TRUE,_xlfn._xlws.FILTER(MID(S1208,_xlfn.SEQUENCE(LEN(S1208)),1),ISNUMBER(SEARCH(MID(S1208,_xlfn.SEQUENCE(LEN(S1208)),1),"ABCDEFGHIJKLMNOPQRSTUVWXYZabcdefghijklmnopqrstuvwxyz0123456789,")))),"")</f>
        <v/>
      </c>
      <c r="G1208" s="20" t="str" cm="1">
        <f t="array" ref="G1208">IF(TRIM(P1208)="","",IF(SUM(COUNTIF(P1208,{"*NLGD*","*FWG*"}))&gt;0,P1208,IF(SUM(COUNTIF(P1208,{"*GL*","*DGB*","*DGI*","*GT*","*CS*","*PWU*","*DBI*","*SWU*"}))=0,P1208,IF(IFERROR(VALUE(SUBSTITUTE(SUBSTITUTE(O1208,"W",""),"""","")),0)&gt;52,P1208&amp;"-OVRSIZE-",P1208))))</f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s="18" t="str">
        <v/>
      </c>
      <c r="O1208" s="15" t="str" cm="1">
        <f t="array" ref="O1208">IFERROR(_xlfn.LET(
_xlpm.clean,TRIM(SUBSTITUTE(SUBSTITUTE(P1208,CHAR(160),"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8" t="str">
        <f t="shared" si="19"/>
        <v/>
      </c>
    </row>
    <row r="1209" spans="3:19" ht="15.75" customHeight="1">
      <c r="C1209" s="15" t="str" cm="1">
        <f t="array" ref="C1209">IFERROR(_xlfn.TEXTJOIN("",TRUE,_xlfn._xlws.FILTER(MID(S1209,_xlfn.SEQUENCE(LEN(S1209)),1),ISNUMBER(SEARCH(MID(S1209,_xlfn.SEQUENCE(LEN(S1209)),1),"ABCDEFGHIJKLMNOPQRSTUVWXYZabcdefghijklmnopqrstuvwxyz0123456789,")))),"")</f>
        <v/>
      </c>
      <c r="G1209" s="20" t="str" cm="1">
        <f t="array" ref="G1209">IF(TRIM(P1209)="","",IF(SUM(COUNTIF(P1209,{"*NLGD*","*FWG*"}))&gt;0,P1209,IF(SUM(COUNTIF(P1209,{"*GL*","*DGB*","*DGI*","*GT*","*CS*","*PWU*","*DBI*","*SWU*"}))=0,P1209,IF(IFERROR(VALUE(SUBSTITUTE(SUBSTITUTE(O1209,"W",""),"""","")),0)&gt;52,P1209&amp;"-OVRSIZE-",P1209))))</f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s="18" t="str">
        <v/>
      </c>
      <c r="O1209" s="15" t="str" cm="1">
        <f t="array" ref="O1209">IFERROR(_xlfn.LET(
_xlpm.clean,TRIM(SUBSTITUTE(SUBSTITUTE(P1209,CHAR(160),"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9" t="str">
        <f t="shared" si="19"/>
        <v/>
      </c>
    </row>
    <row r="1210" spans="3:19" ht="15.75" customHeight="1">
      <c r="C1210" s="15" t="str" cm="1">
        <f t="array" ref="C1210">IFERROR(_xlfn.TEXTJOIN("",TRUE,_xlfn._xlws.FILTER(MID(S1210,_xlfn.SEQUENCE(LEN(S1210)),1),ISNUMBER(SEARCH(MID(S1210,_xlfn.SEQUENCE(LEN(S1210)),1),"ABCDEFGHIJKLMNOPQRSTUVWXYZabcdefghijklmnopqrstuvwxyz0123456789,")))),"")</f>
        <v/>
      </c>
      <c r="G1210" s="20" t="str" cm="1">
        <f t="array" ref="G1210">IF(TRIM(P1210)="","",IF(SUM(COUNTIF(P1210,{"*NLGD*","*FWG*"}))&gt;0,P1210,IF(SUM(COUNTIF(P1210,{"*GL*","*DGB*","*DGI*","*GT*","*CS*","*PWU*","*DBI*","*SWU*"}))=0,P1210,IF(IFERROR(VALUE(SUBSTITUTE(SUBSTITUTE(O1210,"W",""),"""","")),0)&gt;52,P1210&amp;"-OVRSIZE-",P1210))))</f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s="18" t="str">
        <v/>
      </c>
      <c r="O1210" s="15" t="str" cm="1">
        <f t="array" ref="O1210">IFERROR(_xlfn.LET(
_xlpm.clean,TRIM(SUBSTITUTE(SUBSTITUTE(P1210,CHAR(160),"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0" t="str">
        <f t="shared" si="19"/>
        <v/>
      </c>
    </row>
    <row r="1211" spans="3:19" ht="15.75" customHeight="1">
      <c r="C1211" s="15" t="str" cm="1">
        <f t="array" ref="C1211">IFERROR(_xlfn.TEXTJOIN("",TRUE,_xlfn._xlws.FILTER(MID(S1211,_xlfn.SEQUENCE(LEN(S1211)),1),ISNUMBER(SEARCH(MID(S1211,_xlfn.SEQUENCE(LEN(S1211)),1),"ABCDEFGHIJKLMNOPQRSTUVWXYZabcdefghijklmnopqrstuvwxyz0123456789,")))),"")</f>
        <v/>
      </c>
      <c r="G1211" s="20" t="str" cm="1">
        <f t="array" ref="G1211">IF(TRIM(P1211)="","",IF(SUM(COUNTIF(P1211,{"*NLGD*","*FWG*"}))&gt;0,P1211,IF(SUM(COUNTIF(P1211,{"*GL*","*DGB*","*DGI*","*GT*","*CS*","*PWU*","*DBI*","*SWU*"}))=0,P1211,IF(IFERROR(VALUE(SUBSTITUTE(SUBSTITUTE(O1211,"W",""),"""","")),0)&gt;52,P1211&amp;"-OVRSIZE-",P1211))))</f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s="18" t="str">
        <v/>
      </c>
      <c r="O1211" s="15" t="str" cm="1">
        <f t="array" ref="O1211">IFERROR(_xlfn.LET(
_xlpm.clean,TRIM(SUBSTITUTE(SUBSTITUTE(P1211,CHAR(160),"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1" t="str">
        <f t="shared" si="19"/>
        <v/>
      </c>
    </row>
    <row r="1212" spans="3:19" ht="15.75" customHeight="1">
      <c r="C1212" s="15" t="str" cm="1">
        <f t="array" ref="C1212">IFERROR(_xlfn.TEXTJOIN("",TRUE,_xlfn._xlws.FILTER(MID(S1212,_xlfn.SEQUENCE(LEN(S1212)),1),ISNUMBER(SEARCH(MID(S1212,_xlfn.SEQUENCE(LEN(S1212)),1),"ABCDEFGHIJKLMNOPQRSTUVWXYZabcdefghijklmnopqrstuvwxyz0123456789,")))),"")</f>
        <v/>
      </c>
      <c r="G1212" s="20" t="str" cm="1">
        <f t="array" ref="G1212">IF(TRIM(P1212)="","",IF(SUM(COUNTIF(P1212,{"*NLGD*","*FWG*"}))&gt;0,P1212,IF(SUM(COUNTIF(P1212,{"*GL*","*DGB*","*DGI*","*GT*","*CS*","*PWU*","*DBI*","*SWU*"}))=0,P1212,IF(IFERROR(VALUE(SUBSTITUTE(SUBSTITUTE(O1212,"W",""),"""","")),0)&gt;52,P1212&amp;"-OVRSIZE-",P1212))))</f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s="18" t="str">
        <v/>
      </c>
      <c r="O1212" s="15" t="str" cm="1">
        <f t="array" ref="O1212">IFERROR(_xlfn.LET(
_xlpm.clean,TRIM(SUBSTITUTE(SUBSTITUTE(P1212,CHAR(160),"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2" t="str">
        <f t="shared" si="19"/>
        <v/>
      </c>
    </row>
    <row r="1213" spans="3:19" ht="15.75" customHeight="1">
      <c r="C1213" s="15" t="str" cm="1">
        <f t="array" ref="C1213">IFERROR(_xlfn.TEXTJOIN("",TRUE,_xlfn._xlws.FILTER(MID(S1213,_xlfn.SEQUENCE(LEN(S1213)),1),ISNUMBER(SEARCH(MID(S1213,_xlfn.SEQUENCE(LEN(S1213)),1),"ABCDEFGHIJKLMNOPQRSTUVWXYZabcdefghijklmnopqrstuvwxyz0123456789,")))),"")</f>
        <v/>
      </c>
      <c r="G1213" s="20" t="str" cm="1">
        <f t="array" ref="G1213">IF(TRIM(P1213)="","",IF(SUM(COUNTIF(P1213,{"*NLGD*","*FWG*"}))&gt;0,P1213,IF(SUM(COUNTIF(P1213,{"*GL*","*DGB*","*DGI*","*GT*","*CS*","*PWU*","*DBI*","*SWU*"}))=0,P1213,IF(IFERROR(VALUE(SUBSTITUTE(SUBSTITUTE(O1213,"W",""),"""","")),0)&gt;52,P1213&amp;"-OVRSIZE-",P1213))))</f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s="18" t="str">
        <v/>
      </c>
      <c r="O1213" s="15" t="str" cm="1">
        <f t="array" ref="O1213">IFERROR(_xlfn.LET(
_xlpm.clean,TRIM(SUBSTITUTE(SUBSTITUTE(P1213,CHAR(160),"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3" t="str">
        <f t="shared" si="19"/>
        <v/>
      </c>
    </row>
    <row r="1214" spans="3:19" ht="15.75" customHeight="1">
      <c r="C1214" s="15" t="str" cm="1">
        <f t="array" ref="C1214">IFERROR(_xlfn.TEXTJOIN("",TRUE,_xlfn._xlws.FILTER(MID(S1214,_xlfn.SEQUENCE(LEN(S1214)),1),ISNUMBER(SEARCH(MID(S1214,_xlfn.SEQUENCE(LEN(S1214)),1),"ABCDEFGHIJKLMNOPQRSTUVWXYZabcdefghijklmnopqrstuvwxyz0123456789,")))),"")</f>
        <v/>
      </c>
      <c r="G1214" s="20" t="str" cm="1">
        <f t="array" ref="G1214">IF(TRIM(P1214)="","",IF(SUM(COUNTIF(P1214,{"*NLGD*","*FWG*"}))&gt;0,P1214,IF(SUM(COUNTIF(P1214,{"*GL*","*DGB*","*DGI*","*GT*","*CS*","*PWU*","*DBI*","*SWU*"}))=0,P1214,IF(IFERROR(VALUE(SUBSTITUTE(SUBSTITUTE(O1214,"W",""),"""","")),0)&gt;52,P1214&amp;"-OVRSIZE-",P1214))))</f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s="18" t="str">
        <v/>
      </c>
      <c r="O1214" s="15" t="str" cm="1">
        <f t="array" ref="O1214">IFERROR(_xlfn.LET(
_xlpm.clean,TRIM(SUBSTITUTE(SUBSTITUTE(P1214,CHAR(160),"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4" t="str">
        <f t="shared" si="19"/>
        <v/>
      </c>
    </row>
    <row r="1215" spans="3:19" ht="15.75" customHeight="1">
      <c r="C1215" s="15" t="str" cm="1">
        <f t="array" ref="C1215">IFERROR(_xlfn.TEXTJOIN("",TRUE,_xlfn._xlws.FILTER(MID(S1215,_xlfn.SEQUENCE(LEN(S1215)),1),ISNUMBER(SEARCH(MID(S1215,_xlfn.SEQUENCE(LEN(S1215)),1),"ABCDEFGHIJKLMNOPQRSTUVWXYZabcdefghijklmnopqrstuvwxyz0123456789,")))),"")</f>
        <v/>
      </c>
      <c r="G1215" s="20" t="str" cm="1">
        <f t="array" ref="G1215">IF(TRIM(P1215)="","",IF(SUM(COUNTIF(P1215,{"*NLGD*","*FWG*"}))&gt;0,P1215,IF(SUM(COUNTIF(P1215,{"*GL*","*DGB*","*DGI*","*GT*","*CS*","*PWU*","*DBI*","*SWU*"}))=0,P1215,IF(IFERROR(VALUE(SUBSTITUTE(SUBSTITUTE(O1215,"W",""),"""","")),0)&gt;52,P1215&amp;"-OVRSIZE-",P1215))))</f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s="18" t="str">
        <v/>
      </c>
      <c r="O1215" s="15" t="str" cm="1">
        <f t="array" ref="O1215">IFERROR(_xlfn.LET(
_xlpm.clean,TRIM(SUBSTITUTE(SUBSTITUTE(P1215,CHAR(160),"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5" t="str">
        <f t="shared" si="19"/>
        <v/>
      </c>
    </row>
    <row r="1216" spans="3:19" ht="15.75" customHeight="1">
      <c r="C1216" s="15" t="str" cm="1">
        <f t="array" ref="C1216">IFERROR(_xlfn.TEXTJOIN("",TRUE,_xlfn._xlws.FILTER(MID(S1216,_xlfn.SEQUENCE(LEN(S1216)),1),ISNUMBER(SEARCH(MID(S1216,_xlfn.SEQUENCE(LEN(S1216)),1),"ABCDEFGHIJKLMNOPQRSTUVWXYZabcdefghijklmnopqrstuvwxyz0123456789,")))),"")</f>
        <v/>
      </c>
      <c r="G1216" s="20" t="str" cm="1">
        <f t="array" ref="G1216">IF(TRIM(P1216)="","",IF(SUM(COUNTIF(P1216,{"*NLGD*","*FWG*"}))&gt;0,P1216,IF(SUM(COUNTIF(P1216,{"*GL*","*DGB*","*DGI*","*GT*","*CS*","*PWU*","*DBI*","*SWU*"}))=0,P1216,IF(IFERROR(VALUE(SUBSTITUTE(SUBSTITUTE(O1216,"W",""),"""","")),0)&gt;52,P1216&amp;"-OVRSIZE-",P1216))))</f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s="18" t="str">
        <v/>
      </c>
      <c r="O1216" s="15" t="str" cm="1">
        <f t="array" ref="O1216">IFERROR(_xlfn.LET(
_xlpm.clean,TRIM(SUBSTITUTE(SUBSTITUTE(P1216,CHAR(160),"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6" t="str">
        <f t="shared" si="19"/>
        <v/>
      </c>
    </row>
    <row r="1217" spans="3:19" ht="15.75" customHeight="1">
      <c r="C1217" s="15" t="str" cm="1">
        <f t="array" ref="C1217">IFERROR(_xlfn.TEXTJOIN("",TRUE,_xlfn._xlws.FILTER(MID(S1217,_xlfn.SEQUENCE(LEN(S1217)),1),ISNUMBER(SEARCH(MID(S1217,_xlfn.SEQUENCE(LEN(S1217)),1),"ABCDEFGHIJKLMNOPQRSTUVWXYZabcdefghijklmnopqrstuvwxyz0123456789,")))),"")</f>
        <v/>
      </c>
      <c r="G1217" s="20" t="str" cm="1">
        <f t="array" ref="G1217">IF(TRIM(P1217)="","",IF(SUM(COUNTIF(P1217,{"*NLGD*","*FWG*"}))&gt;0,P1217,IF(SUM(COUNTIF(P1217,{"*GL*","*DGB*","*DGI*","*GT*","*CS*","*PWU*","*DBI*","*SWU*"}))=0,P1217,IF(IFERROR(VALUE(SUBSTITUTE(SUBSTITUTE(O1217,"W",""),"""","")),0)&gt;52,P1217&amp;"-OVRSIZE-",P1217))))</f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s="18" t="str">
        <v/>
      </c>
      <c r="O1217" s="15" t="str" cm="1">
        <f t="array" ref="O1217">IFERROR(_xlfn.LET(
_xlpm.clean,TRIM(SUBSTITUTE(SUBSTITUTE(P1217,CHAR(160),"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7" t="str">
        <f t="shared" si="19"/>
        <v/>
      </c>
    </row>
    <row r="1218" spans="3:19" ht="15.75" customHeight="1">
      <c r="C1218" s="15" t="str" cm="1">
        <f t="array" ref="C1218">IFERROR(_xlfn.TEXTJOIN("",TRUE,_xlfn._xlws.FILTER(MID(S1218,_xlfn.SEQUENCE(LEN(S1218)),1),ISNUMBER(SEARCH(MID(S1218,_xlfn.SEQUENCE(LEN(S1218)),1),"ABCDEFGHIJKLMNOPQRSTUVWXYZabcdefghijklmnopqrstuvwxyz0123456789,")))),"")</f>
        <v/>
      </c>
      <c r="G1218" s="20" t="str" cm="1">
        <f t="array" ref="G1218">IF(TRIM(P1218)="","",IF(SUM(COUNTIF(P1218,{"*NLGD*","*FWG*"}))&gt;0,P1218,IF(SUM(COUNTIF(P1218,{"*GL*","*DGB*","*DGI*","*GT*","*CS*","*PWU*","*DBI*","*SWU*"}))=0,P1218,IF(IFERROR(VALUE(SUBSTITUTE(SUBSTITUTE(O1218,"W",""),"""","")),0)&gt;52,P1218&amp;"-OVRSIZE-",P1218))))</f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s="18" t="str">
        <v/>
      </c>
      <c r="O1218" s="15" t="str" cm="1">
        <f t="array" ref="O1218">IFERROR(_xlfn.LET(
_xlpm.clean,TRIM(SUBSTITUTE(SUBSTITUTE(P1218,CHAR(160),"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8" t="str">
        <f t="shared" si="19"/>
        <v/>
      </c>
    </row>
    <row r="1219" spans="3:19" ht="15.75" customHeight="1">
      <c r="C1219" s="15" t="str" cm="1">
        <f t="array" ref="C1219">IFERROR(_xlfn.TEXTJOIN("",TRUE,_xlfn._xlws.FILTER(MID(S1219,_xlfn.SEQUENCE(LEN(S1219)),1),ISNUMBER(SEARCH(MID(S1219,_xlfn.SEQUENCE(LEN(S1219)),1),"ABCDEFGHIJKLMNOPQRSTUVWXYZabcdefghijklmnopqrstuvwxyz0123456789,")))),"")</f>
        <v/>
      </c>
      <c r="G1219" s="20" t="str" cm="1">
        <f t="array" ref="G1219">IF(TRIM(P1219)="","",IF(SUM(COUNTIF(P1219,{"*NLGD*","*FWG*"}))&gt;0,P1219,IF(SUM(COUNTIF(P1219,{"*GL*","*DGB*","*DGI*","*GT*","*CS*","*PWU*","*DBI*","*SWU*"}))=0,P1219,IF(IFERROR(VALUE(SUBSTITUTE(SUBSTITUTE(O1219,"W",""),"""","")),0)&gt;52,P1219&amp;"-OVRSIZE-",P1219))))</f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s="18" t="str">
        <v/>
      </c>
      <c r="O1219" s="15" t="str" cm="1">
        <f t="array" ref="O1219">IFERROR(_xlfn.LET(
_xlpm.clean,TRIM(SUBSTITUTE(SUBSTITUTE(P1219,CHAR(160),"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9" t="str">
        <f t="shared" si="19"/>
        <v/>
      </c>
    </row>
    <row r="1220" spans="3:19" ht="15.75" customHeight="1">
      <c r="C1220" s="15" t="str" cm="1">
        <f t="array" ref="C1220">IFERROR(_xlfn.TEXTJOIN("",TRUE,_xlfn._xlws.FILTER(MID(S1220,_xlfn.SEQUENCE(LEN(S1220)),1),ISNUMBER(SEARCH(MID(S1220,_xlfn.SEQUENCE(LEN(S1220)),1),"ABCDEFGHIJKLMNOPQRSTUVWXYZabcdefghijklmnopqrstuvwxyz0123456789,")))),"")</f>
        <v/>
      </c>
      <c r="G1220" s="20" t="str" cm="1">
        <f t="array" ref="G1220">IF(TRIM(P1220)="","",IF(SUM(COUNTIF(P1220,{"*NLGD*","*FWG*"}))&gt;0,P1220,IF(SUM(COUNTIF(P1220,{"*GL*","*DGB*","*DGI*","*GT*","*CS*","*PWU*","*DBI*","*SWU*"}))=0,P1220,IF(IFERROR(VALUE(SUBSTITUTE(SUBSTITUTE(O1220,"W",""),"""","")),0)&gt;52,P1220&amp;"-OVRSIZE-",P1220))))</f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s="18" t="str">
        <v/>
      </c>
      <c r="O1220" s="15" t="str" cm="1">
        <f t="array" ref="O1220">IFERROR(_xlfn.LET(
_xlpm.clean,TRIM(SUBSTITUTE(SUBSTITUTE(P1220,CHAR(160),"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0" t="str">
        <f t="shared" si="19"/>
        <v/>
      </c>
    </row>
    <row r="1221" spans="3:19" ht="15.75" customHeight="1">
      <c r="C1221" s="15" t="str" cm="1">
        <f t="array" ref="C1221">IFERROR(_xlfn.TEXTJOIN("",TRUE,_xlfn._xlws.FILTER(MID(S1221,_xlfn.SEQUENCE(LEN(S1221)),1),ISNUMBER(SEARCH(MID(S1221,_xlfn.SEQUENCE(LEN(S1221)),1),"ABCDEFGHIJKLMNOPQRSTUVWXYZabcdefghijklmnopqrstuvwxyz0123456789,")))),"")</f>
        <v/>
      </c>
      <c r="G1221" s="20" t="str" cm="1">
        <f t="array" ref="G1221">IF(TRIM(P1221)="","",IF(SUM(COUNTIF(P1221,{"*NLGD*","*FWG*"}))&gt;0,P1221,IF(SUM(COUNTIF(P1221,{"*GL*","*DGB*","*DGI*","*GT*","*CS*","*PWU*","*DBI*","*SWU*"}))=0,P1221,IF(IFERROR(VALUE(SUBSTITUTE(SUBSTITUTE(O1221,"W",""),"""","")),0)&gt;52,P1221&amp;"-OVRSIZE-",P1221))))</f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s="18" t="str">
        <v/>
      </c>
      <c r="O1221" s="15" t="str" cm="1">
        <f t="array" ref="O1221">IFERROR(_xlfn.LET(
_xlpm.clean,TRIM(SUBSTITUTE(SUBSTITUTE(P1221,CHAR(160),"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1" t="str">
        <f t="shared" si="19"/>
        <v/>
      </c>
    </row>
    <row r="1222" spans="3:19" ht="15.75" customHeight="1">
      <c r="C1222" s="15" t="str" cm="1">
        <f t="array" ref="C1222">IFERROR(_xlfn.TEXTJOIN("",TRUE,_xlfn._xlws.FILTER(MID(S1222,_xlfn.SEQUENCE(LEN(S1222)),1),ISNUMBER(SEARCH(MID(S1222,_xlfn.SEQUENCE(LEN(S1222)),1),"ABCDEFGHIJKLMNOPQRSTUVWXYZabcdefghijklmnopqrstuvwxyz0123456789,")))),"")</f>
        <v/>
      </c>
      <c r="G1222" s="20" t="str" cm="1">
        <f t="array" ref="G1222">IF(TRIM(P1222)="","",IF(SUM(COUNTIF(P1222,{"*NLGD*","*FWG*"}))&gt;0,P1222,IF(SUM(COUNTIF(P1222,{"*GL*","*DGB*","*DGI*","*GT*","*CS*","*PWU*","*DBI*","*SWU*"}))=0,P1222,IF(IFERROR(VALUE(SUBSTITUTE(SUBSTITUTE(O1222,"W",""),"""","")),0)&gt;52,P1222&amp;"-OVRSIZE-",P1222))))</f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s="18" t="str">
        <v/>
      </c>
      <c r="O1222" s="15" t="str" cm="1">
        <f t="array" ref="O1222">IFERROR(_xlfn.LET(
_xlpm.clean,TRIM(SUBSTITUTE(SUBSTITUTE(P1222,CHAR(160),"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2" t="str">
        <f t="shared" si="19"/>
        <v/>
      </c>
    </row>
    <row r="1223" spans="3:19" ht="15.75" customHeight="1">
      <c r="C1223" s="15" t="str" cm="1">
        <f t="array" ref="C1223">IFERROR(_xlfn.TEXTJOIN("",TRUE,_xlfn._xlws.FILTER(MID(S1223,_xlfn.SEQUENCE(LEN(S1223)),1),ISNUMBER(SEARCH(MID(S1223,_xlfn.SEQUENCE(LEN(S1223)),1),"ABCDEFGHIJKLMNOPQRSTUVWXYZabcdefghijklmnopqrstuvwxyz0123456789,")))),"")</f>
        <v/>
      </c>
      <c r="G1223" s="20" t="str" cm="1">
        <f t="array" ref="G1223">IF(TRIM(P1223)="","",IF(SUM(COUNTIF(P1223,{"*NLGD*","*FWG*"}))&gt;0,P1223,IF(SUM(COUNTIF(P1223,{"*GL*","*DGB*","*DGI*","*GT*","*CS*","*PWU*","*DBI*","*SWU*"}))=0,P1223,IF(IFERROR(VALUE(SUBSTITUTE(SUBSTITUTE(O1223,"W",""),"""","")),0)&gt;52,P1223&amp;"-OVRSIZE-",P1223))))</f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s="18" t="str">
        <v/>
      </c>
      <c r="O1223" s="15" t="str" cm="1">
        <f t="array" ref="O1223">IFERROR(_xlfn.LET(
_xlpm.clean,TRIM(SUBSTITUTE(SUBSTITUTE(P1223,CHAR(160),"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3" t="str">
        <f t="shared" si="19"/>
        <v/>
      </c>
    </row>
    <row r="1224" spans="3:19" ht="15.75" customHeight="1">
      <c r="C1224" s="15" t="str" cm="1">
        <f t="array" ref="C1224">IFERROR(_xlfn.TEXTJOIN("",TRUE,_xlfn._xlws.FILTER(MID(S1224,_xlfn.SEQUENCE(LEN(S1224)),1),ISNUMBER(SEARCH(MID(S1224,_xlfn.SEQUENCE(LEN(S1224)),1),"ABCDEFGHIJKLMNOPQRSTUVWXYZabcdefghijklmnopqrstuvwxyz0123456789,")))),"")</f>
        <v/>
      </c>
      <c r="G1224" s="20" t="str" cm="1">
        <f t="array" ref="G1224">IF(TRIM(P1224)="","",IF(SUM(COUNTIF(P1224,{"*NLGD*","*FWG*"}))&gt;0,P1224,IF(SUM(COUNTIF(P1224,{"*GL*","*DGB*","*DGI*","*GT*","*CS*","*PWU*","*DBI*","*SWU*"}))=0,P1224,IF(IFERROR(VALUE(SUBSTITUTE(SUBSTITUTE(O1224,"W",""),"""","")),0)&gt;52,P1224&amp;"-OVRSIZE-",P1224))))</f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s="18" t="str">
        <v/>
      </c>
      <c r="O1224" s="15" t="str" cm="1">
        <f t="array" ref="O1224">IFERROR(_xlfn.LET(
_xlpm.clean,TRIM(SUBSTITUTE(SUBSTITUTE(P1224,CHAR(160),"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4" t="str">
        <f t="shared" ref="S1224:S1287" si="20">IF(R1224="","",_xlfn.LET(
_xlpm.x,TRIM(SUBSTITUTE(SUBSTITUTE(SUBSTITUTE(SUBSTITUTE(R1224,":","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225" spans="3:19" ht="15.75" customHeight="1">
      <c r="C1225" s="15" t="str" cm="1">
        <f t="array" ref="C1225">IFERROR(_xlfn.TEXTJOIN("",TRUE,_xlfn._xlws.FILTER(MID(S1225,_xlfn.SEQUENCE(LEN(S1225)),1),ISNUMBER(SEARCH(MID(S1225,_xlfn.SEQUENCE(LEN(S1225)),1),"ABCDEFGHIJKLMNOPQRSTUVWXYZabcdefghijklmnopqrstuvwxyz0123456789,")))),"")</f>
        <v/>
      </c>
      <c r="G1225" s="20" t="str" cm="1">
        <f t="array" ref="G1225">IF(TRIM(P1225)="","",IF(SUM(COUNTIF(P1225,{"*NLGD*","*FWG*"}))&gt;0,P1225,IF(SUM(COUNTIF(P1225,{"*GL*","*DGB*","*DGI*","*GT*","*CS*","*PWU*","*DBI*","*SWU*"}))=0,P1225,IF(IFERROR(VALUE(SUBSTITUTE(SUBSTITUTE(O1225,"W",""),"""","")),0)&gt;52,P1225&amp;"-OVRSIZE-",P1225))))</f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s="18" t="str">
        <v/>
      </c>
      <c r="O1225" s="15" t="str" cm="1">
        <f t="array" ref="O1225">IFERROR(_xlfn.LET(
_xlpm.clean,TRIM(SUBSTITUTE(SUBSTITUTE(P1225,CHAR(160),"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5" t="str">
        <f t="shared" si="20"/>
        <v/>
      </c>
    </row>
    <row r="1226" spans="3:19" ht="15.75" customHeight="1">
      <c r="C1226" s="15" t="str" cm="1">
        <f t="array" ref="C1226">IFERROR(_xlfn.TEXTJOIN("",TRUE,_xlfn._xlws.FILTER(MID(S1226,_xlfn.SEQUENCE(LEN(S1226)),1),ISNUMBER(SEARCH(MID(S1226,_xlfn.SEQUENCE(LEN(S1226)),1),"ABCDEFGHIJKLMNOPQRSTUVWXYZabcdefghijklmnopqrstuvwxyz0123456789,")))),"")</f>
        <v/>
      </c>
      <c r="G1226" s="20" t="str" cm="1">
        <f t="array" ref="G1226">IF(TRIM(P1226)="","",IF(SUM(COUNTIF(P1226,{"*NLGD*","*FWG*"}))&gt;0,P1226,IF(SUM(COUNTIF(P1226,{"*GL*","*DGB*","*DGI*","*GT*","*CS*","*PWU*","*DBI*","*SWU*"}))=0,P1226,IF(IFERROR(VALUE(SUBSTITUTE(SUBSTITUTE(O1226,"W",""),"""","")),0)&gt;52,P1226&amp;"-OVRSIZE-",P1226))))</f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s="18" t="str">
        <v/>
      </c>
      <c r="O1226" s="15" t="str" cm="1">
        <f t="array" ref="O1226">IFERROR(_xlfn.LET(
_xlpm.clean,TRIM(SUBSTITUTE(SUBSTITUTE(P1226,CHAR(160),"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6" t="str">
        <f t="shared" si="20"/>
        <v/>
      </c>
    </row>
    <row r="1227" spans="3:19" ht="15.75" customHeight="1">
      <c r="C1227" s="15" t="str" cm="1">
        <f t="array" ref="C1227">IFERROR(_xlfn.TEXTJOIN("",TRUE,_xlfn._xlws.FILTER(MID(S1227,_xlfn.SEQUENCE(LEN(S1227)),1),ISNUMBER(SEARCH(MID(S1227,_xlfn.SEQUENCE(LEN(S1227)),1),"ABCDEFGHIJKLMNOPQRSTUVWXYZabcdefghijklmnopqrstuvwxyz0123456789,")))),"")</f>
        <v/>
      </c>
      <c r="G1227" s="20" t="str" cm="1">
        <f t="array" ref="G1227">IF(TRIM(P1227)="","",IF(SUM(COUNTIF(P1227,{"*NLGD*","*FWG*"}))&gt;0,P1227,IF(SUM(COUNTIF(P1227,{"*GL*","*DGB*","*DGI*","*GT*","*CS*","*PWU*","*DBI*","*SWU*"}))=0,P1227,IF(IFERROR(VALUE(SUBSTITUTE(SUBSTITUTE(O1227,"W",""),"""","")),0)&gt;52,P1227&amp;"-OVRSIZE-",P1227))))</f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s="18" t="str">
        <v/>
      </c>
      <c r="O1227" s="15" t="str" cm="1">
        <f t="array" ref="O1227">IFERROR(_xlfn.LET(
_xlpm.clean,TRIM(SUBSTITUTE(SUBSTITUTE(P1227,CHAR(160),"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7" t="str">
        <f t="shared" si="20"/>
        <v/>
      </c>
    </row>
    <row r="1228" spans="3:19" ht="15.75" customHeight="1">
      <c r="C1228" s="15" t="str" cm="1">
        <f t="array" ref="C1228">IFERROR(_xlfn.TEXTJOIN("",TRUE,_xlfn._xlws.FILTER(MID(S1228,_xlfn.SEQUENCE(LEN(S1228)),1),ISNUMBER(SEARCH(MID(S1228,_xlfn.SEQUENCE(LEN(S1228)),1),"ABCDEFGHIJKLMNOPQRSTUVWXYZabcdefghijklmnopqrstuvwxyz0123456789,")))),"")</f>
        <v/>
      </c>
      <c r="G1228" s="20" t="str" cm="1">
        <f t="array" ref="G1228">IF(TRIM(P1228)="","",IF(SUM(COUNTIF(P1228,{"*NLGD*","*FWG*"}))&gt;0,P1228,IF(SUM(COUNTIF(P1228,{"*GL*","*DGB*","*DGI*","*GT*","*CS*","*PWU*","*DBI*","*SWU*"}))=0,P1228,IF(IFERROR(VALUE(SUBSTITUTE(SUBSTITUTE(O1228,"W",""),"""","")),0)&gt;52,P1228&amp;"-OVRSIZE-",P1228))))</f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s="18" t="str">
        <v/>
      </c>
      <c r="O1228" s="15" t="str" cm="1">
        <f t="array" ref="O1228">IFERROR(_xlfn.LET(
_xlpm.clean,TRIM(SUBSTITUTE(SUBSTITUTE(P1228,CHAR(160),"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8" t="str">
        <f t="shared" si="20"/>
        <v/>
      </c>
    </row>
    <row r="1229" spans="3:19" ht="15.75" customHeight="1">
      <c r="C1229" s="15" t="str" cm="1">
        <f t="array" ref="C1229">IFERROR(_xlfn.TEXTJOIN("",TRUE,_xlfn._xlws.FILTER(MID(S1229,_xlfn.SEQUENCE(LEN(S1229)),1),ISNUMBER(SEARCH(MID(S1229,_xlfn.SEQUENCE(LEN(S1229)),1),"ABCDEFGHIJKLMNOPQRSTUVWXYZabcdefghijklmnopqrstuvwxyz0123456789,")))),"")</f>
        <v/>
      </c>
      <c r="G1229" s="20" t="str" cm="1">
        <f t="array" ref="G1229">IF(TRIM(P1229)="","",IF(SUM(COUNTIF(P1229,{"*NLGD*","*FWG*"}))&gt;0,P1229,IF(SUM(COUNTIF(P1229,{"*GL*","*DGB*","*DGI*","*GT*","*CS*","*PWU*","*DBI*","*SWU*"}))=0,P1229,IF(IFERROR(VALUE(SUBSTITUTE(SUBSTITUTE(O1229,"W",""),"""","")),0)&gt;52,P1229&amp;"-OVRSIZE-",P1229))))</f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s="18" t="str">
        <v/>
      </c>
      <c r="O1229" s="15" t="str" cm="1">
        <f t="array" ref="O1229">IFERROR(_xlfn.LET(
_xlpm.clean,TRIM(SUBSTITUTE(SUBSTITUTE(P1229,CHAR(160),"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9" t="str">
        <f t="shared" si="20"/>
        <v/>
      </c>
    </row>
    <row r="1230" spans="3:19" ht="15.75" customHeight="1">
      <c r="C1230" s="15" t="str" cm="1">
        <f t="array" ref="C1230">IFERROR(_xlfn.TEXTJOIN("",TRUE,_xlfn._xlws.FILTER(MID(S1230,_xlfn.SEQUENCE(LEN(S1230)),1),ISNUMBER(SEARCH(MID(S1230,_xlfn.SEQUENCE(LEN(S1230)),1),"ABCDEFGHIJKLMNOPQRSTUVWXYZabcdefghijklmnopqrstuvwxyz0123456789,")))),"")</f>
        <v/>
      </c>
      <c r="G1230" s="20" t="str" cm="1">
        <f t="array" ref="G1230">IF(TRIM(P1230)="","",IF(SUM(COUNTIF(P1230,{"*NLGD*","*FWG*"}))&gt;0,P1230,IF(SUM(COUNTIF(P1230,{"*GL*","*DGB*","*DGI*","*GT*","*CS*","*PWU*","*DBI*","*SWU*"}))=0,P1230,IF(IFERROR(VALUE(SUBSTITUTE(SUBSTITUTE(O1230,"W",""),"""","")),0)&gt;52,P1230&amp;"-OVRSIZE-",P1230))))</f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s="18" t="str">
        <v/>
      </c>
      <c r="O1230" s="15" t="str" cm="1">
        <f t="array" ref="O1230">IFERROR(_xlfn.LET(
_xlpm.clean,TRIM(SUBSTITUTE(SUBSTITUTE(P1230,CHAR(160),"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0" t="str">
        <f t="shared" si="20"/>
        <v/>
      </c>
    </row>
    <row r="1231" spans="3:19" ht="15.75" customHeight="1">
      <c r="C1231" s="15" t="str" cm="1">
        <f t="array" ref="C1231">IFERROR(_xlfn.TEXTJOIN("",TRUE,_xlfn._xlws.FILTER(MID(S1231,_xlfn.SEQUENCE(LEN(S1231)),1),ISNUMBER(SEARCH(MID(S1231,_xlfn.SEQUENCE(LEN(S1231)),1),"ABCDEFGHIJKLMNOPQRSTUVWXYZabcdefghijklmnopqrstuvwxyz0123456789,")))),"")</f>
        <v/>
      </c>
      <c r="G1231" s="20" t="str" cm="1">
        <f t="array" ref="G1231">IF(TRIM(P1231)="","",IF(SUM(COUNTIF(P1231,{"*NLGD*","*FWG*"}))&gt;0,P1231,IF(SUM(COUNTIF(P1231,{"*GL*","*DGB*","*DGI*","*GT*","*CS*","*PWU*","*DBI*","*SWU*"}))=0,P1231,IF(IFERROR(VALUE(SUBSTITUTE(SUBSTITUTE(O1231,"W",""),"""","")),0)&gt;52,P1231&amp;"-OVRSIZE-",P1231))))</f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s="18" t="str">
        <v/>
      </c>
      <c r="O1231" s="15" t="str" cm="1">
        <f t="array" ref="O1231">IFERROR(_xlfn.LET(
_xlpm.clean,TRIM(SUBSTITUTE(SUBSTITUTE(P1231,CHAR(160),"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1" t="str">
        <f t="shared" si="20"/>
        <v/>
      </c>
    </row>
    <row r="1232" spans="3:19" ht="15.75" customHeight="1">
      <c r="C1232" s="15" t="str" cm="1">
        <f t="array" ref="C1232">IFERROR(_xlfn.TEXTJOIN("",TRUE,_xlfn._xlws.FILTER(MID(S1232,_xlfn.SEQUENCE(LEN(S1232)),1),ISNUMBER(SEARCH(MID(S1232,_xlfn.SEQUENCE(LEN(S1232)),1),"ABCDEFGHIJKLMNOPQRSTUVWXYZabcdefghijklmnopqrstuvwxyz0123456789,")))),"")</f>
        <v/>
      </c>
      <c r="G1232" s="20" t="str" cm="1">
        <f t="array" ref="G1232">IF(TRIM(P1232)="","",IF(SUM(COUNTIF(P1232,{"*NLGD*","*FWG*"}))&gt;0,P1232,IF(SUM(COUNTIF(P1232,{"*GL*","*DGB*","*DGI*","*GT*","*CS*","*PWU*","*DBI*","*SWU*"}))=0,P1232,IF(IFERROR(VALUE(SUBSTITUTE(SUBSTITUTE(O1232,"W",""),"""","")),0)&gt;52,P1232&amp;"-OVRSIZE-",P1232))))</f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s="18" t="str">
        <v/>
      </c>
      <c r="O1232" s="15" t="str" cm="1">
        <f t="array" ref="O1232">IFERROR(_xlfn.LET(
_xlpm.clean,TRIM(SUBSTITUTE(SUBSTITUTE(P1232,CHAR(160),"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2" t="str">
        <f t="shared" si="20"/>
        <v/>
      </c>
    </row>
    <row r="1233" spans="3:19" ht="15.75" customHeight="1">
      <c r="C1233" s="15" t="str" cm="1">
        <f t="array" ref="C1233">IFERROR(_xlfn.TEXTJOIN("",TRUE,_xlfn._xlws.FILTER(MID(S1233,_xlfn.SEQUENCE(LEN(S1233)),1),ISNUMBER(SEARCH(MID(S1233,_xlfn.SEQUENCE(LEN(S1233)),1),"ABCDEFGHIJKLMNOPQRSTUVWXYZabcdefghijklmnopqrstuvwxyz0123456789,")))),"")</f>
        <v/>
      </c>
      <c r="G1233" s="20" t="str" cm="1">
        <f t="array" ref="G1233">IF(TRIM(P1233)="","",IF(SUM(COUNTIF(P1233,{"*NLGD*","*FWG*"}))&gt;0,P1233,IF(SUM(COUNTIF(P1233,{"*GL*","*DGB*","*DGI*","*GT*","*CS*","*PWU*","*DBI*","*SWU*"}))=0,P1233,IF(IFERROR(VALUE(SUBSTITUTE(SUBSTITUTE(O1233,"W",""),"""","")),0)&gt;52,P1233&amp;"-OVRSIZE-",P1233))))</f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s="18" t="str">
        <v/>
      </c>
      <c r="O1233" s="15" t="str" cm="1">
        <f t="array" ref="O1233">IFERROR(_xlfn.LET(
_xlpm.clean,TRIM(SUBSTITUTE(SUBSTITUTE(P1233,CHAR(160),"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3" t="str">
        <f t="shared" si="20"/>
        <v/>
      </c>
    </row>
    <row r="1234" spans="3:19" ht="15.75" customHeight="1">
      <c r="C1234" s="15" t="str" cm="1">
        <f t="array" ref="C1234">IFERROR(_xlfn.TEXTJOIN("",TRUE,_xlfn._xlws.FILTER(MID(S1234,_xlfn.SEQUENCE(LEN(S1234)),1),ISNUMBER(SEARCH(MID(S1234,_xlfn.SEQUENCE(LEN(S1234)),1),"ABCDEFGHIJKLMNOPQRSTUVWXYZabcdefghijklmnopqrstuvwxyz0123456789,")))),"")</f>
        <v/>
      </c>
      <c r="G1234" s="20" t="str" cm="1">
        <f t="array" ref="G1234">IF(TRIM(P1234)="","",IF(SUM(COUNTIF(P1234,{"*NLGD*","*FWG*"}))&gt;0,P1234,IF(SUM(COUNTIF(P1234,{"*GL*","*DGB*","*DGI*","*GT*","*CS*","*PWU*","*DBI*","*SWU*"}))=0,P1234,IF(IFERROR(VALUE(SUBSTITUTE(SUBSTITUTE(O1234,"W",""),"""","")),0)&gt;52,P1234&amp;"-OVRSIZE-",P1234))))</f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s="18" t="str">
        <v/>
      </c>
      <c r="O1234" s="15" t="str" cm="1">
        <f t="array" ref="O1234">IFERROR(_xlfn.LET(
_xlpm.clean,TRIM(SUBSTITUTE(SUBSTITUTE(P1234,CHAR(160),"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4" t="str">
        <f t="shared" si="20"/>
        <v/>
      </c>
    </row>
    <row r="1235" spans="3:19" ht="15.75" customHeight="1">
      <c r="C1235" s="15" t="str" cm="1">
        <f t="array" ref="C1235">IFERROR(_xlfn.TEXTJOIN("",TRUE,_xlfn._xlws.FILTER(MID(S1235,_xlfn.SEQUENCE(LEN(S1235)),1),ISNUMBER(SEARCH(MID(S1235,_xlfn.SEQUENCE(LEN(S1235)),1),"ABCDEFGHIJKLMNOPQRSTUVWXYZabcdefghijklmnopqrstuvwxyz0123456789,")))),"")</f>
        <v/>
      </c>
      <c r="G1235" s="20" t="str" cm="1">
        <f t="array" ref="G1235">IF(TRIM(P1235)="","",IF(SUM(COUNTIF(P1235,{"*NLGD*","*FWG*"}))&gt;0,P1235,IF(SUM(COUNTIF(P1235,{"*GL*","*DGB*","*DGI*","*GT*","*CS*","*PWU*","*DBI*","*SWU*"}))=0,P1235,IF(IFERROR(VALUE(SUBSTITUTE(SUBSTITUTE(O1235,"W",""),"""","")),0)&gt;52,P1235&amp;"-OVRSIZE-",P1235))))</f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s="18" t="str">
        <v/>
      </c>
      <c r="O1235" s="15" t="str" cm="1">
        <f t="array" ref="O1235">IFERROR(_xlfn.LET(
_xlpm.clean,TRIM(SUBSTITUTE(SUBSTITUTE(P1235,CHAR(160),"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5" t="str">
        <f t="shared" si="20"/>
        <v/>
      </c>
    </row>
    <row r="1236" spans="3:19" ht="15.75" customHeight="1">
      <c r="C1236" s="15" t="str" cm="1">
        <f t="array" ref="C1236">IFERROR(_xlfn.TEXTJOIN("",TRUE,_xlfn._xlws.FILTER(MID(S1236,_xlfn.SEQUENCE(LEN(S1236)),1),ISNUMBER(SEARCH(MID(S1236,_xlfn.SEQUENCE(LEN(S1236)),1),"ABCDEFGHIJKLMNOPQRSTUVWXYZabcdefghijklmnopqrstuvwxyz0123456789,")))),"")</f>
        <v/>
      </c>
      <c r="G1236" s="20" t="str" cm="1">
        <f t="array" ref="G1236">IF(TRIM(P1236)="","",IF(SUM(COUNTIF(P1236,{"*NLGD*","*FWG*"}))&gt;0,P1236,IF(SUM(COUNTIF(P1236,{"*GL*","*DGB*","*DGI*","*GT*","*CS*","*PWU*","*DBI*","*SWU*"}))=0,P1236,IF(IFERROR(VALUE(SUBSTITUTE(SUBSTITUTE(O1236,"W",""),"""","")),0)&gt;52,P1236&amp;"-OVRSIZE-",P1236))))</f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s="18" t="str">
        <v/>
      </c>
      <c r="O1236" s="15" t="str" cm="1">
        <f t="array" ref="O1236">IFERROR(_xlfn.LET(
_xlpm.clean,TRIM(SUBSTITUTE(SUBSTITUTE(P1236,CHAR(160),"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6" t="str">
        <f t="shared" si="20"/>
        <v/>
      </c>
    </row>
    <row r="1237" spans="3:19" ht="15.75" customHeight="1">
      <c r="C1237" s="15" t="str" cm="1">
        <f t="array" ref="C1237">IFERROR(_xlfn.TEXTJOIN("",TRUE,_xlfn._xlws.FILTER(MID(S1237,_xlfn.SEQUENCE(LEN(S1237)),1),ISNUMBER(SEARCH(MID(S1237,_xlfn.SEQUENCE(LEN(S1237)),1),"ABCDEFGHIJKLMNOPQRSTUVWXYZabcdefghijklmnopqrstuvwxyz0123456789,")))),"")</f>
        <v/>
      </c>
      <c r="G1237" s="20" t="str" cm="1">
        <f t="array" ref="G1237">IF(TRIM(P1237)="","",IF(SUM(COUNTIF(P1237,{"*NLGD*","*FWG*"}))&gt;0,P1237,IF(SUM(COUNTIF(P1237,{"*GL*","*DGB*","*DGI*","*GT*","*CS*","*PWU*","*DBI*","*SWU*"}))=0,P1237,IF(IFERROR(VALUE(SUBSTITUTE(SUBSTITUTE(O1237,"W",""),"""","")),0)&gt;52,P1237&amp;"-OVRSIZE-",P1237))))</f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s="18" t="str">
        <v/>
      </c>
      <c r="O1237" s="15" t="str" cm="1">
        <f t="array" ref="O1237">IFERROR(_xlfn.LET(
_xlpm.clean,TRIM(SUBSTITUTE(SUBSTITUTE(P1237,CHAR(160),"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7" t="str">
        <f t="shared" si="20"/>
        <v/>
      </c>
    </row>
    <row r="1238" spans="3:19" ht="15.75" customHeight="1">
      <c r="C1238" s="15" t="str" cm="1">
        <f t="array" ref="C1238">IFERROR(_xlfn.TEXTJOIN("",TRUE,_xlfn._xlws.FILTER(MID(S1238,_xlfn.SEQUENCE(LEN(S1238)),1),ISNUMBER(SEARCH(MID(S1238,_xlfn.SEQUENCE(LEN(S1238)),1),"ABCDEFGHIJKLMNOPQRSTUVWXYZabcdefghijklmnopqrstuvwxyz0123456789,")))),"")</f>
        <v/>
      </c>
      <c r="G1238" s="20" t="str" cm="1">
        <f t="array" ref="G1238">IF(TRIM(P1238)="","",IF(SUM(COUNTIF(P1238,{"*NLGD*","*FWG*"}))&gt;0,P1238,IF(SUM(COUNTIF(P1238,{"*GL*","*DGB*","*DGI*","*GT*","*CS*","*PWU*","*DBI*","*SWU*"}))=0,P1238,IF(IFERROR(VALUE(SUBSTITUTE(SUBSTITUTE(O1238,"W",""),"""","")),0)&gt;52,P1238&amp;"-OVRSIZE-",P1238))))</f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s="18" t="str">
        <v/>
      </c>
      <c r="O1238" s="15" t="str" cm="1">
        <f t="array" ref="O1238">IFERROR(_xlfn.LET(
_xlpm.clean,TRIM(SUBSTITUTE(SUBSTITUTE(P1238,CHAR(160),"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8" t="str">
        <f t="shared" si="20"/>
        <v/>
      </c>
    </row>
    <row r="1239" spans="3:19" ht="15.75" customHeight="1">
      <c r="C1239" s="15" t="str" cm="1">
        <f t="array" ref="C1239">IFERROR(_xlfn.TEXTJOIN("",TRUE,_xlfn._xlws.FILTER(MID(S1239,_xlfn.SEQUENCE(LEN(S1239)),1),ISNUMBER(SEARCH(MID(S1239,_xlfn.SEQUENCE(LEN(S1239)),1),"ABCDEFGHIJKLMNOPQRSTUVWXYZabcdefghijklmnopqrstuvwxyz0123456789,")))),"")</f>
        <v/>
      </c>
      <c r="G1239" s="20" t="str" cm="1">
        <f t="array" ref="G1239">IF(TRIM(P1239)="","",IF(SUM(COUNTIF(P1239,{"*NLGD*","*FWG*"}))&gt;0,P1239,IF(SUM(COUNTIF(P1239,{"*GL*","*DGB*","*DGI*","*GT*","*CS*","*PWU*","*DBI*","*SWU*"}))=0,P1239,IF(IFERROR(VALUE(SUBSTITUTE(SUBSTITUTE(O1239,"W",""),"""","")),0)&gt;52,P1239&amp;"-OVRSIZE-",P1239))))</f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s="18" t="str">
        <v/>
      </c>
      <c r="O1239" s="15" t="str" cm="1">
        <f t="array" ref="O1239">IFERROR(_xlfn.LET(
_xlpm.clean,TRIM(SUBSTITUTE(SUBSTITUTE(P1239,CHAR(160),"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9" t="str">
        <f t="shared" si="20"/>
        <v/>
      </c>
    </row>
    <row r="1240" spans="3:19" ht="15.75" customHeight="1">
      <c r="C1240" s="15" t="str" cm="1">
        <f t="array" ref="C1240">IFERROR(_xlfn.TEXTJOIN("",TRUE,_xlfn._xlws.FILTER(MID(S1240,_xlfn.SEQUENCE(LEN(S1240)),1),ISNUMBER(SEARCH(MID(S1240,_xlfn.SEQUENCE(LEN(S1240)),1),"ABCDEFGHIJKLMNOPQRSTUVWXYZabcdefghijklmnopqrstuvwxyz0123456789,")))),"")</f>
        <v/>
      </c>
      <c r="G1240" s="20" t="str" cm="1">
        <f t="array" ref="G1240">IF(TRIM(P1240)="","",IF(SUM(COUNTIF(P1240,{"*NLGD*","*FWG*"}))&gt;0,P1240,IF(SUM(COUNTIF(P1240,{"*GL*","*DGB*","*DGI*","*GT*","*CS*","*PWU*","*DBI*","*SWU*"}))=0,P1240,IF(IFERROR(VALUE(SUBSTITUTE(SUBSTITUTE(O1240,"W",""),"""","")),0)&gt;52,P1240&amp;"-OVRSIZE-",P1240))))</f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s="18" t="str">
        <v/>
      </c>
      <c r="O1240" s="15" t="str" cm="1">
        <f t="array" ref="O1240">IFERROR(_xlfn.LET(
_xlpm.clean,TRIM(SUBSTITUTE(SUBSTITUTE(P1240,CHAR(160),"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0" t="str">
        <f t="shared" si="20"/>
        <v/>
      </c>
    </row>
    <row r="1241" spans="3:19" ht="15.75" customHeight="1">
      <c r="C1241" s="15" t="str" cm="1">
        <f t="array" ref="C1241">IFERROR(_xlfn.TEXTJOIN("",TRUE,_xlfn._xlws.FILTER(MID(S1241,_xlfn.SEQUENCE(LEN(S1241)),1),ISNUMBER(SEARCH(MID(S1241,_xlfn.SEQUENCE(LEN(S1241)),1),"ABCDEFGHIJKLMNOPQRSTUVWXYZabcdefghijklmnopqrstuvwxyz0123456789,")))),"")</f>
        <v/>
      </c>
      <c r="G1241" s="20" t="str" cm="1">
        <f t="array" ref="G1241">IF(TRIM(P1241)="","",IF(SUM(COUNTIF(P1241,{"*NLGD*","*FWG*"}))&gt;0,P1241,IF(SUM(COUNTIF(P1241,{"*GL*","*DGB*","*DGI*","*GT*","*CS*","*PWU*","*DBI*","*SWU*"}))=0,P1241,IF(IFERROR(VALUE(SUBSTITUTE(SUBSTITUTE(O1241,"W",""),"""","")),0)&gt;52,P1241&amp;"-OVRSIZE-",P1241))))</f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s="18" t="str">
        <v/>
      </c>
      <c r="O1241" s="15" t="str" cm="1">
        <f t="array" ref="O1241">IFERROR(_xlfn.LET(
_xlpm.clean,TRIM(SUBSTITUTE(SUBSTITUTE(P1241,CHAR(160),"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1" t="str">
        <f t="shared" si="20"/>
        <v/>
      </c>
    </row>
    <row r="1242" spans="3:19" ht="15.75" customHeight="1">
      <c r="C1242" s="15" t="str" cm="1">
        <f t="array" ref="C1242">IFERROR(_xlfn.TEXTJOIN("",TRUE,_xlfn._xlws.FILTER(MID(S1242,_xlfn.SEQUENCE(LEN(S1242)),1),ISNUMBER(SEARCH(MID(S1242,_xlfn.SEQUENCE(LEN(S1242)),1),"ABCDEFGHIJKLMNOPQRSTUVWXYZabcdefghijklmnopqrstuvwxyz0123456789,")))),"")</f>
        <v/>
      </c>
      <c r="G1242" s="20" t="str" cm="1">
        <f t="array" ref="G1242">IF(TRIM(P1242)="","",IF(SUM(COUNTIF(P1242,{"*NLGD*","*FWG*"}))&gt;0,P1242,IF(SUM(COUNTIF(P1242,{"*GL*","*DGB*","*DGI*","*GT*","*CS*","*PWU*","*DBI*","*SWU*"}))=0,P1242,IF(IFERROR(VALUE(SUBSTITUTE(SUBSTITUTE(O1242,"W",""),"""","")),0)&gt;52,P1242&amp;"-OVRSIZE-",P1242))))</f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s="18" t="str">
        <v/>
      </c>
      <c r="O1242" s="15" t="str" cm="1">
        <f t="array" ref="O1242">IFERROR(_xlfn.LET(
_xlpm.clean,TRIM(SUBSTITUTE(SUBSTITUTE(P1242,CHAR(160),"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2" t="str">
        <f t="shared" si="20"/>
        <v/>
      </c>
    </row>
    <row r="1243" spans="3:19" ht="15.75" customHeight="1">
      <c r="C1243" s="15" t="str" cm="1">
        <f t="array" ref="C1243">IFERROR(_xlfn.TEXTJOIN("",TRUE,_xlfn._xlws.FILTER(MID(S1243,_xlfn.SEQUENCE(LEN(S1243)),1),ISNUMBER(SEARCH(MID(S1243,_xlfn.SEQUENCE(LEN(S1243)),1),"ABCDEFGHIJKLMNOPQRSTUVWXYZabcdefghijklmnopqrstuvwxyz0123456789,")))),"")</f>
        <v/>
      </c>
      <c r="G1243" s="20" t="str" cm="1">
        <f t="array" ref="G1243">IF(TRIM(P1243)="","",IF(SUM(COUNTIF(P1243,{"*NLGD*","*FWG*"}))&gt;0,P1243,IF(SUM(COUNTIF(P1243,{"*GL*","*DGB*","*DGI*","*GT*","*CS*","*PWU*","*DBI*","*SWU*"}))=0,P1243,IF(IFERROR(VALUE(SUBSTITUTE(SUBSTITUTE(O1243,"W",""),"""","")),0)&gt;52,P1243&amp;"-OVRSIZE-",P1243))))</f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s="18" t="str">
        <v/>
      </c>
      <c r="O1243" s="15" t="str" cm="1">
        <f t="array" ref="O1243">IFERROR(_xlfn.LET(
_xlpm.clean,TRIM(SUBSTITUTE(SUBSTITUTE(P1243,CHAR(160),"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3" t="str">
        <f t="shared" si="20"/>
        <v/>
      </c>
    </row>
    <row r="1244" spans="3:19" ht="15.75" customHeight="1">
      <c r="C1244" s="15" t="str" cm="1">
        <f t="array" ref="C1244">IFERROR(_xlfn.TEXTJOIN("",TRUE,_xlfn._xlws.FILTER(MID(S1244,_xlfn.SEQUENCE(LEN(S1244)),1),ISNUMBER(SEARCH(MID(S1244,_xlfn.SEQUENCE(LEN(S1244)),1),"ABCDEFGHIJKLMNOPQRSTUVWXYZabcdefghijklmnopqrstuvwxyz0123456789,")))),"")</f>
        <v/>
      </c>
      <c r="G1244" s="20" t="str" cm="1">
        <f t="array" ref="G1244">IF(TRIM(P1244)="","",IF(SUM(COUNTIF(P1244,{"*NLGD*","*FWG*"}))&gt;0,P1244,IF(SUM(COUNTIF(P1244,{"*GL*","*DGB*","*DGI*","*GT*","*CS*","*PWU*","*DBI*","*SWU*"}))=0,P1244,IF(IFERROR(VALUE(SUBSTITUTE(SUBSTITUTE(O1244,"W",""),"""","")),0)&gt;52,P1244&amp;"-OVRSIZE-",P1244))))</f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s="18" t="str">
        <v/>
      </c>
      <c r="O1244" s="15" t="str" cm="1">
        <f t="array" ref="O1244">IFERROR(_xlfn.LET(
_xlpm.clean,TRIM(SUBSTITUTE(SUBSTITUTE(P1244,CHAR(160),"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4" t="str">
        <f t="shared" si="20"/>
        <v/>
      </c>
    </row>
    <row r="1245" spans="3:19" ht="15.75" customHeight="1">
      <c r="C1245" s="15" t="str" cm="1">
        <f t="array" ref="C1245">IFERROR(_xlfn.TEXTJOIN("",TRUE,_xlfn._xlws.FILTER(MID(S1245,_xlfn.SEQUENCE(LEN(S1245)),1),ISNUMBER(SEARCH(MID(S1245,_xlfn.SEQUENCE(LEN(S1245)),1),"ABCDEFGHIJKLMNOPQRSTUVWXYZabcdefghijklmnopqrstuvwxyz0123456789,")))),"")</f>
        <v/>
      </c>
      <c r="G1245" s="20" t="str" cm="1">
        <f t="array" ref="G1245">IF(TRIM(P1245)="","",IF(SUM(COUNTIF(P1245,{"*NLGD*","*FWG*"}))&gt;0,P1245,IF(SUM(COUNTIF(P1245,{"*GL*","*DGB*","*DGI*","*GT*","*CS*","*PWU*","*DBI*","*SWU*"}))=0,P1245,IF(IFERROR(VALUE(SUBSTITUTE(SUBSTITUTE(O1245,"W",""),"""","")),0)&gt;52,P1245&amp;"-OVRSIZE-",P1245))))</f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s="18" t="str">
        <v/>
      </c>
      <c r="O1245" s="15" t="str" cm="1">
        <f t="array" ref="O1245">IFERROR(_xlfn.LET(
_xlpm.clean,TRIM(SUBSTITUTE(SUBSTITUTE(P1245,CHAR(160),"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5" t="str">
        <f t="shared" si="20"/>
        <v/>
      </c>
    </row>
    <row r="1246" spans="3:19" ht="15.75" customHeight="1">
      <c r="C1246" s="15" t="str" cm="1">
        <f t="array" ref="C1246">IFERROR(_xlfn.TEXTJOIN("",TRUE,_xlfn._xlws.FILTER(MID(S1246,_xlfn.SEQUENCE(LEN(S1246)),1),ISNUMBER(SEARCH(MID(S1246,_xlfn.SEQUENCE(LEN(S1246)),1),"ABCDEFGHIJKLMNOPQRSTUVWXYZabcdefghijklmnopqrstuvwxyz0123456789,")))),"")</f>
        <v/>
      </c>
      <c r="G1246" s="20" t="str" cm="1">
        <f t="array" ref="G1246">IF(TRIM(P1246)="","",IF(SUM(COUNTIF(P1246,{"*NLGD*","*FWG*"}))&gt;0,P1246,IF(SUM(COUNTIF(P1246,{"*GL*","*DGB*","*DGI*","*GT*","*CS*","*PWU*","*DBI*","*SWU*"}))=0,P1246,IF(IFERROR(VALUE(SUBSTITUTE(SUBSTITUTE(O1246,"W",""),"""","")),0)&gt;52,P1246&amp;"-OVRSIZE-",P1246))))</f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s="18" t="str">
        <v/>
      </c>
      <c r="O1246" s="15" t="str" cm="1">
        <f t="array" ref="O1246">IFERROR(_xlfn.LET(
_xlpm.clean,TRIM(SUBSTITUTE(SUBSTITUTE(P1246,CHAR(160),"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6" t="str">
        <f t="shared" si="20"/>
        <v/>
      </c>
    </row>
    <row r="1247" spans="3:19" ht="15.75" customHeight="1">
      <c r="C1247" s="15" t="str" cm="1">
        <f t="array" ref="C1247">IFERROR(_xlfn.TEXTJOIN("",TRUE,_xlfn._xlws.FILTER(MID(S1247,_xlfn.SEQUENCE(LEN(S1247)),1),ISNUMBER(SEARCH(MID(S1247,_xlfn.SEQUENCE(LEN(S1247)),1),"ABCDEFGHIJKLMNOPQRSTUVWXYZabcdefghijklmnopqrstuvwxyz0123456789,")))),"")</f>
        <v/>
      </c>
      <c r="G1247" s="20" t="str" cm="1">
        <f t="array" ref="G1247">IF(TRIM(P1247)="","",IF(SUM(COUNTIF(P1247,{"*NLGD*","*FWG*"}))&gt;0,P1247,IF(SUM(COUNTIF(P1247,{"*GL*","*DGB*","*DGI*","*GT*","*CS*","*PWU*","*DBI*","*SWU*"}))=0,P1247,IF(IFERROR(VALUE(SUBSTITUTE(SUBSTITUTE(O1247,"W",""),"""","")),0)&gt;52,P1247&amp;"-OVRSIZE-",P1247))))</f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s="18" t="str">
        <v/>
      </c>
      <c r="O1247" s="15" t="str" cm="1">
        <f t="array" ref="O1247">IFERROR(_xlfn.LET(
_xlpm.clean,TRIM(SUBSTITUTE(SUBSTITUTE(P1247,CHAR(160),"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7" t="str">
        <f t="shared" si="20"/>
        <v/>
      </c>
    </row>
    <row r="1248" spans="3:19" ht="15.75" customHeight="1">
      <c r="C1248" s="15" t="str" cm="1">
        <f t="array" ref="C1248">IFERROR(_xlfn.TEXTJOIN("",TRUE,_xlfn._xlws.FILTER(MID(S1248,_xlfn.SEQUENCE(LEN(S1248)),1),ISNUMBER(SEARCH(MID(S1248,_xlfn.SEQUENCE(LEN(S1248)),1),"ABCDEFGHIJKLMNOPQRSTUVWXYZabcdefghijklmnopqrstuvwxyz0123456789,")))),"")</f>
        <v/>
      </c>
      <c r="G1248" s="20" t="str" cm="1">
        <f t="array" ref="G1248">IF(TRIM(P1248)="","",IF(SUM(COUNTIF(P1248,{"*NLGD*","*FWG*"}))&gt;0,P1248,IF(SUM(COUNTIF(P1248,{"*GL*","*DGB*","*DGI*","*GT*","*CS*","*PWU*","*DBI*","*SWU*"}))=0,P1248,IF(IFERROR(VALUE(SUBSTITUTE(SUBSTITUTE(O1248,"W",""),"""","")),0)&gt;52,P1248&amp;"-OVRSIZE-",P1248))))</f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s="18" t="str">
        <v/>
      </c>
      <c r="O1248" s="15" t="str" cm="1">
        <f t="array" ref="O1248">IFERROR(_xlfn.LET(
_xlpm.clean,TRIM(SUBSTITUTE(SUBSTITUTE(P1248,CHAR(160),"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8" t="str">
        <f t="shared" si="20"/>
        <v/>
      </c>
    </row>
    <row r="1249" spans="3:19" ht="15.75" customHeight="1">
      <c r="C1249" s="15" t="str" cm="1">
        <f t="array" ref="C1249">IFERROR(_xlfn.TEXTJOIN("",TRUE,_xlfn._xlws.FILTER(MID(S1249,_xlfn.SEQUENCE(LEN(S1249)),1),ISNUMBER(SEARCH(MID(S1249,_xlfn.SEQUENCE(LEN(S1249)),1),"ABCDEFGHIJKLMNOPQRSTUVWXYZabcdefghijklmnopqrstuvwxyz0123456789,")))),"")</f>
        <v/>
      </c>
      <c r="G1249" s="20" t="str" cm="1">
        <f t="array" ref="G1249">IF(TRIM(P1249)="","",IF(SUM(COUNTIF(P1249,{"*NLGD*","*FWG*"}))&gt;0,P1249,IF(SUM(COUNTIF(P1249,{"*GL*","*DGB*","*DGI*","*GT*","*CS*","*PWU*","*DBI*","*SWU*"}))=0,P1249,IF(IFERROR(VALUE(SUBSTITUTE(SUBSTITUTE(O1249,"W",""),"""","")),0)&gt;52,P1249&amp;"-OVRSIZE-",P1249))))</f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s="18" t="str">
        <v/>
      </c>
      <c r="O1249" s="15" t="str" cm="1">
        <f t="array" ref="O1249">IFERROR(_xlfn.LET(
_xlpm.clean,TRIM(SUBSTITUTE(SUBSTITUTE(P1249,CHAR(160),"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9" t="str">
        <f t="shared" si="20"/>
        <v/>
      </c>
    </row>
    <row r="1250" spans="3:19" ht="15.75" customHeight="1">
      <c r="C1250" s="15" t="str" cm="1">
        <f t="array" ref="C1250">IFERROR(_xlfn.TEXTJOIN("",TRUE,_xlfn._xlws.FILTER(MID(S1250,_xlfn.SEQUENCE(LEN(S1250)),1),ISNUMBER(SEARCH(MID(S1250,_xlfn.SEQUENCE(LEN(S1250)),1),"ABCDEFGHIJKLMNOPQRSTUVWXYZabcdefghijklmnopqrstuvwxyz0123456789,")))),"")</f>
        <v/>
      </c>
      <c r="G1250" s="20" t="str" cm="1">
        <f t="array" ref="G1250">IF(TRIM(P1250)="","",IF(SUM(COUNTIF(P1250,{"*NLGD*","*FWG*"}))&gt;0,P1250,IF(SUM(COUNTIF(P1250,{"*GL*","*DGB*","*DGI*","*GT*","*CS*","*PWU*","*DBI*","*SWU*"}))=0,P1250,IF(IFERROR(VALUE(SUBSTITUTE(SUBSTITUTE(O1250,"W",""),"""","")),0)&gt;52,P1250&amp;"-OVRSIZE-",P1250))))</f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s="18" t="str">
        <v/>
      </c>
      <c r="O1250" s="15" t="str" cm="1">
        <f t="array" ref="O1250">IFERROR(_xlfn.LET(
_xlpm.clean,TRIM(SUBSTITUTE(SUBSTITUTE(P1250,CHAR(160),"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0" t="str">
        <f t="shared" si="20"/>
        <v/>
      </c>
    </row>
    <row r="1251" spans="3:19" ht="15.75" customHeight="1">
      <c r="C1251" s="15" t="str" cm="1">
        <f t="array" ref="C1251">IFERROR(_xlfn.TEXTJOIN("",TRUE,_xlfn._xlws.FILTER(MID(S1251,_xlfn.SEQUENCE(LEN(S1251)),1),ISNUMBER(SEARCH(MID(S1251,_xlfn.SEQUENCE(LEN(S1251)),1),"ABCDEFGHIJKLMNOPQRSTUVWXYZabcdefghijklmnopqrstuvwxyz0123456789,")))),"")</f>
        <v/>
      </c>
      <c r="G1251" s="20" t="str" cm="1">
        <f t="array" ref="G1251">IF(TRIM(P1251)="","",IF(SUM(COUNTIF(P1251,{"*NLGD*","*FWG*"}))&gt;0,P1251,IF(SUM(COUNTIF(P1251,{"*GL*","*DGB*","*DGI*","*GT*","*CS*","*PWU*","*DBI*","*SWU*"}))=0,P1251,IF(IFERROR(VALUE(SUBSTITUTE(SUBSTITUTE(O1251,"W",""),"""","")),0)&gt;52,P1251&amp;"-OVRSIZE-",P1251))))</f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s="18" t="str">
        <v/>
      </c>
      <c r="O1251" s="15" t="str" cm="1">
        <f t="array" ref="O1251">IFERROR(_xlfn.LET(
_xlpm.clean,TRIM(SUBSTITUTE(SUBSTITUTE(P1251,CHAR(160),"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1" t="str">
        <f t="shared" si="20"/>
        <v/>
      </c>
    </row>
    <row r="1252" spans="3:19" ht="15.75" customHeight="1">
      <c r="C1252" s="15" t="str" cm="1">
        <f t="array" ref="C1252">IFERROR(_xlfn.TEXTJOIN("",TRUE,_xlfn._xlws.FILTER(MID(S1252,_xlfn.SEQUENCE(LEN(S1252)),1),ISNUMBER(SEARCH(MID(S1252,_xlfn.SEQUENCE(LEN(S1252)),1),"ABCDEFGHIJKLMNOPQRSTUVWXYZabcdefghijklmnopqrstuvwxyz0123456789,")))),"")</f>
        <v/>
      </c>
      <c r="G1252" s="20" t="str" cm="1">
        <f t="array" ref="G1252">IF(TRIM(P1252)="","",IF(SUM(COUNTIF(P1252,{"*NLGD*","*FWG*"}))&gt;0,P1252,IF(SUM(COUNTIF(P1252,{"*GL*","*DGB*","*DGI*","*GT*","*CS*","*PWU*","*DBI*","*SWU*"}))=0,P1252,IF(IFERROR(VALUE(SUBSTITUTE(SUBSTITUTE(O1252,"W",""),"""","")),0)&gt;52,P1252&amp;"-OVRSIZE-",P1252))))</f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s="18" t="str">
        <v/>
      </c>
      <c r="O1252" s="15" t="str" cm="1">
        <f t="array" ref="O1252">IFERROR(_xlfn.LET(
_xlpm.clean,TRIM(SUBSTITUTE(SUBSTITUTE(P1252,CHAR(160),"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2" t="str">
        <f t="shared" si="20"/>
        <v/>
      </c>
    </row>
    <row r="1253" spans="3:19" ht="15.75" customHeight="1">
      <c r="C1253" s="15" t="str" cm="1">
        <f t="array" ref="C1253">IFERROR(_xlfn.TEXTJOIN("",TRUE,_xlfn._xlws.FILTER(MID(S1253,_xlfn.SEQUENCE(LEN(S1253)),1),ISNUMBER(SEARCH(MID(S1253,_xlfn.SEQUENCE(LEN(S1253)),1),"ABCDEFGHIJKLMNOPQRSTUVWXYZabcdefghijklmnopqrstuvwxyz0123456789,")))),"")</f>
        <v/>
      </c>
      <c r="G1253" s="20" t="str" cm="1">
        <f t="array" ref="G1253">IF(TRIM(P1253)="","",IF(SUM(COUNTIF(P1253,{"*NLGD*","*FWG*"}))&gt;0,P1253,IF(SUM(COUNTIF(P1253,{"*GL*","*DGB*","*DGI*","*GT*","*CS*","*PWU*","*DBI*","*SWU*"}))=0,P1253,IF(IFERROR(VALUE(SUBSTITUTE(SUBSTITUTE(O1253,"W",""),"""","")),0)&gt;52,P1253&amp;"-OVRSIZE-",P1253))))</f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s="18" t="str">
        <v/>
      </c>
      <c r="O1253" s="15" t="str" cm="1">
        <f t="array" ref="O1253">IFERROR(_xlfn.LET(
_xlpm.clean,TRIM(SUBSTITUTE(SUBSTITUTE(P1253,CHAR(160),"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3" t="str">
        <f t="shared" si="20"/>
        <v/>
      </c>
    </row>
    <row r="1254" spans="3:19" ht="15.75" customHeight="1">
      <c r="C1254" s="15" t="str" cm="1">
        <f t="array" ref="C1254">IFERROR(_xlfn.TEXTJOIN("",TRUE,_xlfn._xlws.FILTER(MID(S1254,_xlfn.SEQUENCE(LEN(S1254)),1),ISNUMBER(SEARCH(MID(S1254,_xlfn.SEQUENCE(LEN(S1254)),1),"ABCDEFGHIJKLMNOPQRSTUVWXYZabcdefghijklmnopqrstuvwxyz0123456789,")))),"")</f>
        <v/>
      </c>
      <c r="G1254" s="20" t="str" cm="1">
        <f t="array" ref="G1254">IF(TRIM(P1254)="","",IF(SUM(COUNTIF(P1254,{"*NLGD*","*FWG*"}))&gt;0,P1254,IF(SUM(COUNTIF(P1254,{"*GL*","*DGB*","*DGI*","*GT*","*CS*","*PWU*","*DBI*","*SWU*"}))=0,P1254,IF(IFERROR(VALUE(SUBSTITUTE(SUBSTITUTE(O1254,"W",""),"""","")),0)&gt;52,P1254&amp;"-OVRSIZE-",P1254))))</f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s="18" t="str">
        <v/>
      </c>
      <c r="O1254" s="15" t="str" cm="1">
        <f t="array" ref="O1254">IFERROR(_xlfn.LET(
_xlpm.clean,TRIM(SUBSTITUTE(SUBSTITUTE(P1254,CHAR(160),"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4" t="str">
        <f t="shared" si="20"/>
        <v/>
      </c>
    </row>
    <row r="1255" spans="3:19" ht="15.75" customHeight="1">
      <c r="C1255" s="15" t="str" cm="1">
        <f t="array" ref="C1255">IFERROR(_xlfn.TEXTJOIN("",TRUE,_xlfn._xlws.FILTER(MID(S1255,_xlfn.SEQUENCE(LEN(S1255)),1),ISNUMBER(SEARCH(MID(S1255,_xlfn.SEQUENCE(LEN(S1255)),1),"ABCDEFGHIJKLMNOPQRSTUVWXYZabcdefghijklmnopqrstuvwxyz0123456789,")))),"")</f>
        <v/>
      </c>
      <c r="G1255" s="20" t="str" cm="1">
        <f t="array" ref="G1255">IF(TRIM(P1255)="","",IF(SUM(COUNTIF(P1255,{"*NLGD*","*FWG*"}))&gt;0,P1255,IF(SUM(COUNTIF(P1255,{"*GL*","*DGB*","*DGI*","*GT*","*CS*","*PWU*","*DBI*","*SWU*"}))=0,P1255,IF(IFERROR(VALUE(SUBSTITUTE(SUBSTITUTE(O1255,"W",""),"""","")),0)&gt;52,P1255&amp;"-OVRSIZE-",P1255))))</f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s="18" t="str">
        <v/>
      </c>
      <c r="O1255" s="15" t="str" cm="1">
        <f t="array" ref="O1255">IFERROR(_xlfn.LET(
_xlpm.clean,TRIM(SUBSTITUTE(SUBSTITUTE(P1255,CHAR(160),"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5" t="str">
        <f t="shared" si="20"/>
        <v/>
      </c>
    </row>
    <row r="1256" spans="3:19" ht="15.75" customHeight="1">
      <c r="C1256" s="15" t="str" cm="1">
        <f t="array" ref="C1256">IFERROR(_xlfn.TEXTJOIN("",TRUE,_xlfn._xlws.FILTER(MID(S1256,_xlfn.SEQUENCE(LEN(S1256)),1),ISNUMBER(SEARCH(MID(S1256,_xlfn.SEQUENCE(LEN(S1256)),1),"ABCDEFGHIJKLMNOPQRSTUVWXYZabcdefghijklmnopqrstuvwxyz0123456789,")))),"")</f>
        <v/>
      </c>
      <c r="G1256" s="20" t="str" cm="1">
        <f t="array" ref="G1256">IF(TRIM(P1256)="","",IF(SUM(COUNTIF(P1256,{"*NLGD*","*FWG*"}))&gt;0,P1256,IF(SUM(COUNTIF(P1256,{"*GL*","*DGB*","*DGI*","*GT*","*CS*","*PWU*","*DBI*","*SWU*"}))=0,P1256,IF(IFERROR(VALUE(SUBSTITUTE(SUBSTITUTE(O1256,"W",""),"""","")),0)&gt;52,P1256&amp;"-OVRSIZE-",P1256))))</f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s="18" t="str">
        <v/>
      </c>
      <c r="O1256" s="15" t="str" cm="1">
        <f t="array" ref="O1256">IFERROR(_xlfn.LET(
_xlpm.clean,TRIM(SUBSTITUTE(SUBSTITUTE(P1256,CHAR(160),"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6" t="str">
        <f t="shared" si="20"/>
        <v/>
      </c>
    </row>
    <row r="1257" spans="3:19" ht="15.75" customHeight="1">
      <c r="C1257" s="15" t="str" cm="1">
        <f t="array" ref="C1257">IFERROR(_xlfn.TEXTJOIN("",TRUE,_xlfn._xlws.FILTER(MID(S1257,_xlfn.SEQUENCE(LEN(S1257)),1),ISNUMBER(SEARCH(MID(S1257,_xlfn.SEQUENCE(LEN(S1257)),1),"ABCDEFGHIJKLMNOPQRSTUVWXYZabcdefghijklmnopqrstuvwxyz0123456789,")))),"")</f>
        <v/>
      </c>
      <c r="G1257" s="20" t="str" cm="1">
        <f t="array" ref="G1257">IF(TRIM(P1257)="","",IF(SUM(COUNTIF(P1257,{"*NLGD*","*FWG*"}))&gt;0,P1257,IF(SUM(COUNTIF(P1257,{"*GL*","*DGB*","*DGI*","*GT*","*CS*","*PWU*","*DBI*","*SWU*"}))=0,P1257,IF(IFERROR(VALUE(SUBSTITUTE(SUBSTITUTE(O1257,"W",""),"""","")),0)&gt;52,P1257&amp;"-OVRSIZE-",P1257))))</f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s="18" t="str">
        <v/>
      </c>
      <c r="O1257" s="15" t="str" cm="1">
        <f t="array" ref="O1257">IFERROR(_xlfn.LET(
_xlpm.clean,TRIM(SUBSTITUTE(SUBSTITUTE(P1257,CHAR(160),"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7" t="str">
        <f t="shared" si="20"/>
        <v/>
      </c>
    </row>
    <row r="1258" spans="3:19" ht="15.75" customHeight="1">
      <c r="C1258" s="15" t="str" cm="1">
        <f t="array" ref="C1258">IFERROR(_xlfn.TEXTJOIN("",TRUE,_xlfn._xlws.FILTER(MID(S1258,_xlfn.SEQUENCE(LEN(S1258)),1),ISNUMBER(SEARCH(MID(S1258,_xlfn.SEQUENCE(LEN(S1258)),1),"ABCDEFGHIJKLMNOPQRSTUVWXYZabcdefghijklmnopqrstuvwxyz0123456789,")))),"")</f>
        <v/>
      </c>
      <c r="G1258" s="20" t="str" cm="1">
        <f t="array" ref="G1258">IF(TRIM(P1258)="","",IF(SUM(COUNTIF(P1258,{"*NLGD*","*FWG*"}))&gt;0,P1258,IF(SUM(COUNTIF(P1258,{"*GL*","*DGB*","*DGI*","*GT*","*CS*","*PWU*","*DBI*","*SWU*"}))=0,P1258,IF(IFERROR(VALUE(SUBSTITUTE(SUBSTITUTE(O1258,"W",""),"""","")),0)&gt;52,P1258&amp;"-OVRSIZE-",P1258))))</f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s="18" t="str">
        <v/>
      </c>
      <c r="O1258" s="15" t="str" cm="1">
        <f t="array" ref="O1258">IFERROR(_xlfn.LET(
_xlpm.clean,TRIM(SUBSTITUTE(SUBSTITUTE(P1258,CHAR(160),"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8" t="str">
        <f t="shared" si="20"/>
        <v/>
      </c>
    </row>
    <row r="1259" spans="3:19" ht="15.75" customHeight="1">
      <c r="C1259" s="15" t="str" cm="1">
        <f t="array" ref="C1259">IFERROR(_xlfn.TEXTJOIN("",TRUE,_xlfn._xlws.FILTER(MID(S1259,_xlfn.SEQUENCE(LEN(S1259)),1),ISNUMBER(SEARCH(MID(S1259,_xlfn.SEQUENCE(LEN(S1259)),1),"ABCDEFGHIJKLMNOPQRSTUVWXYZabcdefghijklmnopqrstuvwxyz0123456789,")))),"")</f>
        <v/>
      </c>
      <c r="G1259" s="20" t="str" cm="1">
        <f t="array" ref="G1259">IF(TRIM(P1259)="","",IF(SUM(COUNTIF(P1259,{"*NLGD*","*FWG*"}))&gt;0,P1259,IF(SUM(COUNTIF(P1259,{"*GL*","*DGB*","*DGI*","*GT*","*CS*","*PWU*","*DBI*","*SWU*"}))=0,P1259,IF(IFERROR(VALUE(SUBSTITUTE(SUBSTITUTE(O1259,"W",""),"""","")),0)&gt;52,P1259&amp;"-OVRSIZE-",P1259))))</f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s="18" t="str">
        <v/>
      </c>
      <c r="O1259" s="15" t="str" cm="1">
        <f t="array" ref="O1259">IFERROR(_xlfn.LET(
_xlpm.clean,TRIM(SUBSTITUTE(SUBSTITUTE(P1259,CHAR(160),"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9" t="str">
        <f t="shared" si="20"/>
        <v/>
      </c>
    </row>
    <row r="1260" spans="3:19" ht="15.75" customHeight="1">
      <c r="C1260" s="15" t="str" cm="1">
        <f t="array" ref="C1260">IFERROR(_xlfn.TEXTJOIN("",TRUE,_xlfn._xlws.FILTER(MID(S1260,_xlfn.SEQUENCE(LEN(S1260)),1),ISNUMBER(SEARCH(MID(S1260,_xlfn.SEQUENCE(LEN(S1260)),1),"ABCDEFGHIJKLMNOPQRSTUVWXYZabcdefghijklmnopqrstuvwxyz0123456789,")))),"")</f>
        <v/>
      </c>
      <c r="G1260" s="20" t="str" cm="1">
        <f t="array" ref="G1260">IF(TRIM(P1260)="","",IF(SUM(COUNTIF(P1260,{"*NLGD*","*FWG*"}))&gt;0,P1260,IF(SUM(COUNTIF(P1260,{"*GL*","*DGB*","*DGI*","*GT*","*CS*","*PWU*","*DBI*","*SWU*"}))=0,P1260,IF(IFERROR(VALUE(SUBSTITUTE(SUBSTITUTE(O1260,"W",""),"""","")),0)&gt;52,P1260&amp;"-OVRSIZE-",P1260))))</f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s="18" t="str">
        <v/>
      </c>
      <c r="O1260" s="15" t="str" cm="1">
        <f t="array" ref="O1260">IFERROR(_xlfn.LET(
_xlpm.clean,TRIM(SUBSTITUTE(SUBSTITUTE(P1260,CHAR(160),"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0" t="str">
        <f t="shared" si="20"/>
        <v/>
      </c>
    </row>
    <row r="1261" spans="3:19" ht="15.75" customHeight="1">
      <c r="C1261" s="15" t="str" cm="1">
        <f t="array" ref="C1261">IFERROR(_xlfn.TEXTJOIN("",TRUE,_xlfn._xlws.FILTER(MID(S1261,_xlfn.SEQUENCE(LEN(S1261)),1),ISNUMBER(SEARCH(MID(S1261,_xlfn.SEQUENCE(LEN(S1261)),1),"ABCDEFGHIJKLMNOPQRSTUVWXYZabcdefghijklmnopqrstuvwxyz0123456789,")))),"")</f>
        <v/>
      </c>
      <c r="G1261" s="20" t="str" cm="1">
        <f t="array" ref="G1261">IF(TRIM(P1261)="","",IF(SUM(COUNTIF(P1261,{"*NLGD*","*FWG*"}))&gt;0,P1261,IF(SUM(COUNTIF(P1261,{"*GL*","*DGB*","*DGI*","*GT*","*CS*","*PWU*","*DBI*","*SWU*"}))=0,P1261,IF(IFERROR(VALUE(SUBSTITUTE(SUBSTITUTE(O1261,"W",""),"""","")),0)&gt;52,P1261&amp;"-OVRSIZE-",P1261))))</f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s="18" t="str">
        <v/>
      </c>
      <c r="O1261" s="15" t="str" cm="1">
        <f t="array" ref="O1261">IFERROR(_xlfn.LET(
_xlpm.clean,TRIM(SUBSTITUTE(SUBSTITUTE(P1261,CHAR(160),"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1" t="str">
        <f t="shared" si="20"/>
        <v/>
      </c>
    </row>
    <row r="1262" spans="3:19" ht="15.75" customHeight="1">
      <c r="C1262" s="15" t="str" cm="1">
        <f t="array" ref="C1262">IFERROR(_xlfn.TEXTJOIN("",TRUE,_xlfn._xlws.FILTER(MID(S1262,_xlfn.SEQUENCE(LEN(S1262)),1),ISNUMBER(SEARCH(MID(S1262,_xlfn.SEQUENCE(LEN(S1262)),1),"ABCDEFGHIJKLMNOPQRSTUVWXYZabcdefghijklmnopqrstuvwxyz0123456789,")))),"")</f>
        <v/>
      </c>
      <c r="G1262" s="20" t="str" cm="1">
        <f t="array" ref="G1262">IF(TRIM(P1262)="","",IF(SUM(COUNTIF(P1262,{"*NLGD*","*FWG*"}))&gt;0,P1262,IF(SUM(COUNTIF(P1262,{"*GL*","*DGB*","*DGI*","*GT*","*CS*","*PWU*","*DBI*","*SWU*"}))=0,P1262,IF(IFERROR(VALUE(SUBSTITUTE(SUBSTITUTE(O1262,"W",""),"""","")),0)&gt;52,P1262&amp;"-OVRSIZE-",P1262))))</f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s="18" t="str">
        <v/>
      </c>
      <c r="O1262" s="15" t="str" cm="1">
        <f t="array" ref="O1262">IFERROR(_xlfn.LET(
_xlpm.clean,TRIM(SUBSTITUTE(SUBSTITUTE(P1262,CHAR(160),"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2" t="str">
        <f t="shared" si="20"/>
        <v/>
      </c>
    </row>
    <row r="1263" spans="3:19" ht="15.75" customHeight="1">
      <c r="C1263" s="15" t="str" cm="1">
        <f t="array" ref="C1263">IFERROR(_xlfn.TEXTJOIN("",TRUE,_xlfn._xlws.FILTER(MID(S1263,_xlfn.SEQUENCE(LEN(S1263)),1),ISNUMBER(SEARCH(MID(S1263,_xlfn.SEQUENCE(LEN(S1263)),1),"ABCDEFGHIJKLMNOPQRSTUVWXYZabcdefghijklmnopqrstuvwxyz0123456789,")))),"")</f>
        <v/>
      </c>
      <c r="G1263" s="20" t="str" cm="1">
        <f t="array" ref="G1263">IF(TRIM(P1263)="","",IF(SUM(COUNTIF(P1263,{"*NLGD*","*FWG*"}))&gt;0,P1263,IF(SUM(COUNTIF(P1263,{"*GL*","*DGB*","*DGI*","*GT*","*CS*","*PWU*","*DBI*","*SWU*"}))=0,P1263,IF(IFERROR(VALUE(SUBSTITUTE(SUBSTITUTE(O1263,"W",""),"""","")),0)&gt;52,P1263&amp;"-OVRSIZE-",P1263))))</f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s="18" t="str">
        <v/>
      </c>
      <c r="O1263" s="15" t="str" cm="1">
        <f t="array" ref="O1263">IFERROR(_xlfn.LET(
_xlpm.clean,TRIM(SUBSTITUTE(SUBSTITUTE(P1263,CHAR(160),"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3" t="str">
        <f t="shared" si="20"/>
        <v/>
      </c>
    </row>
    <row r="1264" spans="3:19" ht="15.75" customHeight="1">
      <c r="C1264" s="15" t="str" cm="1">
        <f t="array" ref="C1264">IFERROR(_xlfn.TEXTJOIN("",TRUE,_xlfn._xlws.FILTER(MID(S1264,_xlfn.SEQUENCE(LEN(S1264)),1),ISNUMBER(SEARCH(MID(S1264,_xlfn.SEQUENCE(LEN(S1264)),1),"ABCDEFGHIJKLMNOPQRSTUVWXYZabcdefghijklmnopqrstuvwxyz0123456789,")))),"")</f>
        <v/>
      </c>
      <c r="G1264" s="20" t="str" cm="1">
        <f t="array" ref="G1264">IF(TRIM(P1264)="","",IF(SUM(COUNTIF(P1264,{"*NLGD*","*FWG*"}))&gt;0,P1264,IF(SUM(COUNTIF(P1264,{"*GL*","*DGB*","*DGI*","*GT*","*CS*","*PWU*","*DBI*","*SWU*"}))=0,P1264,IF(IFERROR(VALUE(SUBSTITUTE(SUBSTITUTE(O1264,"W",""),"""","")),0)&gt;52,P1264&amp;"-OVRSIZE-",P1264))))</f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s="18" t="str">
        <v/>
      </c>
      <c r="O1264" s="15" t="str" cm="1">
        <f t="array" ref="O1264">IFERROR(_xlfn.LET(
_xlpm.clean,TRIM(SUBSTITUTE(SUBSTITUTE(P1264,CHAR(160),"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4" t="str">
        <f t="shared" si="20"/>
        <v/>
      </c>
    </row>
    <row r="1265" spans="3:19" ht="15.75" customHeight="1">
      <c r="C1265" s="15" t="str" cm="1">
        <f t="array" ref="C1265">IFERROR(_xlfn.TEXTJOIN("",TRUE,_xlfn._xlws.FILTER(MID(S1265,_xlfn.SEQUENCE(LEN(S1265)),1),ISNUMBER(SEARCH(MID(S1265,_xlfn.SEQUENCE(LEN(S1265)),1),"ABCDEFGHIJKLMNOPQRSTUVWXYZabcdefghijklmnopqrstuvwxyz0123456789,")))),"")</f>
        <v/>
      </c>
      <c r="G1265" s="20" t="str" cm="1">
        <f t="array" ref="G1265">IF(TRIM(P1265)="","",IF(SUM(COUNTIF(P1265,{"*NLGD*","*FWG*"}))&gt;0,P1265,IF(SUM(COUNTIF(P1265,{"*GL*","*DGB*","*DGI*","*GT*","*CS*","*PWU*","*DBI*","*SWU*"}))=0,P1265,IF(IFERROR(VALUE(SUBSTITUTE(SUBSTITUTE(O1265,"W",""),"""","")),0)&gt;52,P1265&amp;"-OVRSIZE-",P1265))))</f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s="18" t="str">
        <v/>
      </c>
      <c r="O1265" s="15" t="str" cm="1">
        <f t="array" ref="O1265">IFERROR(_xlfn.LET(
_xlpm.clean,TRIM(SUBSTITUTE(SUBSTITUTE(P1265,CHAR(160),"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5" t="str">
        <f t="shared" si="20"/>
        <v/>
      </c>
    </row>
    <row r="1266" spans="3:19" ht="15.75" customHeight="1">
      <c r="C1266" s="15" t="str" cm="1">
        <f t="array" ref="C1266">IFERROR(_xlfn.TEXTJOIN("",TRUE,_xlfn._xlws.FILTER(MID(S1266,_xlfn.SEQUENCE(LEN(S1266)),1),ISNUMBER(SEARCH(MID(S1266,_xlfn.SEQUENCE(LEN(S1266)),1),"ABCDEFGHIJKLMNOPQRSTUVWXYZabcdefghijklmnopqrstuvwxyz0123456789,")))),"")</f>
        <v/>
      </c>
      <c r="G1266" s="20" t="str" cm="1">
        <f t="array" ref="G1266">IF(TRIM(P1266)="","",IF(SUM(COUNTIF(P1266,{"*NLGD*","*FWG*"}))&gt;0,P1266,IF(SUM(COUNTIF(P1266,{"*GL*","*DGB*","*DGI*","*GT*","*CS*","*PWU*","*DBI*","*SWU*"}))=0,P1266,IF(IFERROR(VALUE(SUBSTITUTE(SUBSTITUTE(O1266,"W",""),"""","")),0)&gt;52,P1266&amp;"-OVRSIZE-",P1266))))</f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s="18" t="str">
        <v/>
      </c>
      <c r="O1266" s="15" t="str" cm="1">
        <f t="array" ref="O1266">IFERROR(_xlfn.LET(
_xlpm.clean,TRIM(SUBSTITUTE(SUBSTITUTE(P1266,CHAR(160),"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6" t="str">
        <f t="shared" si="20"/>
        <v/>
      </c>
    </row>
    <row r="1267" spans="3:19" ht="15.75" customHeight="1">
      <c r="C1267" s="15" t="str" cm="1">
        <f t="array" ref="C1267">IFERROR(_xlfn.TEXTJOIN("",TRUE,_xlfn._xlws.FILTER(MID(S1267,_xlfn.SEQUENCE(LEN(S1267)),1),ISNUMBER(SEARCH(MID(S1267,_xlfn.SEQUENCE(LEN(S1267)),1),"ABCDEFGHIJKLMNOPQRSTUVWXYZabcdefghijklmnopqrstuvwxyz0123456789,")))),"")</f>
        <v/>
      </c>
      <c r="G1267" s="20" t="str" cm="1">
        <f t="array" ref="G1267">IF(TRIM(P1267)="","",IF(SUM(COUNTIF(P1267,{"*NLGD*","*FWG*"}))&gt;0,P1267,IF(SUM(COUNTIF(P1267,{"*GL*","*DGB*","*DGI*","*GT*","*CS*","*PWU*","*DBI*","*SWU*"}))=0,P1267,IF(IFERROR(VALUE(SUBSTITUTE(SUBSTITUTE(O1267,"W",""),"""","")),0)&gt;52,P1267&amp;"-OVRSIZE-",P1267))))</f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s="18" t="str">
        <v/>
      </c>
      <c r="O1267" s="15" t="str" cm="1">
        <f t="array" ref="O1267">IFERROR(_xlfn.LET(
_xlpm.clean,TRIM(SUBSTITUTE(SUBSTITUTE(P1267,CHAR(160),"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7" t="str">
        <f t="shared" si="20"/>
        <v/>
      </c>
    </row>
    <row r="1268" spans="3:19" ht="15.75" customHeight="1">
      <c r="C1268" s="15" t="str" cm="1">
        <f t="array" ref="C1268">IFERROR(_xlfn.TEXTJOIN("",TRUE,_xlfn._xlws.FILTER(MID(S1268,_xlfn.SEQUENCE(LEN(S1268)),1),ISNUMBER(SEARCH(MID(S1268,_xlfn.SEQUENCE(LEN(S1268)),1),"ABCDEFGHIJKLMNOPQRSTUVWXYZabcdefghijklmnopqrstuvwxyz0123456789,")))),"")</f>
        <v/>
      </c>
      <c r="G1268" s="20" t="str" cm="1">
        <f t="array" ref="G1268">IF(TRIM(P1268)="","",IF(SUM(COUNTIF(P1268,{"*NLGD*","*FWG*"}))&gt;0,P1268,IF(SUM(COUNTIF(P1268,{"*GL*","*DGB*","*DGI*","*GT*","*CS*","*PWU*","*DBI*","*SWU*"}))=0,P1268,IF(IFERROR(VALUE(SUBSTITUTE(SUBSTITUTE(O1268,"W",""),"""","")),0)&gt;52,P1268&amp;"-OVRSIZE-",P1268))))</f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s="18" t="str">
        <v/>
      </c>
      <c r="O1268" s="15" t="str" cm="1">
        <f t="array" ref="O1268">IFERROR(_xlfn.LET(
_xlpm.clean,TRIM(SUBSTITUTE(SUBSTITUTE(P1268,CHAR(160),"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8" t="str">
        <f t="shared" si="20"/>
        <v/>
      </c>
    </row>
    <row r="1269" spans="3:19" ht="15.75" customHeight="1">
      <c r="C1269" s="15" t="str" cm="1">
        <f t="array" ref="C1269">IFERROR(_xlfn.TEXTJOIN("",TRUE,_xlfn._xlws.FILTER(MID(S1269,_xlfn.SEQUENCE(LEN(S1269)),1),ISNUMBER(SEARCH(MID(S1269,_xlfn.SEQUENCE(LEN(S1269)),1),"ABCDEFGHIJKLMNOPQRSTUVWXYZabcdefghijklmnopqrstuvwxyz0123456789,")))),"")</f>
        <v/>
      </c>
      <c r="G1269" s="20" t="str" cm="1">
        <f t="array" ref="G1269">IF(TRIM(P1269)="","",IF(SUM(COUNTIF(P1269,{"*NLGD*","*FWG*"}))&gt;0,P1269,IF(SUM(COUNTIF(P1269,{"*GL*","*DGB*","*DGI*","*GT*","*CS*","*PWU*","*DBI*","*SWU*"}))=0,P1269,IF(IFERROR(VALUE(SUBSTITUTE(SUBSTITUTE(O1269,"W",""),"""","")),0)&gt;52,P1269&amp;"-OVRSIZE-",P1269))))</f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s="18" t="str">
        <v/>
      </c>
      <c r="O1269" s="15" t="str" cm="1">
        <f t="array" ref="O1269">IFERROR(_xlfn.LET(
_xlpm.clean,TRIM(SUBSTITUTE(SUBSTITUTE(P1269,CHAR(160),"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9" t="str">
        <f t="shared" si="20"/>
        <v/>
      </c>
    </row>
    <row r="1270" spans="3:19" ht="15.75" customHeight="1">
      <c r="C1270" s="15" t="str" cm="1">
        <f t="array" ref="C1270">IFERROR(_xlfn.TEXTJOIN("",TRUE,_xlfn._xlws.FILTER(MID(S1270,_xlfn.SEQUENCE(LEN(S1270)),1),ISNUMBER(SEARCH(MID(S1270,_xlfn.SEQUENCE(LEN(S1270)),1),"ABCDEFGHIJKLMNOPQRSTUVWXYZabcdefghijklmnopqrstuvwxyz0123456789,")))),"")</f>
        <v/>
      </c>
      <c r="G1270" s="20" t="str" cm="1">
        <f t="array" ref="G1270">IF(TRIM(P1270)="","",IF(SUM(COUNTIF(P1270,{"*NLGD*","*FWG*"}))&gt;0,P1270,IF(SUM(COUNTIF(P1270,{"*GL*","*DGB*","*DGI*","*GT*","*CS*","*PWU*","*DBI*","*SWU*"}))=0,P1270,IF(IFERROR(VALUE(SUBSTITUTE(SUBSTITUTE(O1270,"W",""),"""","")),0)&gt;52,P1270&amp;"-OVRSIZE-",P1270))))</f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s="18" t="str">
        <v/>
      </c>
      <c r="O1270" s="15" t="str" cm="1">
        <f t="array" ref="O1270">IFERROR(_xlfn.LET(
_xlpm.clean,TRIM(SUBSTITUTE(SUBSTITUTE(P1270,CHAR(160),"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0" t="str">
        <f t="shared" si="20"/>
        <v/>
      </c>
    </row>
    <row r="1271" spans="3:19" ht="15.75" customHeight="1">
      <c r="C1271" s="15" t="str" cm="1">
        <f t="array" ref="C1271">IFERROR(_xlfn.TEXTJOIN("",TRUE,_xlfn._xlws.FILTER(MID(S1271,_xlfn.SEQUENCE(LEN(S1271)),1),ISNUMBER(SEARCH(MID(S1271,_xlfn.SEQUENCE(LEN(S1271)),1),"ABCDEFGHIJKLMNOPQRSTUVWXYZabcdefghijklmnopqrstuvwxyz0123456789,")))),"")</f>
        <v/>
      </c>
      <c r="G1271" s="20" t="str" cm="1">
        <f t="array" ref="G1271">IF(TRIM(P1271)="","",IF(SUM(COUNTIF(P1271,{"*NLGD*","*FWG*"}))&gt;0,P1271,IF(SUM(COUNTIF(P1271,{"*GL*","*DGB*","*DGI*","*GT*","*CS*","*PWU*","*DBI*","*SWU*"}))=0,P1271,IF(IFERROR(VALUE(SUBSTITUTE(SUBSTITUTE(O1271,"W",""),"""","")),0)&gt;52,P1271&amp;"-OVRSIZE-",P1271))))</f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s="18" t="str">
        <v/>
      </c>
      <c r="O1271" s="15" t="str" cm="1">
        <f t="array" ref="O1271">IFERROR(_xlfn.LET(
_xlpm.clean,TRIM(SUBSTITUTE(SUBSTITUTE(P1271,CHAR(160),"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1" t="str">
        <f t="shared" si="20"/>
        <v/>
      </c>
    </row>
    <row r="1272" spans="3:19" ht="15.75" customHeight="1">
      <c r="C1272" s="15" t="str" cm="1">
        <f t="array" ref="C1272">IFERROR(_xlfn.TEXTJOIN("",TRUE,_xlfn._xlws.FILTER(MID(S1272,_xlfn.SEQUENCE(LEN(S1272)),1),ISNUMBER(SEARCH(MID(S1272,_xlfn.SEQUENCE(LEN(S1272)),1),"ABCDEFGHIJKLMNOPQRSTUVWXYZabcdefghijklmnopqrstuvwxyz0123456789,")))),"")</f>
        <v/>
      </c>
      <c r="G1272" s="20" t="str" cm="1">
        <f t="array" ref="G1272">IF(TRIM(P1272)="","",IF(SUM(COUNTIF(P1272,{"*NLGD*","*FWG*"}))&gt;0,P1272,IF(SUM(COUNTIF(P1272,{"*GL*","*DGB*","*DGI*","*GT*","*CS*","*PWU*","*DBI*","*SWU*"}))=0,P1272,IF(IFERROR(VALUE(SUBSTITUTE(SUBSTITUTE(O1272,"W",""),"""","")),0)&gt;52,P1272&amp;"-OVRSIZE-",P1272))))</f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s="18" t="str">
        <v/>
      </c>
      <c r="O1272" s="15" t="str" cm="1">
        <f t="array" ref="O1272">IFERROR(_xlfn.LET(
_xlpm.clean,TRIM(SUBSTITUTE(SUBSTITUTE(P1272,CHAR(160),"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2" t="str">
        <f t="shared" si="20"/>
        <v/>
      </c>
    </row>
    <row r="1273" spans="3:19" ht="15.75" customHeight="1">
      <c r="C1273" s="15" t="str" cm="1">
        <f t="array" ref="C1273">IFERROR(_xlfn.TEXTJOIN("",TRUE,_xlfn._xlws.FILTER(MID(S1273,_xlfn.SEQUENCE(LEN(S1273)),1),ISNUMBER(SEARCH(MID(S1273,_xlfn.SEQUENCE(LEN(S1273)),1),"ABCDEFGHIJKLMNOPQRSTUVWXYZabcdefghijklmnopqrstuvwxyz0123456789,")))),"")</f>
        <v/>
      </c>
      <c r="G1273" s="20" t="str" cm="1">
        <f t="array" ref="G1273">IF(TRIM(P1273)="","",IF(SUM(COUNTIF(P1273,{"*NLGD*","*FWG*"}))&gt;0,P1273,IF(SUM(COUNTIF(P1273,{"*GL*","*DGB*","*DGI*","*GT*","*CS*","*PWU*","*DBI*","*SWU*"}))=0,P1273,IF(IFERROR(VALUE(SUBSTITUTE(SUBSTITUTE(O1273,"W",""),"""","")),0)&gt;52,P1273&amp;"-OVRSIZE-",P1273))))</f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s="18" t="str">
        <v/>
      </c>
      <c r="O1273" s="15" t="str" cm="1">
        <f t="array" ref="O1273">IFERROR(_xlfn.LET(
_xlpm.clean,TRIM(SUBSTITUTE(SUBSTITUTE(P1273,CHAR(160),"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3" t="str">
        <f t="shared" si="20"/>
        <v/>
      </c>
    </row>
    <row r="1274" spans="3:19" ht="15.75" customHeight="1">
      <c r="C1274" s="15" t="str" cm="1">
        <f t="array" ref="C1274">IFERROR(_xlfn.TEXTJOIN("",TRUE,_xlfn._xlws.FILTER(MID(S1274,_xlfn.SEQUENCE(LEN(S1274)),1),ISNUMBER(SEARCH(MID(S1274,_xlfn.SEQUENCE(LEN(S1274)),1),"ABCDEFGHIJKLMNOPQRSTUVWXYZabcdefghijklmnopqrstuvwxyz0123456789,")))),"")</f>
        <v/>
      </c>
      <c r="G1274" s="20" t="str" cm="1">
        <f t="array" ref="G1274">IF(TRIM(P1274)="","",IF(SUM(COUNTIF(P1274,{"*NLGD*","*FWG*"}))&gt;0,P1274,IF(SUM(COUNTIF(P1274,{"*GL*","*DGB*","*DGI*","*GT*","*CS*","*PWU*","*DBI*","*SWU*"}))=0,P1274,IF(IFERROR(VALUE(SUBSTITUTE(SUBSTITUTE(O1274,"W",""),"""","")),0)&gt;52,P1274&amp;"-OVRSIZE-",P1274))))</f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s="18" t="str">
        <v/>
      </c>
      <c r="O1274" s="15" t="str" cm="1">
        <f t="array" ref="O1274">IFERROR(_xlfn.LET(
_xlpm.clean,TRIM(SUBSTITUTE(SUBSTITUTE(P1274,CHAR(160),"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4" t="str">
        <f t="shared" si="20"/>
        <v/>
      </c>
    </row>
    <row r="1275" spans="3:19" ht="15.75" customHeight="1">
      <c r="C1275" s="15" t="str" cm="1">
        <f t="array" ref="C1275">IFERROR(_xlfn.TEXTJOIN("",TRUE,_xlfn._xlws.FILTER(MID(S1275,_xlfn.SEQUENCE(LEN(S1275)),1),ISNUMBER(SEARCH(MID(S1275,_xlfn.SEQUENCE(LEN(S1275)),1),"ABCDEFGHIJKLMNOPQRSTUVWXYZabcdefghijklmnopqrstuvwxyz0123456789,")))),"")</f>
        <v/>
      </c>
      <c r="G1275" s="20" t="str" cm="1">
        <f t="array" ref="G1275">IF(TRIM(P1275)="","",IF(SUM(COUNTIF(P1275,{"*NLGD*","*FWG*"}))&gt;0,P1275,IF(SUM(COUNTIF(P1275,{"*GL*","*DGB*","*DGI*","*GT*","*CS*","*PWU*","*DBI*","*SWU*"}))=0,P1275,IF(IFERROR(VALUE(SUBSTITUTE(SUBSTITUTE(O1275,"W",""),"""","")),0)&gt;52,P1275&amp;"-OVRSIZE-",P1275))))</f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s="18" t="str">
        <v/>
      </c>
      <c r="O1275" s="15" t="str" cm="1">
        <f t="array" ref="O1275">IFERROR(_xlfn.LET(
_xlpm.clean,TRIM(SUBSTITUTE(SUBSTITUTE(P1275,CHAR(160),"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5" t="str">
        <f t="shared" si="20"/>
        <v/>
      </c>
    </row>
    <row r="1276" spans="3:19" ht="15.75" customHeight="1">
      <c r="C1276" s="15" t="str" cm="1">
        <f t="array" ref="C1276">IFERROR(_xlfn.TEXTJOIN("",TRUE,_xlfn._xlws.FILTER(MID(S1276,_xlfn.SEQUENCE(LEN(S1276)),1),ISNUMBER(SEARCH(MID(S1276,_xlfn.SEQUENCE(LEN(S1276)),1),"ABCDEFGHIJKLMNOPQRSTUVWXYZabcdefghijklmnopqrstuvwxyz0123456789,")))),"")</f>
        <v/>
      </c>
      <c r="G1276" s="20" t="str" cm="1">
        <f t="array" ref="G1276">IF(TRIM(P1276)="","",IF(SUM(COUNTIF(P1276,{"*NLGD*","*FWG*"}))&gt;0,P1276,IF(SUM(COUNTIF(P1276,{"*GL*","*DGB*","*DGI*","*GT*","*CS*","*PWU*","*DBI*","*SWU*"}))=0,P1276,IF(IFERROR(VALUE(SUBSTITUTE(SUBSTITUTE(O1276,"W",""),"""","")),0)&gt;52,P1276&amp;"-OVRSIZE-",P1276))))</f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s="18" t="str">
        <v/>
      </c>
      <c r="O1276" s="15" t="str" cm="1">
        <f t="array" ref="O1276">IFERROR(_xlfn.LET(
_xlpm.clean,TRIM(SUBSTITUTE(SUBSTITUTE(P1276,CHAR(160),"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6" t="str">
        <f t="shared" si="20"/>
        <v/>
      </c>
    </row>
    <row r="1277" spans="3:19" ht="15.75" customHeight="1">
      <c r="C1277" s="15" t="str" cm="1">
        <f t="array" ref="C1277">IFERROR(_xlfn.TEXTJOIN("",TRUE,_xlfn._xlws.FILTER(MID(S1277,_xlfn.SEQUENCE(LEN(S1277)),1),ISNUMBER(SEARCH(MID(S1277,_xlfn.SEQUENCE(LEN(S1277)),1),"ABCDEFGHIJKLMNOPQRSTUVWXYZabcdefghijklmnopqrstuvwxyz0123456789,")))),"")</f>
        <v/>
      </c>
      <c r="G1277" s="20" t="str" cm="1">
        <f t="array" ref="G1277">IF(TRIM(P1277)="","",IF(SUM(COUNTIF(P1277,{"*NLGD*","*FWG*"}))&gt;0,P1277,IF(SUM(COUNTIF(P1277,{"*GL*","*DGB*","*DGI*","*GT*","*CS*","*PWU*","*DBI*","*SWU*"}))=0,P1277,IF(IFERROR(VALUE(SUBSTITUTE(SUBSTITUTE(O1277,"W",""),"""","")),0)&gt;52,P1277&amp;"-OVRSIZE-",P1277))))</f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s="18" t="str">
        <v/>
      </c>
      <c r="O1277" s="15" t="str" cm="1">
        <f t="array" ref="O1277">IFERROR(_xlfn.LET(
_xlpm.clean,TRIM(SUBSTITUTE(SUBSTITUTE(P1277,CHAR(160),"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7" t="str">
        <f t="shared" si="20"/>
        <v/>
      </c>
    </row>
    <row r="1278" spans="3:19" ht="15.75" customHeight="1">
      <c r="C1278" s="15" t="str" cm="1">
        <f t="array" ref="C1278">IFERROR(_xlfn.TEXTJOIN("",TRUE,_xlfn._xlws.FILTER(MID(S1278,_xlfn.SEQUENCE(LEN(S1278)),1),ISNUMBER(SEARCH(MID(S1278,_xlfn.SEQUENCE(LEN(S1278)),1),"ABCDEFGHIJKLMNOPQRSTUVWXYZabcdefghijklmnopqrstuvwxyz0123456789,")))),"")</f>
        <v/>
      </c>
      <c r="G1278" s="20" t="str" cm="1">
        <f t="array" ref="G1278">IF(TRIM(P1278)="","",IF(SUM(COUNTIF(P1278,{"*NLGD*","*FWG*"}))&gt;0,P1278,IF(SUM(COUNTIF(P1278,{"*GL*","*DGB*","*DGI*","*GT*","*CS*","*PWU*","*DBI*","*SWU*"}))=0,P1278,IF(IFERROR(VALUE(SUBSTITUTE(SUBSTITUTE(O1278,"W",""),"""","")),0)&gt;52,P1278&amp;"-OVRSIZE-",P1278))))</f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s="18" t="str">
        <v/>
      </c>
      <c r="O1278" s="15" t="str" cm="1">
        <f t="array" ref="O1278">IFERROR(_xlfn.LET(
_xlpm.clean,TRIM(SUBSTITUTE(SUBSTITUTE(P1278,CHAR(160),"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8" t="str">
        <f t="shared" si="20"/>
        <v/>
      </c>
    </row>
    <row r="1279" spans="3:19" ht="15.75" customHeight="1">
      <c r="C1279" s="15" t="str" cm="1">
        <f t="array" ref="C1279">IFERROR(_xlfn.TEXTJOIN("",TRUE,_xlfn._xlws.FILTER(MID(S1279,_xlfn.SEQUENCE(LEN(S1279)),1),ISNUMBER(SEARCH(MID(S1279,_xlfn.SEQUENCE(LEN(S1279)),1),"ABCDEFGHIJKLMNOPQRSTUVWXYZabcdefghijklmnopqrstuvwxyz0123456789,")))),"")</f>
        <v/>
      </c>
      <c r="G1279" s="20" t="str" cm="1">
        <f t="array" ref="G1279">IF(TRIM(P1279)="","",IF(SUM(COUNTIF(P1279,{"*NLGD*","*FWG*"}))&gt;0,P1279,IF(SUM(COUNTIF(P1279,{"*GL*","*DGB*","*DGI*","*GT*","*CS*","*PWU*","*DBI*","*SWU*"}))=0,P1279,IF(IFERROR(VALUE(SUBSTITUTE(SUBSTITUTE(O1279,"W",""),"""","")),0)&gt;52,P1279&amp;"-OVRSIZE-",P1279))))</f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s="18" t="str">
        <v/>
      </c>
      <c r="O1279" s="15" t="str" cm="1">
        <f t="array" ref="O1279">IFERROR(_xlfn.LET(
_xlpm.clean,TRIM(SUBSTITUTE(SUBSTITUTE(P1279,CHAR(160),"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9" t="str">
        <f t="shared" si="20"/>
        <v/>
      </c>
    </row>
    <row r="1280" spans="3:19" ht="15.75" customHeight="1">
      <c r="C1280" s="15" t="str" cm="1">
        <f t="array" ref="C1280">IFERROR(_xlfn.TEXTJOIN("",TRUE,_xlfn._xlws.FILTER(MID(S1280,_xlfn.SEQUENCE(LEN(S1280)),1),ISNUMBER(SEARCH(MID(S1280,_xlfn.SEQUENCE(LEN(S1280)),1),"ABCDEFGHIJKLMNOPQRSTUVWXYZabcdefghijklmnopqrstuvwxyz0123456789,")))),"")</f>
        <v/>
      </c>
      <c r="G1280" s="20" t="str" cm="1">
        <f t="array" ref="G1280">IF(TRIM(P1280)="","",IF(SUM(COUNTIF(P1280,{"*NLGD*","*FWG*"}))&gt;0,P1280,IF(SUM(COUNTIF(P1280,{"*GL*","*DGB*","*DGI*","*GT*","*CS*","*PWU*","*DBI*","*SWU*"}))=0,P1280,IF(IFERROR(VALUE(SUBSTITUTE(SUBSTITUTE(O1280,"W",""),"""","")),0)&gt;52,P1280&amp;"-OVRSIZE-",P1280))))</f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s="18" t="str">
        <v/>
      </c>
      <c r="O1280" s="15" t="str" cm="1">
        <f t="array" ref="O1280">IFERROR(_xlfn.LET(
_xlpm.clean,TRIM(SUBSTITUTE(SUBSTITUTE(P1280,CHAR(160),"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0" t="str">
        <f t="shared" si="20"/>
        <v/>
      </c>
    </row>
    <row r="1281" spans="3:19" ht="15.75" customHeight="1">
      <c r="C1281" s="15" t="str" cm="1">
        <f t="array" ref="C1281">IFERROR(_xlfn.TEXTJOIN("",TRUE,_xlfn._xlws.FILTER(MID(S1281,_xlfn.SEQUENCE(LEN(S1281)),1),ISNUMBER(SEARCH(MID(S1281,_xlfn.SEQUENCE(LEN(S1281)),1),"ABCDEFGHIJKLMNOPQRSTUVWXYZabcdefghijklmnopqrstuvwxyz0123456789,")))),"")</f>
        <v/>
      </c>
      <c r="G1281" s="20" t="str" cm="1">
        <f t="array" ref="G1281">IF(TRIM(P1281)="","",IF(SUM(COUNTIF(P1281,{"*NLGD*","*FWG*"}))&gt;0,P1281,IF(SUM(COUNTIF(P1281,{"*GL*","*DGB*","*DGI*","*GT*","*CS*","*PWU*","*DBI*","*SWU*"}))=0,P1281,IF(IFERROR(VALUE(SUBSTITUTE(SUBSTITUTE(O1281,"W",""),"""","")),0)&gt;52,P1281&amp;"-OVRSIZE-",P1281))))</f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s="18" t="str">
        <v/>
      </c>
      <c r="O1281" s="15" t="str" cm="1">
        <f t="array" ref="O1281">IFERROR(_xlfn.LET(
_xlpm.clean,TRIM(SUBSTITUTE(SUBSTITUTE(P1281,CHAR(160),"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1" t="str">
        <f t="shared" si="20"/>
        <v/>
      </c>
    </row>
    <row r="1282" spans="3:19" ht="15.75" customHeight="1">
      <c r="C1282" s="15" t="str" cm="1">
        <f t="array" ref="C1282">IFERROR(_xlfn.TEXTJOIN("",TRUE,_xlfn._xlws.FILTER(MID(S1282,_xlfn.SEQUENCE(LEN(S1282)),1),ISNUMBER(SEARCH(MID(S1282,_xlfn.SEQUENCE(LEN(S1282)),1),"ABCDEFGHIJKLMNOPQRSTUVWXYZabcdefghijklmnopqrstuvwxyz0123456789,")))),"")</f>
        <v/>
      </c>
      <c r="G1282" s="20" t="str" cm="1">
        <f t="array" ref="G1282">IF(TRIM(P1282)="","",IF(SUM(COUNTIF(P1282,{"*NLGD*","*FWG*"}))&gt;0,P1282,IF(SUM(COUNTIF(P1282,{"*GL*","*DGB*","*DGI*","*GT*","*CS*","*PWU*","*DBI*","*SWU*"}))=0,P1282,IF(IFERROR(VALUE(SUBSTITUTE(SUBSTITUTE(O1282,"W",""),"""","")),0)&gt;52,P1282&amp;"-OVRSIZE-",P1282))))</f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s="18" t="str">
        <v/>
      </c>
      <c r="O1282" s="15" t="str" cm="1">
        <f t="array" ref="O1282">IFERROR(_xlfn.LET(
_xlpm.clean,TRIM(SUBSTITUTE(SUBSTITUTE(P1282,CHAR(160),"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2" t="str">
        <f t="shared" si="20"/>
        <v/>
      </c>
    </row>
    <row r="1283" spans="3:19" ht="15.75" customHeight="1">
      <c r="C1283" s="15" t="str" cm="1">
        <f t="array" ref="C1283">IFERROR(_xlfn.TEXTJOIN("",TRUE,_xlfn._xlws.FILTER(MID(S1283,_xlfn.SEQUENCE(LEN(S1283)),1),ISNUMBER(SEARCH(MID(S1283,_xlfn.SEQUENCE(LEN(S1283)),1),"ABCDEFGHIJKLMNOPQRSTUVWXYZabcdefghijklmnopqrstuvwxyz0123456789,")))),"")</f>
        <v/>
      </c>
      <c r="G1283" s="20" t="str" cm="1">
        <f t="array" ref="G1283">IF(TRIM(P1283)="","",IF(SUM(COUNTIF(P1283,{"*NLGD*","*FWG*"}))&gt;0,P1283,IF(SUM(COUNTIF(P1283,{"*GL*","*DGB*","*DGI*","*GT*","*CS*","*PWU*","*DBI*","*SWU*"}))=0,P1283,IF(IFERROR(VALUE(SUBSTITUTE(SUBSTITUTE(O1283,"W",""),"""","")),0)&gt;52,P1283&amp;"-OVRSIZE-",P1283))))</f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s="18" t="str">
        <v/>
      </c>
      <c r="O1283" s="15" t="str" cm="1">
        <f t="array" ref="O1283">IFERROR(_xlfn.LET(
_xlpm.clean,TRIM(SUBSTITUTE(SUBSTITUTE(P1283,CHAR(160),"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3" t="str">
        <f t="shared" si="20"/>
        <v/>
      </c>
    </row>
    <row r="1284" spans="3:19" ht="15.75" customHeight="1">
      <c r="C1284" s="15" t="str" cm="1">
        <f t="array" ref="C1284">IFERROR(_xlfn.TEXTJOIN("",TRUE,_xlfn._xlws.FILTER(MID(S1284,_xlfn.SEQUENCE(LEN(S1284)),1),ISNUMBER(SEARCH(MID(S1284,_xlfn.SEQUENCE(LEN(S1284)),1),"ABCDEFGHIJKLMNOPQRSTUVWXYZabcdefghijklmnopqrstuvwxyz0123456789,")))),"")</f>
        <v/>
      </c>
      <c r="G1284" s="20" t="str" cm="1">
        <f t="array" ref="G1284">IF(TRIM(P1284)="","",IF(SUM(COUNTIF(P1284,{"*NLGD*","*FWG*"}))&gt;0,P1284,IF(SUM(COUNTIF(P1284,{"*GL*","*DGB*","*DGI*","*GT*","*CS*","*PWU*","*DBI*","*SWU*"}))=0,P1284,IF(IFERROR(VALUE(SUBSTITUTE(SUBSTITUTE(O1284,"W",""),"""","")),0)&gt;52,P1284&amp;"-OVRSIZE-",P1284))))</f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s="18" t="str">
        <v/>
      </c>
      <c r="O1284" s="15" t="str" cm="1">
        <f t="array" ref="O1284">IFERROR(_xlfn.LET(
_xlpm.clean,TRIM(SUBSTITUTE(SUBSTITUTE(P1284,CHAR(160),"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4" t="str">
        <f t="shared" si="20"/>
        <v/>
      </c>
    </row>
    <row r="1285" spans="3:19" ht="15.75" customHeight="1">
      <c r="C1285" s="15" t="str" cm="1">
        <f t="array" ref="C1285">IFERROR(_xlfn.TEXTJOIN("",TRUE,_xlfn._xlws.FILTER(MID(S1285,_xlfn.SEQUENCE(LEN(S1285)),1),ISNUMBER(SEARCH(MID(S1285,_xlfn.SEQUENCE(LEN(S1285)),1),"ABCDEFGHIJKLMNOPQRSTUVWXYZabcdefghijklmnopqrstuvwxyz0123456789,")))),"")</f>
        <v/>
      </c>
      <c r="G1285" s="20" t="str" cm="1">
        <f t="array" ref="G1285">IF(TRIM(P1285)="","",IF(SUM(COUNTIF(P1285,{"*NLGD*","*FWG*"}))&gt;0,P1285,IF(SUM(COUNTIF(P1285,{"*GL*","*DGB*","*DGI*","*GT*","*CS*","*PWU*","*DBI*","*SWU*"}))=0,P1285,IF(IFERROR(VALUE(SUBSTITUTE(SUBSTITUTE(O1285,"W",""),"""","")),0)&gt;52,P1285&amp;"-OVRSIZE-",P1285))))</f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s="18" t="str">
        <v/>
      </c>
      <c r="O1285" s="15" t="str" cm="1">
        <f t="array" ref="O1285">IFERROR(_xlfn.LET(
_xlpm.clean,TRIM(SUBSTITUTE(SUBSTITUTE(P1285,CHAR(160),"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5" t="str">
        <f t="shared" si="20"/>
        <v/>
      </c>
    </row>
    <row r="1286" spans="3:19" ht="15.75" customHeight="1">
      <c r="C1286" s="15" t="str" cm="1">
        <f t="array" ref="C1286">IFERROR(_xlfn.TEXTJOIN("",TRUE,_xlfn._xlws.FILTER(MID(S1286,_xlfn.SEQUENCE(LEN(S1286)),1),ISNUMBER(SEARCH(MID(S1286,_xlfn.SEQUENCE(LEN(S1286)),1),"ABCDEFGHIJKLMNOPQRSTUVWXYZabcdefghijklmnopqrstuvwxyz0123456789,")))),"")</f>
        <v/>
      </c>
      <c r="G1286" s="20" t="str" cm="1">
        <f t="array" ref="G1286">IF(TRIM(P1286)="","",IF(SUM(COUNTIF(P1286,{"*NLGD*","*FWG*"}))&gt;0,P1286,IF(SUM(COUNTIF(P1286,{"*GL*","*DGB*","*DGI*","*GT*","*CS*","*PWU*","*DBI*","*SWU*"}))=0,P1286,IF(IFERROR(VALUE(SUBSTITUTE(SUBSTITUTE(O1286,"W",""),"""","")),0)&gt;52,P1286&amp;"-OVRSIZE-",P1286))))</f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s="18" t="str">
        <v/>
      </c>
      <c r="O1286" s="15" t="str" cm="1">
        <f t="array" ref="O1286">IFERROR(_xlfn.LET(
_xlpm.clean,TRIM(SUBSTITUTE(SUBSTITUTE(P1286,CHAR(160),"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6" t="str">
        <f t="shared" si="20"/>
        <v/>
      </c>
    </row>
    <row r="1287" spans="3:19" ht="15.75" customHeight="1">
      <c r="C1287" s="15" t="str" cm="1">
        <f t="array" ref="C1287">IFERROR(_xlfn.TEXTJOIN("",TRUE,_xlfn._xlws.FILTER(MID(S1287,_xlfn.SEQUENCE(LEN(S1287)),1),ISNUMBER(SEARCH(MID(S1287,_xlfn.SEQUENCE(LEN(S1287)),1),"ABCDEFGHIJKLMNOPQRSTUVWXYZabcdefghijklmnopqrstuvwxyz0123456789,")))),"")</f>
        <v/>
      </c>
      <c r="G1287" s="20" t="str" cm="1">
        <f t="array" ref="G1287">IF(TRIM(P1287)="","",IF(SUM(COUNTIF(P1287,{"*NLGD*","*FWG*"}))&gt;0,P1287,IF(SUM(COUNTIF(P1287,{"*GL*","*DGB*","*DGI*","*GT*","*CS*","*PWU*","*DBI*","*SWU*"}))=0,P1287,IF(IFERROR(VALUE(SUBSTITUTE(SUBSTITUTE(O1287,"W",""),"""","")),0)&gt;52,P1287&amp;"-OVRSIZE-",P1287))))</f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s="18" t="str">
        <v/>
      </c>
      <c r="O1287" s="15" t="str" cm="1">
        <f t="array" ref="O1287">IFERROR(_xlfn.LET(
_xlpm.clean,TRIM(SUBSTITUTE(SUBSTITUTE(P1287,CHAR(160),"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7" t="str">
        <f t="shared" si="20"/>
        <v/>
      </c>
    </row>
    <row r="1288" spans="3:19" ht="15.75" customHeight="1">
      <c r="C1288" s="15" t="str" cm="1">
        <f t="array" ref="C1288">IFERROR(_xlfn.TEXTJOIN("",TRUE,_xlfn._xlws.FILTER(MID(S1288,_xlfn.SEQUENCE(LEN(S1288)),1),ISNUMBER(SEARCH(MID(S1288,_xlfn.SEQUENCE(LEN(S1288)),1),"ABCDEFGHIJKLMNOPQRSTUVWXYZabcdefghijklmnopqrstuvwxyz0123456789,")))),"")</f>
        <v/>
      </c>
      <c r="G1288" s="20" t="str" cm="1">
        <f t="array" ref="G1288">IF(TRIM(P1288)="","",IF(SUM(COUNTIF(P1288,{"*NLGD*","*FWG*"}))&gt;0,P1288,IF(SUM(COUNTIF(P1288,{"*GL*","*DGB*","*DGI*","*GT*","*CS*","*PWU*","*DBI*","*SWU*"}))=0,P1288,IF(IFERROR(VALUE(SUBSTITUTE(SUBSTITUTE(O1288,"W",""),"""","")),0)&gt;52,P1288&amp;"-OVRSIZE-",P1288))))</f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s="18" t="str">
        <v/>
      </c>
      <c r="O1288" s="15" t="str" cm="1">
        <f t="array" ref="O1288">IFERROR(_xlfn.LET(
_xlpm.clean,TRIM(SUBSTITUTE(SUBSTITUTE(P1288,CHAR(160),"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8" t="str">
        <f t="shared" ref="S1288:S1351" si="21">IF(R1288="","",_xlfn.LET(
_xlpm.x,TRIM(SUBSTITUTE(SUBSTITUTE(SUBSTITUTE(SUBSTITUTE(R1288,":","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289" spans="3:19" ht="15.75" customHeight="1">
      <c r="C1289" s="15" t="str" cm="1">
        <f t="array" ref="C1289">IFERROR(_xlfn.TEXTJOIN("",TRUE,_xlfn._xlws.FILTER(MID(S1289,_xlfn.SEQUENCE(LEN(S1289)),1),ISNUMBER(SEARCH(MID(S1289,_xlfn.SEQUENCE(LEN(S1289)),1),"ABCDEFGHIJKLMNOPQRSTUVWXYZabcdefghijklmnopqrstuvwxyz0123456789,")))),"")</f>
        <v/>
      </c>
      <c r="G1289" s="20" t="str" cm="1">
        <f t="array" ref="G1289">IF(TRIM(P1289)="","",IF(SUM(COUNTIF(P1289,{"*NLGD*","*FWG*"}))&gt;0,P1289,IF(SUM(COUNTIF(P1289,{"*GL*","*DGB*","*DGI*","*GT*","*CS*","*PWU*","*DBI*","*SWU*"}))=0,P1289,IF(IFERROR(VALUE(SUBSTITUTE(SUBSTITUTE(O1289,"W",""),"""","")),0)&gt;52,P1289&amp;"-OVRSIZE-",P1289))))</f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s="18" t="str">
        <v/>
      </c>
      <c r="O1289" s="15" t="str" cm="1">
        <f t="array" ref="O1289">IFERROR(_xlfn.LET(
_xlpm.clean,TRIM(SUBSTITUTE(SUBSTITUTE(P1289,CHAR(160),"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9" t="str">
        <f t="shared" si="21"/>
        <v/>
      </c>
    </row>
    <row r="1290" spans="3:19" ht="15.75" customHeight="1">
      <c r="C1290" s="15" t="str" cm="1">
        <f t="array" ref="C1290">IFERROR(_xlfn.TEXTJOIN("",TRUE,_xlfn._xlws.FILTER(MID(S1290,_xlfn.SEQUENCE(LEN(S1290)),1),ISNUMBER(SEARCH(MID(S1290,_xlfn.SEQUENCE(LEN(S1290)),1),"ABCDEFGHIJKLMNOPQRSTUVWXYZabcdefghijklmnopqrstuvwxyz0123456789,")))),"")</f>
        <v/>
      </c>
      <c r="G1290" s="20" t="str" cm="1">
        <f t="array" ref="G1290">IF(TRIM(P1290)="","",IF(SUM(COUNTIF(P1290,{"*NLGD*","*FWG*"}))&gt;0,P1290,IF(SUM(COUNTIF(P1290,{"*GL*","*DGB*","*DGI*","*GT*","*CS*","*PWU*","*DBI*","*SWU*"}))=0,P1290,IF(IFERROR(VALUE(SUBSTITUTE(SUBSTITUTE(O1290,"W",""),"""","")),0)&gt;52,P1290&amp;"-OVRSIZE-",P1290))))</f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s="18" t="str">
        <v/>
      </c>
      <c r="O1290" s="15" t="str" cm="1">
        <f t="array" ref="O1290">IFERROR(_xlfn.LET(
_xlpm.clean,TRIM(SUBSTITUTE(SUBSTITUTE(P1290,CHAR(160),"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0" t="str">
        <f t="shared" si="21"/>
        <v/>
      </c>
    </row>
    <row r="1291" spans="3:19" ht="15.75" customHeight="1">
      <c r="C1291" s="15" t="str" cm="1">
        <f t="array" ref="C1291">IFERROR(_xlfn.TEXTJOIN("",TRUE,_xlfn._xlws.FILTER(MID(S1291,_xlfn.SEQUENCE(LEN(S1291)),1),ISNUMBER(SEARCH(MID(S1291,_xlfn.SEQUENCE(LEN(S1291)),1),"ABCDEFGHIJKLMNOPQRSTUVWXYZabcdefghijklmnopqrstuvwxyz0123456789,")))),"")</f>
        <v/>
      </c>
      <c r="G1291" s="20" t="str" cm="1">
        <f t="array" ref="G1291">IF(TRIM(P1291)="","",IF(SUM(COUNTIF(P1291,{"*NLGD*","*FWG*"}))&gt;0,P1291,IF(SUM(COUNTIF(P1291,{"*GL*","*DGB*","*DGI*","*GT*","*CS*","*PWU*","*DBI*","*SWU*"}))=0,P1291,IF(IFERROR(VALUE(SUBSTITUTE(SUBSTITUTE(O1291,"W",""),"""","")),0)&gt;52,P1291&amp;"-OVRSIZE-",P1291))))</f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s="18" t="str">
        <v/>
      </c>
      <c r="O1291" s="15" t="str" cm="1">
        <f t="array" ref="O1291">IFERROR(_xlfn.LET(
_xlpm.clean,TRIM(SUBSTITUTE(SUBSTITUTE(P1291,CHAR(160),"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1" t="str">
        <f t="shared" si="21"/>
        <v/>
      </c>
    </row>
    <row r="1292" spans="3:19" ht="15.75" customHeight="1">
      <c r="C1292" s="15" t="str" cm="1">
        <f t="array" ref="C1292">IFERROR(_xlfn.TEXTJOIN("",TRUE,_xlfn._xlws.FILTER(MID(S1292,_xlfn.SEQUENCE(LEN(S1292)),1),ISNUMBER(SEARCH(MID(S1292,_xlfn.SEQUENCE(LEN(S1292)),1),"ABCDEFGHIJKLMNOPQRSTUVWXYZabcdefghijklmnopqrstuvwxyz0123456789,")))),"")</f>
        <v/>
      </c>
      <c r="G1292" s="20" t="str" cm="1">
        <f t="array" ref="G1292">IF(TRIM(P1292)="","",IF(SUM(COUNTIF(P1292,{"*NLGD*","*FWG*"}))&gt;0,P1292,IF(SUM(COUNTIF(P1292,{"*GL*","*DGB*","*DGI*","*GT*","*CS*","*PWU*","*DBI*","*SWU*"}))=0,P1292,IF(IFERROR(VALUE(SUBSTITUTE(SUBSTITUTE(O1292,"W",""),"""","")),0)&gt;52,P1292&amp;"-OVRSIZE-",P1292))))</f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s="18" t="str">
        <v/>
      </c>
      <c r="O1292" s="15" t="str" cm="1">
        <f t="array" ref="O1292">IFERROR(_xlfn.LET(
_xlpm.clean,TRIM(SUBSTITUTE(SUBSTITUTE(P1292,CHAR(160),"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2" t="str">
        <f t="shared" si="21"/>
        <v/>
      </c>
    </row>
    <row r="1293" spans="3:19" ht="15.75" customHeight="1">
      <c r="C1293" s="15" t="str" cm="1">
        <f t="array" ref="C1293">IFERROR(_xlfn.TEXTJOIN("",TRUE,_xlfn._xlws.FILTER(MID(S1293,_xlfn.SEQUENCE(LEN(S1293)),1),ISNUMBER(SEARCH(MID(S1293,_xlfn.SEQUENCE(LEN(S1293)),1),"ABCDEFGHIJKLMNOPQRSTUVWXYZabcdefghijklmnopqrstuvwxyz0123456789,")))),"")</f>
        <v/>
      </c>
      <c r="G1293" s="20" t="str" cm="1">
        <f t="array" ref="G1293">IF(TRIM(P1293)="","",IF(SUM(COUNTIF(P1293,{"*NLGD*","*FWG*"}))&gt;0,P1293,IF(SUM(COUNTIF(P1293,{"*GL*","*DGB*","*DGI*","*GT*","*CS*","*PWU*","*DBI*","*SWU*"}))=0,P1293,IF(IFERROR(VALUE(SUBSTITUTE(SUBSTITUTE(O1293,"W",""),"""","")),0)&gt;52,P1293&amp;"-OVRSIZE-",P1293))))</f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s="18" t="str">
        <v/>
      </c>
      <c r="O1293" s="15" t="str" cm="1">
        <f t="array" ref="O1293">IFERROR(_xlfn.LET(
_xlpm.clean,TRIM(SUBSTITUTE(SUBSTITUTE(P1293,CHAR(160),"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3" t="str">
        <f t="shared" si="21"/>
        <v/>
      </c>
    </row>
    <row r="1294" spans="3:19" ht="15.75" customHeight="1">
      <c r="C1294" s="15" t="str" cm="1">
        <f t="array" ref="C1294">IFERROR(_xlfn.TEXTJOIN("",TRUE,_xlfn._xlws.FILTER(MID(S1294,_xlfn.SEQUENCE(LEN(S1294)),1),ISNUMBER(SEARCH(MID(S1294,_xlfn.SEQUENCE(LEN(S1294)),1),"ABCDEFGHIJKLMNOPQRSTUVWXYZabcdefghijklmnopqrstuvwxyz0123456789,")))),"")</f>
        <v/>
      </c>
      <c r="G1294" s="20" t="str" cm="1">
        <f t="array" ref="G1294">IF(TRIM(P1294)="","",IF(SUM(COUNTIF(P1294,{"*NLGD*","*FWG*"}))&gt;0,P1294,IF(SUM(COUNTIF(P1294,{"*GL*","*DGB*","*DGI*","*GT*","*CS*","*PWU*","*DBI*","*SWU*"}))=0,P1294,IF(IFERROR(VALUE(SUBSTITUTE(SUBSTITUTE(O1294,"W",""),"""","")),0)&gt;52,P1294&amp;"-OVRSIZE-",P1294))))</f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s="18" t="str">
        <v/>
      </c>
      <c r="O1294" s="15" t="str" cm="1">
        <f t="array" ref="O1294">IFERROR(_xlfn.LET(
_xlpm.clean,TRIM(SUBSTITUTE(SUBSTITUTE(P1294,CHAR(160),"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4" t="str">
        <f t="shared" si="21"/>
        <v/>
      </c>
    </row>
    <row r="1295" spans="3:19" ht="15.75" customHeight="1">
      <c r="C1295" s="15" t="str" cm="1">
        <f t="array" ref="C1295">IFERROR(_xlfn.TEXTJOIN("",TRUE,_xlfn._xlws.FILTER(MID(S1295,_xlfn.SEQUENCE(LEN(S1295)),1),ISNUMBER(SEARCH(MID(S1295,_xlfn.SEQUENCE(LEN(S1295)),1),"ABCDEFGHIJKLMNOPQRSTUVWXYZabcdefghijklmnopqrstuvwxyz0123456789,")))),"")</f>
        <v/>
      </c>
      <c r="G1295" s="20" t="str" cm="1">
        <f t="array" ref="G1295">IF(TRIM(P1295)="","",IF(SUM(COUNTIF(P1295,{"*NLGD*","*FWG*"}))&gt;0,P1295,IF(SUM(COUNTIF(P1295,{"*GL*","*DGB*","*DGI*","*GT*","*CS*","*PWU*","*DBI*","*SWU*"}))=0,P1295,IF(IFERROR(VALUE(SUBSTITUTE(SUBSTITUTE(O1295,"W",""),"""","")),0)&gt;52,P1295&amp;"-OVRSIZE-",P1295))))</f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s="18" t="str">
        <v/>
      </c>
      <c r="O1295" s="15" t="str" cm="1">
        <f t="array" ref="O1295">IFERROR(_xlfn.LET(
_xlpm.clean,TRIM(SUBSTITUTE(SUBSTITUTE(P1295,CHAR(160),"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5" t="str">
        <f t="shared" si="21"/>
        <v/>
      </c>
    </row>
    <row r="1296" spans="3:19" ht="15.75" customHeight="1">
      <c r="C1296" s="15" t="str" cm="1">
        <f t="array" ref="C1296">IFERROR(_xlfn.TEXTJOIN("",TRUE,_xlfn._xlws.FILTER(MID(S1296,_xlfn.SEQUENCE(LEN(S1296)),1),ISNUMBER(SEARCH(MID(S1296,_xlfn.SEQUENCE(LEN(S1296)),1),"ABCDEFGHIJKLMNOPQRSTUVWXYZabcdefghijklmnopqrstuvwxyz0123456789,")))),"")</f>
        <v/>
      </c>
      <c r="G1296" s="20" t="str" cm="1">
        <f t="array" ref="G1296">IF(TRIM(P1296)="","",IF(SUM(COUNTIF(P1296,{"*NLGD*","*FWG*"}))&gt;0,P1296,IF(SUM(COUNTIF(P1296,{"*GL*","*DGB*","*DGI*","*GT*","*CS*","*PWU*","*DBI*","*SWU*"}))=0,P1296,IF(IFERROR(VALUE(SUBSTITUTE(SUBSTITUTE(O1296,"W",""),"""","")),0)&gt;52,P1296&amp;"-OVRSIZE-",P1296))))</f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s="18" t="str">
        <v/>
      </c>
      <c r="O1296" s="15" t="str" cm="1">
        <f t="array" ref="O1296">IFERROR(_xlfn.LET(
_xlpm.clean,TRIM(SUBSTITUTE(SUBSTITUTE(P1296,CHAR(160),"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6" t="str">
        <f t="shared" si="21"/>
        <v/>
      </c>
    </row>
    <row r="1297" spans="3:19" ht="15.75" customHeight="1">
      <c r="C1297" s="15" t="str" cm="1">
        <f t="array" ref="C1297">IFERROR(_xlfn.TEXTJOIN("",TRUE,_xlfn._xlws.FILTER(MID(S1297,_xlfn.SEQUENCE(LEN(S1297)),1),ISNUMBER(SEARCH(MID(S1297,_xlfn.SEQUENCE(LEN(S1297)),1),"ABCDEFGHIJKLMNOPQRSTUVWXYZabcdefghijklmnopqrstuvwxyz0123456789,")))),"")</f>
        <v/>
      </c>
      <c r="G1297" s="20" t="str" cm="1">
        <f t="array" ref="G1297">IF(TRIM(P1297)="","",IF(SUM(COUNTIF(P1297,{"*NLGD*","*FWG*"}))&gt;0,P1297,IF(SUM(COUNTIF(P1297,{"*GL*","*DGB*","*DGI*","*GT*","*CS*","*PWU*","*DBI*","*SWU*"}))=0,P1297,IF(IFERROR(VALUE(SUBSTITUTE(SUBSTITUTE(O1297,"W",""),"""","")),0)&gt;52,P1297&amp;"-OVRSIZE-",P1297))))</f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s="18" t="str">
        <v/>
      </c>
      <c r="O1297" s="15" t="str" cm="1">
        <f t="array" ref="O1297">IFERROR(_xlfn.LET(
_xlpm.clean,TRIM(SUBSTITUTE(SUBSTITUTE(P1297,CHAR(160),"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7" t="str">
        <f t="shared" si="21"/>
        <v/>
      </c>
    </row>
    <row r="1298" spans="3:19" ht="15.75" customHeight="1">
      <c r="C1298" s="15" t="str" cm="1">
        <f t="array" ref="C1298">IFERROR(_xlfn.TEXTJOIN("",TRUE,_xlfn._xlws.FILTER(MID(S1298,_xlfn.SEQUENCE(LEN(S1298)),1),ISNUMBER(SEARCH(MID(S1298,_xlfn.SEQUENCE(LEN(S1298)),1),"ABCDEFGHIJKLMNOPQRSTUVWXYZabcdefghijklmnopqrstuvwxyz0123456789,")))),"")</f>
        <v/>
      </c>
      <c r="G1298" s="20" t="str" cm="1">
        <f t="array" ref="G1298">IF(TRIM(P1298)="","",IF(SUM(COUNTIF(P1298,{"*NLGD*","*FWG*"}))&gt;0,P1298,IF(SUM(COUNTIF(P1298,{"*GL*","*DGB*","*DGI*","*GT*","*CS*","*PWU*","*DBI*","*SWU*"}))=0,P1298,IF(IFERROR(VALUE(SUBSTITUTE(SUBSTITUTE(O1298,"W",""),"""","")),0)&gt;52,P1298&amp;"-OVRSIZE-",P1298))))</f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s="18" t="str">
        <v/>
      </c>
      <c r="O1298" s="15" t="str" cm="1">
        <f t="array" ref="O1298">IFERROR(_xlfn.LET(
_xlpm.clean,TRIM(SUBSTITUTE(SUBSTITUTE(P1298,CHAR(160),"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8" t="str">
        <f t="shared" si="21"/>
        <v/>
      </c>
    </row>
    <row r="1299" spans="3:19" ht="15.75" customHeight="1">
      <c r="C1299" s="15" t="str" cm="1">
        <f t="array" ref="C1299">IFERROR(_xlfn.TEXTJOIN("",TRUE,_xlfn._xlws.FILTER(MID(S1299,_xlfn.SEQUENCE(LEN(S1299)),1),ISNUMBER(SEARCH(MID(S1299,_xlfn.SEQUENCE(LEN(S1299)),1),"ABCDEFGHIJKLMNOPQRSTUVWXYZabcdefghijklmnopqrstuvwxyz0123456789,")))),"")</f>
        <v/>
      </c>
      <c r="G1299" s="20" t="str" cm="1">
        <f t="array" ref="G1299">IF(TRIM(P1299)="","",IF(SUM(COUNTIF(P1299,{"*NLGD*","*FWG*"}))&gt;0,P1299,IF(SUM(COUNTIF(P1299,{"*GL*","*DGB*","*DGI*","*GT*","*CS*","*PWU*","*DBI*","*SWU*"}))=0,P1299,IF(IFERROR(VALUE(SUBSTITUTE(SUBSTITUTE(O1299,"W",""),"""","")),0)&gt;52,P1299&amp;"-OVRSIZE-",P1299))))</f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s="18" t="str">
        <v/>
      </c>
      <c r="O1299" s="15" t="str" cm="1">
        <f t="array" ref="O1299">IFERROR(_xlfn.LET(
_xlpm.clean,TRIM(SUBSTITUTE(SUBSTITUTE(P1299,CHAR(160),"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9" t="str">
        <f t="shared" si="21"/>
        <v/>
      </c>
    </row>
    <row r="1300" spans="3:19" ht="15.75" customHeight="1">
      <c r="C1300" s="15" t="str" cm="1">
        <f t="array" ref="C1300">IFERROR(_xlfn.TEXTJOIN("",TRUE,_xlfn._xlws.FILTER(MID(S1300,_xlfn.SEQUENCE(LEN(S1300)),1),ISNUMBER(SEARCH(MID(S1300,_xlfn.SEQUENCE(LEN(S1300)),1),"ABCDEFGHIJKLMNOPQRSTUVWXYZabcdefghijklmnopqrstuvwxyz0123456789,")))),"")</f>
        <v/>
      </c>
      <c r="G1300" s="20" t="str" cm="1">
        <f t="array" ref="G1300">IF(TRIM(P1300)="","",IF(SUM(COUNTIF(P1300,{"*NLGD*","*FWG*"}))&gt;0,P1300,IF(SUM(COUNTIF(P1300,{"*GL*","*DGB*","*DGI*","*GT*","*CS*","*PWU*","*DBI*","*SWU*"}))=0,P1300,IF(IFERROR(VALUE(SUBSTITUTE(SUBSTITUTE(O1300,"W",""),"""","")),0)&gt;52,P1300&amp;"-OVRSIZE-",P1300))))</f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s="18" t="str">
        <v/>
      </c>
      <c r="O1300" s="15" t="str" cm="1">
        <f t="array" ref="O1300">IFERROR(_xlfn.LET(
_xlpm.clean,TRIM(SUBSTITUTE(SUBSTITUTE(P1300,CHAR(160),"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0" t="str">
        <f t="shared" si="21"/>
        <v/>
      </c>
    </row>
    <row r="1301" spans="3:19" ht="15.75" customHeight="1">
      <c r="C1301" s="15" t="str" cm="1">
        <f t="array" ref="C1301">IFERROR(_xlfn.TEXTJOIN("",TRUE,_xlfn._xlws.FILTER(MID(S1301,_xlfn.SEQUENCE(LEN(S1301)),1),ISNUMBER(SEARCH(MID(S1301,_xlfn.SEQUENCE(LEN(S1301)),1),"ABCDEFGHIJKLMNOPQRSTUVWXYZabcdefghijklmnopqrstuvwxyz0123456789,")))),"")</f>
        <v/>
      </c>
      <c r="G1301" s="20" t="str" cm="1">
        <f t="array" ref="G1301">IF(TRIM(P1301)="","",IF(SUM(COUNTIF(P1301,{"*NLGD*","*FWG*"}))&gt;0,P1301,IF(SUM(COUNTIF(P1301,{"*GL*","*DGB*","*DGI*","*GT*","*CS*","*PWU*","*DBI*","*SWU*"}))=0,P1301,IF(IFERROR(VALUE(SUBSTITUTE(SUBSTITUTE(O1301,"W",""),"""","")),0)&gt;52,P1301&amp;"-OVRSIZE-",P1301))))</f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s="18" t="str">
        <v/>
      </c>
      <c r="O1301" s="15" t="str" cm="1">
        <f t="array" ref="O1301">IFERROR(_xlfn.LET(
_xlpm.clean,TRIM(SUBSTITUTE(SUBSTITUTE(P1301,CHAR(160),"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1" t="str">
        <f t="shared" si="21"/>
        <v/>
      </c>
    </row>
    <row r="1302" spans="3:19" ht="15.75" customHeight="1">
      <c r="C1302" s="15" t="str" cm="1">
        <f t="array" ref="C1302">IFERROR(_xlfn.TEXTJOIN("",TRUE,_xlfn._xlws.FILTER(MID(S1302,_xlfn.SEQUENCE(LEN(S1302)),1),ISNUMBER(SEARCH(MID(S1302,_xlfn.SEQUENCE(LEN(S1302)),1),"ABCDEFGHIJKLMNOPQRSTUVWXYZabcdefghijklmnopqrstuvwxyz0123456789,")))),"")</f>
        <v/>
      </c>
      <c r="G1302" s="20" t="str" cm="1">
        <f t="array" ref="G1302">IF(TRIM(P1302)="","",IF(SUM(COUNTIF(P1302,{"*NLGD*","*FWG*"}))&gt;0,P1302,IF(SUM(COUNTIF(P1302,{"*GL*","*DGB*","*DGI*","*GT*","*CS*","*PWU*","*DBI*","*SWU*"}))=0,P1302,IF(IFERROR(VALUE(SUBSTITUTE(SUBSTITUTE(O1302,"W",""),"""","")),0)&gt;52,P1302&amp;"-OVRSIZE-",P1302))))</f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s="18" t="str">
        <v/>
      </c>
      <c r="O1302" s="15" t="str" cm="1">
        <f t="array" ref="O1302">IFERROR(_xlfn.LET(
_xlpm.clean,TRIM(SUBSTITUTE(SUBSTITUTE(P1302,CHAR(160),"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2" t="str">
        <f t="shared" si="21"/>
        <v/>
      </c>
    </row>
    <row r="1303" spans="3:19" ht="15.75" customHeight="1">
      <c r="C1303" s="15" t="str" cm="1">
        <f t="array" ref="C1303">IFERROR(_xlfn.TEXTJOIN("",TRUE,_xlfn._xlws.FILTER(MID(S1303,_xlfn.SEQUENCE(LEN(S1303)),1),ISNUMBER(SEARCH(MID(S1303,_xlfn.SEQUENCE(LEN(S1303)),1),"ABCDEFGHIJKLMNOPQRSTUVWXYZabcdefghijklmnopqrstuvwxyz0123456789,")))),"")</f>
        <v/>
      </c>
      <c r="G1303" s="20" t="str" cm="1">
        <f t="array" ref="G1303">IF(TRIM(P1303)="","",IF(SUM(COUNTIF(P1303,{"*NLGD*","*FWG*"}))&gt;0,P1303,IF(SUM(COUNTIF(P1303,{"*GL*","*DGB*","*DGI*","*GT*","*CS*","*PWU*","*DBI*","*SWU*"}))=0,P1303,IF(IFERROR(VALUE(SUBSTITUTE(SUBSTITUTE(O1303,"W",""),"""","")),0)&gt;52,P1303&amp;"-OVRSIZE-",P1303))))</f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s="18" t="str">
        <v/>
      </c>
      <c r="O1303" s="15" t="str" cm="1">
        <f t="array" ref="O1303">IFERROR(_xlfn.LET(
_xlpm.clean,TRIM(SUBSTITUTE(SUBSTITUTE(P1303,CHAR(160),"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3" t="str">
        <f t="shared" si="21"/>
        <v/>
      </c>
    </row>
    <row r="1304" spans="3:19" ht="15.75" customHeight="1">
      <c r="C1304" s="15" t="str" cm="1">
        <f t="array" ref="C1304">IFERROR(_xlfn.TEXTJOIN("",TRUE,_xlfn._xlws.FILTER(MID(S1304,_xlfn.SEQUENCE(LEN(S1304)),1),ISNUMBER(SEARCH(MID(S1304,_xlfn.SEQUENCE(LEN(S1304)),1),"ABCDEFGHIJKLMNOPQRSTUVWXYZabcdefghijklmnopqrstuvwxyz0123456789,")))),"")</f>
        <v/>
      </c>
      <c r="G1304" s="20" t="str" cm="1">
        <f t="array" ref="G1304">IF(TRIM(P1304)="","",IF(SUM(COUNTIF(P1304,{"*NLGD*","*FWG*"}))&gt;0,P1304,IF(SUM(COUNTIF(P1304,{"*GL*","*DGB*","*DGI*","*GT*","*CS*","*PWU*","*DBI*","*SWU*"}))=0,P1304,IF(IFERROR(VALUE(SUBSTITUTE(SUBSTITUTE(O1304,"W",""),"""","")),0)&gt;52,P1304&amp;"-OVRSIZE-",P1304))))</f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s="18" t="str">
        <v/>
      </c>
      <c r="O1304" s="15" t="str" cm="1">
        <f t="array" ref="O1304">IFERROR(_xlfn.LET(
_xlpm.clean,TRIM(SUBSTITUTE(SUBSTITUTE(P1304,CHAR(160),"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4" t="str">
        <f t="shared" si="21"/>
        <v/>
      </c>
    </row>
    <row r="1305" spans="3:19" ht="15.75" customHeight="1">
      <c r="C1305" s="15" t="str" cm="1">
        <f t="array" ref="C1305">IFERROR(_xlfn.TEXTJOIN("",TRUE,_xlfn._xlws.FILTER(MID(S1305,_xlfn.SEQUENCE(LEN(S1305)),1),ISNUMBER(SEARCH(MID(S1305,_xlfn.SEQUENCE(LEN(S1305)),1),"ABCDEFGHIJKLMNOPQRSTUVWXYZabcdefghijklmnopqrstuvwxyz0123456789,")))),"")</f>
        <v/>
      </c>
      <c r="G1305" s="20" t="str" cm="1">
        <f t="array" ref="G1305">IF(TRIM(P1305)="","",IF(SUM(COUNTIF(P1305,{"*NLGD*","*FWG*"}))&gt;0,P1305,IF(SUM(COUNTIF(P1305,{"*GL*","*DGB*","*DGI*","*GT*","*CS*","*PWU*","*DBI*","*SWU*"}))=0,P1305,IF(IFERROR(VALUE(SUBSTITUTE(SUBSTITUTE(O1305,"W",""),"""","")),0)&gt;52,P1305&amp;"-OVRSIZE-",P1305))))</f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s="18" t="str">
        <v/>
      </c>
      <c r="O1305" s="15" t="str" cm="1">
        <f t="array" ref="O1305">IFERROR(_xlfn.LET(
_xlpm.clean,TRIM(SUBSTITUTE(SUBSTITUTE(P1305,CHAR(160),"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5" t="str">
        <f t="shared" si="21"/>
        <v/>
      </c>
    </row>
    <row r="1306" spans="3:19" ht="15.75" customHeight="1">
      <c r="C1306" s="15" t="str" cm="1">
        <f t="array" ref="C1306">IFERROR(_xlfn.TEXTJOIN("",TRUE,_xlfn._xlws.FILTER(MID(S1306,_xlfn.SEQUENCE(LEN(S1306)),1),ISNUMBER(SEARCH(MID(S1306,_xlfn.SEQUENCE(LEN(S1306)),1),"ABCDEFGHIJKLMNOPQRSTUVWXYZabcdefghijklmnopqrstuvwxyz0123456789,")))),"")</f>
        <v/>
      </c>
      <c r="G1306" s="20" t="str" cm="1">
        <f t="array" ref="G1306">IF(TRIM(P1306)="","",IF(SUM(COUNTIF(P1306,{"*NLGD*","*FWG*"}))&gt;0,P1306,IF(SUM(COUNTIF(P1306,{"*GL*","*DGB*","*DGI*","*GT*","*CS*","*PWU*","*DBI*","*SWU*"}))=0,P1306,IF(IFERROR(VALUE(SUBSTITUTE(SUBSTITUTE(O1306,"W",""),"""","")),0)&gt;52,P1306&amp;"-OVRSIZE-",P1306))))</f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s="18" t="str">
        <v/>
      </c>
      <c r="O1306" s="15" t="str" cm="1">
        <f t="array" ref="O1306">IFERROR(_xlfn.LET(
_xlpm.clean,TRIM(SUBSTITUTE(SUBSTITUTE(P1306,CHAR(160),"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6" t="str">
        <f t="shared" si="21"/>
        <v/>
      </c>
    </row>
    <row r="1307" spans="3:19" ht="15.75" customHeight="1">
      <c r="C1307" s="15" t="str" cm="1">
        <f t="array" ref="C1307">IFERROR(_xlfn.TEXTJOIN("",TRUE,_xlfn._xlws.FILTER(MID(S1307,_xlfn.SEQUENCE(LEN(S1307)),1),ISNUMBER(SEARCH(MID(S1307,_xlfn.SEQUENCE(LEN(S1307)),1),"ABCDEFGHIJKLMNOPQRSTUVWXYZabcdefghijklmnopqrstuvwxyz0123456789,")))),"")</f>
        <v/>
      </c>
      <c r="G1307" s="20" t="str" cm="1">
        <f t="array" ref="G1307">IF(TRIM(P1307)="","",IF(SUM(COUNTIF(P1307,{"*NLGD*","*FWG*"}))&gt;0,P1307,IF(SUM(COUNTIF(P1307,{"*GL*","*DGB*","*DGI*","*GT*","*CS*","*PWU*","*DBI*","*SWU*"}))=0,P1307,IF(IFERROR(VALUE(SUBSTITUTE(SUBSTITUTE(O1307,"W",""),"""","")),0)&gt;52,P1307&amp;"-OVRSIZE-",P1307))))</f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s="18" t="str">
        <v/>
      </c>
      <c r="O1307" s="15" t="str" cm="1">
        <f t="array" ref="O1307">IFERROR(_xlfn.LET(
_xlpm.clean,TRIM(SUBSTITUTE(SUBSTITUTE(P1307,CHAR(160),"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7" t="str">
        <f t="shared" si="21"/>
        <v/>
      </c>
    </row>
    <row r="1308" spans="3:19" ht="15.75" customHeight="1">
      <c r="C1308" s="15" t="str" cm="1">
        <f t="array" ref="C1308">IFERROR(_xlfn.TEXTJOIN("",TRUE,_xlfn._xlws.FILTER(MID(S1308,_xlfn.SEQUENCE(LEN(S1308)),1),ISNUMBER(SEARCH(MID(S1308,_xlfn.SEQUENCE(LEN(S1308)),1),"ABCDEFGHIJKLMNOPQRSTUVWXYZabcdefghijklmnopqrstuvwxyz0123456789,")))),"")</f>
        <v/>
      </c>
      <c r="G1308" s="20" t="str" cm="1">
        <f t="array" ref="G1308">IF(TRIM(P1308)="","",IF(SUM(COUNTIF(P1308,{"*NLGD*","*FWG*"}))&gt;0,P1308,IF(SUM(COUNTIF(P1308,{"*GL*","*DGB*","*DGI*","*GT*","*CS*","*PWU*","*DBI*","*SWU*"}))=0,P1308,IF(IFERROR(VALUE(SUBSTITUTE(SUBSTITUTE(O1308,"W",""),"""","")),0)&gt;52,P1308&amp;"-OVRSIZE-",P1308))))</f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s="18" t="str">
        <v/>
      </c>
      <c r="O1308" s="15" t="str" cm="1">
        <f t="array" ref="O1308">IFERROR(_xlfn.LET(
_xlpm.clean,TRIM(SUBSTITUTE(SUBSTITUTE(P1308,CHAR(160),"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8" t="str">
        <f t="shared" si="21"/>
        <v/>
      </c>
    </row>
    <row r="1309" spans="3:19" ht="15.75" customHeight="1">
      <c r="C1309" s="15" t="str" cm="1">
        <f t="array" ref="C1309">IFERROR(_xlfn.TEXTJOIN("",TRUE,_xlfn._xlws.FILTER(MID(S1309,_xlfn.SEQUENCE(LEN(S1309)),1),ISNUMBER(SEARCH(MID(S1309,_xlfn.SEQUENCE(LEN(S1309)),1),"ABCDEFGHIJKLMNOPQRSTUVWXYZabcdefghijklmnopqrstuvwxyz0123456789,")))),"")</f>
        <v/>
      </c>
      <c r="G1309" s="20" t="str" cm="1">
        <f t="array" ref="G1309">IF(TRIM(P1309)="","",IF(SUM(COUNTIF(P1309,{"*NLGD*","*FWG*"}))&gt;0,P1309,IF(SUM(COUNTIF(P1309,{"*GL*","*DGB*","*DGI*","*GT*","*CS*","*PWU*","*DBI*","*SWU*"}))=0,P1309,IF(IFERROR(VALUE(SUBSTITUTE(SUBSTITUTE(O1309,"W",""),"""","")),0)&gt;52,P1309&amp;"-OVRSIZE-",P1309))))</f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s="18" t="str">
        <v/>
      </c>
      <c r="O1309" s="15" t="str" cm="1">
        <f t="array" ref="O1309">IFERROR(_xlfn.LET(
_xlpm.clean,TRIM(SUBSTITUTE(SUBSTITUTE(P1309,CHAR(160),"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9" t="str">
        <f t="shared" si="21"/>
        <v/>
      </c>
    </row>
    <row r="1310" spans="3:19" ht="15.75" customHeight="1">
      <c r="C1310" s="15" t="str" cm="1">
        <f t="array" ref="C1310">IFERROR(_xlfn.TEXTJOIN("",TRUE,_xlfn._xlws.FILTER(MID(S1310,_xlfn.SEQUENCE(LEN(S1310)),1),ISNUMBER(SEARCH(MID(S1310,_xlfn.SEQUENCE(LEN(S1310)),1),"ABCDEFGHIJKLMNOPQRSTUVWXYZabcdefghijklmnopqrstuvwxyz0123456789,")))),"")</f>
        <v/>
      </c>
      <c r="G1310" s="20" t="str" cm="1">
        <f t="array" ref="G1310">IF(TRIM(P1310)="","",IF(SUM(COUNTIF(P1310,{"*NLGD*","*FWG*"}))&gt;0,P1310,IF(SUM(COUNTIF(P1310,{"*GL*","*DGB*","*DGI*","*GT*","*CS*","*PWU*","*DBI*","*SWU*"}))=0,P1310,IF(IFERROR(VALUE(SUBSTITUTE(SUBSTITUTE(O1310,"W",""),"""","")),0)&gt;52,P1310&amp;"-OVRSIZE-",P1310))))</f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s="18" t="str">
        <v/>
      </c>
      <c r="O1310" s="15" t="str" cm="1">
        <f t="array" ref="O1310">IFERROR(_xlfn.LET(
_xlpm.clean,TRIM(SUBSTITUTE(SUBSTITUTE(P1310,CHAR(160),"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0" t="str">
        <f t="shared" si="21"/>
        <v/>
      </c>
    </row>
    <row r="1311" spans="3:19" ht="15.75" customHeight="1">
      <c r="C1311" s="15" t="str" cm="1">
        <f t="array" ref="C1311">IFERROR(_xlfn.TEXTJOIN("",TRUE,_xlfn._xlws.FILTER(MID(S1311,_xlfn.SEQUENCE(LEN(S1311)),1),ISNUMBER(SEARCH(MID(S1311,_xlfn.SEQUENCE(LEN(S1311)),1),"ABCDEFGHIJKLMNOPQRSTUVWXYZabcdefghijklmnopqrstuvwxyz0123456789,")))),"")</f>
        <v/>
      </c>
      <c r="G1311" s="20" t="str" cm="1">
        <f t="array" ref="G1311">IF(TRIM(P1311)="","",IF(SUM(COUNTIF(P1311,{"*NLGD*","*FWG*"}))&gt;0,P1311,IF(SUM(COUNTIF(P1311,{"*GL*","*DGB*","*DGI*","*GT*","*CS*","*PWU*","*DBI*","*SWU*"}))=0,P1311,IF(IFERROR(VALUE(SUBSTITUTE(SUBSTITUTE(O1311,"W",""),"""","")),0)&gt;52,P1311&amp;"-OVRSIZE-",P1311))))</f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s="18" t="str">
        <v/>
      </c>
      <c r="O1311" s="15" t="str" cm="1">
        <f t="array" ref="O1311">IFERROR(_xlfn.LET(
_xlpm.clean,TRIM(SUBSTITUTE(SUBSTITUTE(P1311,CHAR(160),"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1" t="str">
        <f t="shared" si="21"/>
        <v/>
      </c>
    </row>
    <row r="1312" spans="3:19" ht="15.75" customHeight="1">
      <c r="C1312" s="15" t="str" cm="1">
        <f t="array" ref="C1312">IFERROR(_xlfn.TEXTJOIN("",TRUE,_xlfn._xlws.FILTER(MID(S1312,_xlfn.SEQUENCE(LEN(S1312)),1),ISNUMBER(SEARCH(MID(S1312,_xlfn.SEQUENCE(LEN(S1312)),1),"ABCDEFGHIJKLMNOPQRSTUVWXYZabcdefghijklmnopqrstuvwxyz0123456789,")))),"")</f>
        <v/>
      </c>
      <c r="G1312" s="20" t="str" cm="1">
        <f t="array" ref="G1312">IF(TRIM(P1312)="","",IF(SUM(COUNTIF(P1312,{"*NLGD*","*FWG*"}))&gt;0,P1312,IF(SUM(COUNTIF(P1312,{"*GL*","*DGB*","*DGI*","*GT*","*CS*","*PWU*","*DBI*","*SWU*"}))=0,P1312,IF(IFERROR(VALUE(SUBSTITUTE(SUBSTITUTE(O1312,"W",""),"""","")),0)&gt;52,P1312&amp;"-OVRSIZE-",P1312))))</f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s="18" t="str">
        <v/>
      </c>
      <c r="O1312" s="15" t="str" cm="1">
        <f t="array" ref="O1312">IFERROR(_xlfn.LET(
_xlpm.clean,TRIM(SUBSTITUTE(SUBSTITUTE(P1312,CHAR(160),"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2" t="str">
        <f t="shared" si="21"/>
        <v/>
      </c>
    </row>
    <row r="1313" spans="3:19" ht="15.75" customHeight="1">
      <c r="C1313" s="15" t="str" cm="1">
        <f t="array" ref="C1313">IFERROR(_xlfn.TEXTJOIN("",TRUE,_xlfn._xlws.FILTER(MID(S1313,_xlfn.SEQUENCE(LEN(S1313)),1),ISNUMBER(SEARCH(MID(S1313,_xlfn.SEQUENCE(LEN(S1313)),1),"ABCDEFGHIJKLMNOPQRSTUVWXYZabcdefghijklmnopqrstuvwxyz0123456789,")))),"")</f>
        <v/>
      </c>
      <c r="G1313" s="20" t="str" cm="1">
        <f t="array" ref="G1313">IF(TRIM(P1313)="","",IF(SUM(COUNTIF(P1313,{"*NLGD*","*FWG*"}))&gt;0,P1313,IF(SUM(COUNTIF(P1313,{"*GL*","*DGB*","*DGI*","*GT*","*CS*","*PWU*","*DBI*","*SWU*"}))=0,P1313,IF(IFERROR(VALUE(SUBSTITUTE(SUBSTITUTE(O1313,"W",""),"""","")),0)&gt;52,P1313&amp;"-OVRSIZE-",P1313))))</f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s="18" t="str">
        <v/>
      </c>
      <c r="O1313" s="15" t="str" cm="1">
        <f t="array" ref="O1313">IFERROR(_xlfn.LET(
_xlpm.clean,TRIM(SUBSTITUTE(SUBSTITUTE(P1313,CHAR(160),"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3" t="str">
        <f t="shared" si="21"/>
        <v/>
      </c>
    </row>
    <row r="1314" spans="3:19" ht="15.75" customHeight="1">
      <c r="C1314" s="15" t="str" cm="1">
        <f t="array" ref="C1314">IFERROR(_xlfn.TEXTJOIN("",TRUE,_xlfn._xlws.FILTER(MID(S1314,_xlfn.SEQUENCE(LEN(S1314)),1),ISNUMBER(SEARCH(MID(S1314,_xlfn.SEQUENCE(LEN(S1314)),1),"ABCDEFGHIJKLMNOPQRSTUVWXYZabcdefghijklmnopqrstuvwxyz0123456789,")))),"")</f>
        <v/>
      </c>
      <c r="G1314" s="20" t="str" cm="1">
        <f t="array" ref="G1314">IF(TRIM(P1314)="","",IF(SUM(COUNTIF(P1314,{"*NLGD*","*FWG*"}))&gt;0,P1314,IF(SUM(COUNTIF(P1314,{"*GL*","*DGB*","*DGI*","*GT*","*CS*","*PWU*","*DBI*","*SWU*"}))=0,P1314,IF(IFERROR(VALUE(SUBSTITUTE(SUBSTITUTE(O1314,"W",""),"""","")),0)&gt;52,P1314&amp;"-OVRSIZE-",P1314))))</f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s="18" t="str">
        <v/>
      </c>
      <c r="O1314" s="15" t="str" cm="1">
        <f t="array" ref="O1314">IFERROR(_xlfn.LET(
_xlpm.clean,TRIM(SUBSTITUTE(SUBSTITUTE(P1314,CHAR(160),"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4" t="str">
        <f t="shared" si="21"/>
        <v/>
      </c>
    </row>
    <row r="1315" spans="3:19" ht="15.75" customHeight="1">
      <c r="C1315" s="15" t="str" cm="1">
        <f t="array" ref="C1315">IFERROR(_xlfn.TEXTJOIN("",TRUE,_xlfn._xlws.FILTER(MID(S1315,_xlfn.SEQUENCE(LEN(S1315)),1),ISNUMBER(SEARCH(MID(S1315,_xlfn.SEQUENCE(LEN(S1315)),1),"ABCDEFGHIJKLMNOPQRSTUVWXYZabcdefghijklmnopqrstuvwxyz0123456789,")))),"")</f>
        <v/>
      </c>
      <c r="G1315" s="20" t="str" cm="1">
        <f t="array" ref="G1315">IF(TRIM(P1315)="","",IF(SUM(COUNTIF(P1315,{"*NLGD*","*FWG*"}))&gt;0,P1315,IF(SUM(COUNTIF(P1315,{"*GL*","*DGB*","*DGI*","*GT*","*CS*","*PWU*","*DBI*","*SWU*"}))=0,P1315,IF(IFERROR(VALUE(SUBSTITUTE(SUBSTITUTE(O1315,"W",""),"""","")),0)&gt;52,P1315&amp;"-OVRSIZE-",P1315))))</f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s="18" t="str">
        <v/>
      </c>
      <c r="O1315" s="15" t="str" cm="1">
        <f t="array" ref="O1315">IFERROR(_xlfn.LET(
_xlpm.clean,TRIM(SUBSTITUTE(SUBSTITUTE(P1315,CHAR(160),"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5" t="str">
        <f t="shared" si="21"/>
        <v/>
      </c>
    </row>
    <row r="1316" spans="3:19" ht="15.75" customHeight="1">
      <c r="C1316" s="15" t="str" cm="1">
        <f t="array" ref="C1316">IFERROR(_xlfn.TEXTJOIN("",TRUE,_xlfn._xlws.FILTER(MID(S1316,_xlfn.SEQUENCE(LEN(S1316)),1),ISNUMBER(SEARCH(MID(S1316,_xlfn.SEQUENCE(LEN(S1316)),1),"ABCDEFGHIJKLMNOPQRSTUVWXYZabcdefghijklmnopqrstuvwxyz0123456789,")))),"")</f>
        <v/>
      </c>
      <c r="G1316" s="20" t="str" cm="1">
        <f t="array" ref="G1316">IF(TRIM(P1316)="","",IF(SUM(COUNTIF(P1316,{"*NLGD*","*FWG*"}))&gt;0,P1316,IF(SUM(COUNTIF(P1316,{"*GL*","*DGB*","*DGI*","*GT*","*CS*","*PWU*","*DBI*","*SWU*"}))=0,P1316,IF(IFERROR(VALUE(SUBSTITUTE(SUBSTITUTE(O1316,"W",""),"""","")),0)&gt;52,P1316&amp;"-OVRSIZE-",P1316))))</f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s="18" t="str">
        <v/>
      </c>
      <c r="O1316" s="15" t="str" cm="1">
        <f t="array" ref="O1316">IFERROR(_xlfn.LET(
_xlpm.clean,TRIM(SUBSTITUTE(SUBSTITUTE(P1316,CHAR(160),"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6" t="str">
        <f t="shared" si="21"/>
        <v/>
      </c>
    </row>
    <row r="1317" spans="3:19" ht="15.75" customHeight="1">
      <c r="C1317" s="15" t="str" cm="1">
        <f t="array" ref="C1317">IFERROR(_xlfn.TEXTJOIN("",TRUE,_xlfn._xlws.FILTER(MID(S1317,_xlfn.SEQUENCE(LEN(S1317)),1),ISNUMBER(SEARCH(MID(S1317,_xlfn.SEQUENCE(LEN(S1317)),1),"ABCDEFGHIJKLMNOPQRSTUVWXYZabcdefghijklmnopqrstuvwxyz0123456789,")))),"")</f>
        <v/>
      </c>
      <c r="G1317" s="20" t="str" cm="1">
        <f t="array" ref="G1317">IF(TRIM(P1317)="","",IF(SUM(COUNTIF(P1317,{"*NLGD*","*FWG*"}))&gt;0,P1317,IF(SUM(COUNTIF(P1317,{"*GL*","*DGB*","*DGI*","*GT*","*CS*","*PWU*","*DBI*","*SWU*"}))=0,P1317,IF(IFERROR(VALUE(SUBSTITUTE(SUBSTITUTE(O1317,"W",""),"""","")),0)&gt;52,P1317&amp;"-OVRSIZE-",P1317))))</f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s="18" t="str">
        <v/>
      </c>
      <c r="O1317" s="15" t="str" cm="1">
        <f t="array" ref="O1317">IFERROR(_xlfn.LET(
_xlpm.clean,TRIM(SUBSTITUTE(SUBSTITUTE(P1317,CHAR(160),"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7" t="str">
        <f t="shared" si="21"/>
        <v/>
      </c>
    </row>
    <row r="1318" spans="3:19" ht="15.75" customHeight="1">
      <c r="C1318" s="15" t="str" cm="1">
        <f t="array" ref="C1318">IFERROR(_xlfn.TEXTJOIN("",TRUE,_xlfn._xlws.FILTER(MID(S1318,_xlfn.SEQUENCE(LEN(S1318)),1),ISNUMBER(SEARCH(MID(S1318,_xlfn.SEQUENCE(LEN(S1318)),1),"ABCDEFGHIJKLMNOPQRSTUVWXYZabcdefghijklmnopqrstuvwxyz0123456789,")))),"")</f>
        <v/>
      </c>
      <c r="G1318" s="20" t="str" cm="1">
        <f t="array" ref="G1318">IF(TRIM(P1318)="","",IF(SUM(COUNTIF(P1318,{"*NLGD*","*FWG*"}))&gt;0,P1318,IF(SUM(COUNTIF(P1318,{"*GL*","*DGB*","*DGI*","*GT*","*CS*","*PWU*","*DBI*","*SWU*"}))=0,P1318,IF(IFERROR(VALUE(SUBSTITUTE(SUBSTITUTE(O1318,"W",""),"""","")),0)&gt;52,P1318&amp;"-OVRSIZE-",P1318))))</f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s="18" t="str">
        <v/>
      </c>
      <c r="O1318" s="15" t="str" cm="1">
        <f t="array" ref="O1318">IFERROR(_xlfn.LET(
_xlpm.clean,TRIM(SUBSTITUTE(SUBSTITUTE(P1318,CHAR(160),"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8" t="str">
        <f t="shared" si="21"/>
        <v/>
      </c>
    </row>
    <row r="1319" spans="3:19" ht="15.75" customHeight="1">
      <c r="C1319" s="15" t="str" cm="1">
        <f t="array" ref="C1319">IFERROR(_xlfn.TEXTJOIN("",TRUE,_xlfn._xlws.FILTER(MID(S1319,_xlfn.SEQUENCE(LEN(S1319)),1),ISNUMBER(SEARCH(MID(S1319,_xlfn.SEQUENCE(LEN(S1319)),1),"ABCDEFGHIJKLMNOPQRSTUVWXYZabcdefghijklmnopqrstuvwxyz0123456789,")))),"")</f>
        <v/>
      </c>
      <c r="G1319" s="20" t="str" cm="1">
        <f t="array" ref="G1319">IF(TRIM(P1319)="","",IF(SUM(COUNTIF(P1319,{"*NLGD*","*FWG*"}))&gt;0,P1319,IF(SUM(COUNTIF(P1319,{"*GL*","*DGB*","*DGI*","*GT*","*CS*","*PWU*","*DBI*","*SWU*"}))=0,P1319,IF(IFERROR(VALUE(SUBSTITUTE(SUBSTITUTE(O1319,"W",""),"""","")),0)&gt;52,P1319&amp;"-OVRSIZE-",P1319))))</f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s="18" t="str">
        <v/>
      </c>
      <c r="O1319" s="15" t="str" cm="1">
        <f t="array" ref="O1319">IFERROR(_xlfn.LET(
_xlpm.clean,TRIM(SUBSTITUTE(SUBSTITUTE(P1319,CHAR(160),"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9" t="str">
        <f t="shared" si="21"/>
        <v/>
      </c>
    </row>
    <row r="1320" spans="3:19" ht="15.75" customHeight="1">
      <c r="C1320" s="15" t="str" cm="1">
        <f t="array" ref="C1320">IFERROR(_xlfn.TEXTJOIN("",TRUE,_xlfn._xlws.FILTER(MID(S1320,_xlfn.SEQUENCE(LEN(S1320)),1),ISNUMBER(SEARCH(MID(S1320,_xlfn.SEQUENCE(LEN(S1320)),1),"ABCDEFGHIJKLMNOPQRSTUVWXYZabcdefghijklmnopqrstuvwxyz0123456789,")))),"")</f>
        <v/>
      </c>
      <c r="G1320" s="20" t="str" cm="1">
        <f t="array" ref="G1320">IF(TRIM(P1320)="","",IF(SUM(COUNTIF(P1320,{"*NLGD*","*FWG*"}))&gt;0,P1320,IF(SUM(COUNTIF(P1320,{"*GL*","*DGB*","*DGI*","*GT*","*CS*","*PWU*","*DBI*","*SWU*"}))=0,P1320,IF(IFERROR(VALUE(SUBSTITUTE(SUBSTITUTE(O1320,"W",""),"""","")),0)&gt;52,P1320&amp;"-OVRSIZE-",P1320))))</f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s="18" t="str">
        <v/>
      </c>
      <c r="O1320" s="15" t="str" cm="1">
        <f t="array" ref="O1320">IFERROR(_xlfn.LET(
_xlpm.clean,TRIM(SUBSTITUTE(SUBSTITUTE(P1320,CHAR(160),"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0" t="str">
        <f t="shared" si="21"/>
        <v/>
      </c>
    </row>
    <row r="1321" spans="3:19" ht="15.75" customHeight="1">
      <c r="C1321" s="15" t="str" cm="1">
        <f t="array" ref="C1321">IFERROR(_xlfn.TEXTJOIN("",TRUE,_xlfn._xlws.FILTER(MID(S1321,_xlfn.SEQUENCE(LEN(S1321)),1),ISNUMBER(SEARCH(MID(S1321,_xlfn.SEQUENCE(LEN(S1321)),1),"ABCDEFGHIJKLMNOPQRSTUVWXYZabcdefghijklmnopqrstuvwxyz0123456789,")))),"")</f>
        <v/>
      </c>
      <c r="G1321" s="20" t="str" cm="1">
        <f t="array" ref="G1321">IF(TRIM(P1321)="","",IF(SUM(COUNTIF(P1321,{"*NLGD*","*FWG*"}))&gt;0,P1321,IF(SUM(COUNTIF(P1321,{"*GL*","*DGB*","*DGI*","*GT*","*CS*","*PWU*","*DBI*","*SWU*"}))=0,P1321,IF(IFERROR(VALUE(SUBSTITUTE(SUBSTITUTE(O1321,"W",""),"""","")),0)&gt;52,P1321&amp;"-OVRSIZE-",P1321))))</f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s="18" t="str">
        <v/>
      </c>
      <c r="O1321" s="15" t="str" cm="1">
        <f t="array" ref="O1321">IFERROR(_xlfn.LET(
_xlpm.clean,TRIM(SUBSTITUTE(SUBSTITUTE(P1321,CHAR(160),"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1" t="str">
        <f t="shared" si="21"/>
        <v/>
      </c>
    </row>
    <row r="1322" spans="3:19" ht="15.75" customHeight="1">
      <c r="C1322" s="15" t="str" cm="1">
        <f t="array" ref="C1322">IFERROR(_xlfn.TEXTJOIN("",TRUE,_xlfn._xlws.FILTER(MID(S1322,_xlfn.SEQUENCE(LEN(S1322)),1),ISNUMBER(SEARCH(MID(S1322,_xlfn.SEQUENCE(LEN(S1322)),1),"ABCDEFGHIJKLMNOPQRSTUVWXYZabcdefghijklmnopqrstuvwxyz0123456789,")))),"")</f>
        <v/>
      </c>
      <c r="G1322" s="20" t="str" cm="1">
        <f t="array" ref="G1322">IF(TRIM(P1322)="","",IF(SUM(COUNTIF(P1322,{"*NLGD*","*FWG*"}))&gt;0,P1322,IF(SUM(COUNTIF(P1322,{"*GL*","*DGB*","*DGI*","*GT*","*CS*","*PWU*","*DBI*","*SWU*"}))=0,P1322,IF(IFERROR(VALUE(SUBSTITUTE(SUBSTITUTE(O1322,"W",""),"""","")),0)&gt;52,P1322&amp;"-OVRSIZE-",P1322))))</f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s="18" t="str">
        <v/>
      </c>
      <c r="O1322" s="15" t="str" cm="1">
        <f t="array" ref="O1322">IFERROR(_xlfn.LET(
_xlpm.clean,TRIM(SUBSTITUTE(SUBSTITUTE(P1322,CHAR(160),"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2" t="str">
        <f t="shared" si="21"/>
        <v/>
      </c>
    </row>
    <row r="1323" spans="3:19" ht="15.75" customHeight="1">
      <c r="C1323" s="15" t="str" cm="1">
        <f t="array" ref="C1323">IFERROR(_xlfn.TEXTJOIN("",TRUE,_xlfn._xlws.FILTER(MID(S1323,_xlfn.SEQUENCE(LEN(S1323)),1),ISNUMBER(SEARCH(MID(S1323,_xlfn.SEQUENCE(LEN(S1323)),1),"ABCDEFGHIJKLMNOPQRSTUVWXYZabcdefghijklmnopqrstuvwxyz0123456789,")))),"")</f>
        <v/>
      </c>
      <c r="G1323" s="20" t="str" cm="1">
        <f t="array" ref="G1323">IF(TRIM(P1323)="","",IF(SUM(COUNTIF(P1323,{"*NLGD*","*FWG*"}))&gt;0,P1323,IF(SUM(COUNTIF(P1323,{"*GL*","*DGB*","*DGI*","*GT*","*CS*","*PWU*","*DBI*","*SWU*"}))=0,P1323,IF(IFERROR(VALUE(SUBSTITUTE(SUBSTITUTE(O1323,"W",""),"""","")),0)&gt;52,P1323&amp;"-OVRSIZE-",P1323))))</f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s="18" t="str">
        <v/>
      </c>
      <c r="O1323" s="15" t="str" cm="1">
        <f t="array" ref="O1323">IFERROR(_xlfn.LET(
_xlpm.clean,TRIM(SUBSTITUTE(SUBSTITUTE(P1323,CHAR(160),"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3" t="str">
        <f t="shared" si="21"/>
        <v/>
      </c>
    </row>
    <row r="1324" spans="3:19" ht="15.75" customHeight="1">
      <c r="C1324" s="15" t="str" cm="1">
        <f t="array" ref="C1324">IFERROR(_xlfn.TEXTJOIN("",TRUE,_xlfn._xlws.FILTER(MID(S1324,_xlfn.SEQUENCE(LEN(S1324)),1),ISNUMBER(SEARCH(MID(S1324,_xlfn.SEQUENCE(LEN(S1324)),1),"ABCDEFGHIJKLMNOPQRSTUVWXYZabcdefghijklmnopqrstuvwxyz0123456789,")))),"")</f>
        <v/>
      </c>
      <c r="G1324" s="20" t="str" cm="1">
        <f t="array" ref="G1324">IF(TRIM(P1324)="","",IF(SUM(COUNTIF(P1324,{"*NLGD*","*FWG*"}))&gt;0,P1324,IF(SUM(COUNTIF(P1324,{"*GL*","*DGB*","*DGI*","*GT*","*CS*","*PWU*","*DBI*","*SWU*"}))=0,P1324,IF(IFERROR(VALUE(SUBSTITUTE(SUBSTITUTE(O1324,"W",""),"""","")),0)&gt;52,P1324&amp;"-OVRSIZE-",P1324))))</f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s="18" t="str">
        <v/>
      </c>
      <c r="O1324" s="15" t="str" cm="1">
        <f t="array" ref="O1324">IFERROR(_xlfn.LET(
_xlpm.clean,TRIM(SUBSTITUTE(SUBSTITUTE(P1324,CHAR(160),"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4" t="str">
        <f t="shared" si="21"/>
        <v/>
      </c>
    </row>
    <row r="1325" spans="3:19" ht="15.75" customHeight="1">
      <c r="C1325" s="15" t="str" cm="1">
        <f t="array" ref="C1325">IFERROR(_xlfn.TEXTJOIN("",TRUE,_xlfn._xlws.FILTER(MID(S1325,_xlfn.SEQUENCE(LEN(S1325)),1),ISNUMBER(SEARCH(MID(S1325,_xlfn.SEQUENCE(LEN(S1325)),1),"ABCDEFGHIJKLMNOPQRSTUVWXYZabcdefghijklmnopqrstuvwxyz0123456789,")))),"")</f>
        <v/>
      </c>
      <c r="G1325" s="20" t="str" cm="1">
        <f t="array" ref="G1325">IF(TRIM(P1325)="","",IF(SUM(COUNTIF(P1325,{"*NLGD*","*FWG*"}))&gt;0,P1325,IF(SUM(COUNTIF(P1325,{"*GL*","*DGB*","*DGI*","*GT*","*CS*","*PWU*","*DBI*","*SWU*"}))=0,P1325,IF(IFERROR(VALUE(SUBSTITUTE(SUBSTITUTE(O1325,"W",""),"""","")),0)&gt;52,P1325&amp;"-OVRSIZE-",P1325))))</f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s="18" t="str">
        <v/>
      </c>
      <c r="O1325" s="15" t="str" cm="1">
        <f t="array" ref="O1325">IFERROR(_xlfn.LET(
_xlpm.clean,TRIM(SUBSTITUTE(SUBSTITUTE(P1325,CHAR(160),"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5" t="str">
        <f t="shared" si="21"/>
        <v/>
      </c>
    </row>
    <row r="1326" spans="3:19" ht="15.75" customHeight="1">
      <c r="C1326" s="15" t="str" cm="1">
        <f t="array" ref="C1326">IFERROR(_xlfn.TEXTJOIN("",TRUE,_xlfn._xlws.FILTER(MID(S1326,_xlfn.SEQUENCE(LEN(S1326)),1),ISNUMBER(SEARCH(MID(S1326,_xlfn.SEQUENCE(LEN(S1326)),1),"ABCDEFGHIJKLMNOPQRSTUVWXYZabcdefghijklmnopqrstuvwxyz0123456789,")))),"")</f>
        <v/>
      </c>
      <c r="G1326" s="20" t="str" cm="1">
        <f t="array" ref="G1326">IF(TRIM(P1326)="","",IF(SUM(COUNTIF(P1326,{"*NLGD*","*FWG*"}))&gt;0,P1326,IF(SUM(COUNTIF(P1326,{"*GL*","*DGB*","*DGI*","*GT*","*CS*","*PWU*","*DBI*","*SWU*"}))=0,P1326,IF(IFERROR(VALUE(SUBSTITUTE(SUBSTITUTE(O1326,"W",""),"""","")),0)&gt;52,P1326&amp;"-OVRSIZE-",P1326))))</f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s="18" t="str">
        <v/>
      </c>
      <c r="O1326" s="15" t="str" cm="1">
        <f t="array" ref="O1326">IFERROR(_xlfn.LET(
_xlpm.clean,TRIM(SUBSTITUTE(SUBSTITUTE(P1326,CHAR(160),"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6" t="str">
        <f t="shared" si="21"/>
        <v/>
      </c>
    </row>
    <row r="1327" spans="3:19" ht="15.75" customHeight="1">
      <c r="C1327" s="15" t="str" cm="1">
        <f t="array" ref="C1327">IFERROR(_xlfn.TEXTJOIN("",TRUE,_xlfn._xlws.FILTER(MID(S1327,_xlfn.SEQUENCE(LEN(S1327)),1),ISNUMBER(SEARCH(MID(S1327,_xlfn.SEQUENCE(LEN(S1327)),1),"ABCDEFGHIJKLMNOPQRSTUVWXYZabcdefghijklmnopqrstuvwxyz0123456789,")))),"")</f>
        <v/>
      </c>
      <c r="G1327" s="20" t="str" cm="1">
        <f t="array" ref="G1327">IF(TRIM(P1327)="","",IF(SUM(COUNTIF(P1327,{"*NLGD*","*FWG*"}))&gt;0,P1327,IF(SUM(COUNTIF(P1327,{"*GL*","*DGB*","*DGI*","*GT*","*CS*","*PWU*","*DBI*","*SWU*"}))=0,P1327,IF(IFERROR(VALUE(SUBSTITUTE(SUBSTITUTE(O1327,"W",""),"""","")),0)&gt;52,P1327&amp;"-OVRSIZE-",P1327))))</f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s="18" t="str">
        <v/>
      </c>
      <c r="O1327" s="15" t="str" cm="1">
        <f t="array" ref="O1327">IFERROR(_xlfn.LET(
_xlpm.clean,TRIM(SUBSTITUTE(SUBSTITUTE(P1327,CHAR(160),"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7" t="str">
        <f t="shared" si="21"/>
        <v/>
      </c>
    </row>
    <row r="1328" spans="3:19" ht="15.75" customHeight="1">
      <c r="C1328" s="15" t="str" cm="1">
        <f t="array" ref="C1328">IFERROR(_xlfn.TEXTJOIN("",TRUE,_xlfn._xlws.FILTER(MID(S1328,_xlfn.SEQUENCE(LEN(S1328)),1),ISNUMBER(SEARCH(MID(S1328,_xlfn.SEQUENCE(LEN(S1328)),1),"ABCDEFGHIJKLMNOPQRSTUVWXYZabcdefghijklmnopqrstuvwxyz0123456789,")))),"")</f>
        <v/>
      </c>
      <c r="G1328" s="20" t="str" cm="1">
        <f t="array" ref="G1328">IF(TRIM(P1328)="","",IF(SUM(COUNTIF(P1328,{"*NLGD*","*FWG*"}))&gt;0,P1328,IF(SUM(COUNTIF(P1328,{"*GL*","*DGB*","*DGI*","*GT*","*CS*","*PWU*","*DBI*","*SWU*"}))=0,P1328,IF(IFERROR(VALUE(SUBSTITUTE(SUBSTITUTE(O1328,"W",""),"""","")),0)&gt;52,P1328&amp;"-OVRSIZE-",P1328))))</f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s="18" t="str">
        <v/>
      </c>
      <c r="O1328" s="15" t="str" cm="1">
        <f t="array" ref="O1328">IFERROR(_xlfn.LET(
_xlpm.clean,TRIM(SUBSTITUTE(SUBSTITUTE(P1328,CHAR(160),"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8" t="str">
        <f t="shared" si="21"/>
        <v/>
      </c>
    </row>
    <row r="1329" spans="3:19" ht="15.75" customHeight="1">
      <c r="C1329" s="15" t="str" cm="1">
        <f t="array" ref="C1329">IFERROR(_xlfn.TEXTJOIN("",TRUE,_xlfn._xlws.FILTER(MID(S1329,_xlfn.SEQUENCE(LEN(S1329)),1),ISNUMBER(SEARCH(MID(S1329,_xlfn.SEQUENCE(LEN(S1329)),1),"ABCDEFGHIJKLMNOPQRSTUVWXYZabcdefghijklmnopqrstuvwxyz0123456789,")))),"")</f>
        <v/>
      </c>
      <c r="G1329" s="20" t="str" cm="1">
        <f t="array" ref="G1329">IF(TRIM(P1329)="","",IF(SUM(COUNTIF(P1329,{"*NLGD*","*FWG*"}))&gt;0,P1329,IF(SUM(COUNTIF(P1329,{"*GL*","*DGB*","*DGI*","*GT*","*CS*","*PWU*","*DBI*","*SWU*"}))=0,P1329,IF(IFERROR(VALUE(SUBSTITUTE(SUBSTITUTE(O1329,"W",""),"""","")),0)&gt;52,P1329&amp;"-OVRSIZE-",P1329))))</f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s="18" t="str">
        <v/>
      </c>
      <c r="O1329" s="15" t="str" cm="1">
        <f t="array" ref="O1329">IFERROR(_xlfn.LET(
_xlpm.clean,TRIM(SUBSTITUTE(SUBSTITUTE(P1329,CHAR(160),"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9" t="str">
        <f t="shared" si="21"/>
        <v/>
      </c>
    </row>
    <row r="1330" spans="3:19" ht="15.75" customHeight="1">
      <c r="C1330" s="15" t="str" cm="1">
        <f t="array" ref="C1330">IFERROR(_xlfn.TEXTJOIN("",TRUE,_xlfn._xlws.FILTER(MID(S1330,_xlfn.SEQUENCE(LEN(S1330)),1),ISNUMBER(SEARCH(MID(S1330,_xlfn.SEQUENCE(LEN(S1330)),1),"ABCDEFGHIJKLMNOPQRSTUVWXYZabcdefghijklmnopqrstuvwxyz0123456789,")))),"")</f>
        <v/>
      </c>
      <c r="G1330" s="20" t="str" cm="1">
        <f t="array" ref="G1330">IF(TRIM(P1330)="","",IF(SUM(COUNTIF(P1330,{"*NLGD*","*FWG*"}))&gt;0,P1330,IF(SUM(COUNTIF(P1330,{"*GL*","*DGB*","*DGI*","*GT*","*CS*","*PWU*","*DBI*","*SWU*"}))=0,P1330,IF(IFERROR(VALUE(SUBSTITUTE(SUBSTITUTE(O1330,"W",""),"""","")),0)&gt;52,P1330&amp;"-OVRSIZE-",P1330))))</f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s="18" t="str">
        <v/>
      </c>
      <c r="O1330" s="15" t="str" cm="1">
        <f t="array" ref="O1330">IFERROR(_xlfn.LET(
_xlpm.clean,TRIM(SUBSTITUTE(SUBSTITUTE(P1330,CHAR(160),"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0" t="str">
        <f t="shared" si="21"/>
        <v/>
      </c>
    </row>
    <row r="1331" spans="3:19" ht="15.75" customHeight="1">
      <c r="C1331" s="15" t="str" cm="1">
        <f t="array" ref="C1331">IFERROR(_xlfn.TEXTJOIN("",TRUE,_xlfn._xlws.FILTER(MID(S1331,_xlfn.SEQUENCE(LEN(S1331)),1),ISNUMBER(SEARCH(MID(S1331,_xlfn.SEQUENCE(LEN(S1331)),1),"ABCDEFGHIJKLMNOPQRSTUVWXYZabcdefghijklmnopqrstuvwxyz0123456789,")))),"")</f>
        <v/>
      </c>
      <c r="G1331" s="20" t="str" cm="1">
        <f t="array" ref="G1331">IF(TRIM(P1331)="","",IF(SUM(COUNTIF(P1331,{"*NLGD*","*FWG*"}))&gt;0,P1331,IF(SUM(COUNTIF(P1331,{"*GL*","*DGB*","*DGI*","*GT*","*CS*","*PWU*","*DBI*","*SWU*"}))=0,P1331,IF(IFERROR(VALUE(SUBSTITUTE(SUBSTITUTE(O1331,"W",""),"""","")),0)&gt;52,P1331&amp;"-OVRSIZE-",P1331))))</f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s="18" t="str">
        <v/>
      </c>
      <c r="O1331" s="15" t="str" cm="1">
        <f t="array" ref="O1331">IFERROR(_xlfn.LET(
_xlpm.clean,TRIM(SUBSTITUTE(SUBSTITUTE(P1331,CHAR(160),"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1" t="str">
        <f t="shared" si="21"/>
        <v/>
      </c>
    </row>
    <row r="1332" spans="3:19" ht="15.75" customHeight="1">
      <c r="C1332" s="15" t="str" cm="1">
        <f t="array" ref="C1332">IFERROR(_xlfn.TEXTJOIN("",TRUE,_xlfn._xlws.FILTER(MID(S1332,_xlfn.SEQUENCE(LEN(S1332)),1),ISNUMBER(SEARCH(MID(S1332,_xlfn.SEQUENCE(LEN(S1332)),1),"ABCDEFGHIJKLMNOPQRSTUVWXYZabcdefghijklmnopqrstuvwxyz0123456789,")))),"")</f>
        <v/>
      </c>
      <c r="G1332" s="20" t="str" cm="1">
        <f t="array" ref="G1332">IF(TRIM(P1332)="","",IF(SUM(COUNTIF(P1332,{"*NLGD*","*FWG*"}))&gt;0,P1332,IF(SUM(COUNTIF(P1332,{"*GL*","*DGB*","*DGI*","*GT*","*CS*","*PWU*","*DBI*","*SWU*"}))=0,P1332,IF(IFERROR(VALUE(SUBSTITUTE(SUBSTITUTE(O1332,"W",""),"""","")),0)&gt;52,P1332&amp;"-OVRSIZE-",P1332))))</f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s="18" t="str">
        <v/>
      </c>
      <c r="O1332" s="15" t="str" cm="1">
        <f t="array" ref="O1332">IFERROR(_xlfn.LET(
_xlpm.clean,TRIM(SUBSTITUTE(SUBSTITUTE(P1332,CHAR(160),"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2" t="str">
        <f t="shared" si="21"/>
        <v/>
      </c>
    </row>
    <row r="1333" spans="3:19" ht="15.75" customHeight="1">
      <c r="C1333" s="15" t="str" cm="1">
        <f t="array" ref="C1333">IFERROR(_xlfn.TEXTJOIN("",TRUE,_xlfn._xlws.FILTER(MID(S1333,_xlfn.SEQUENCE(LEN(S1333)),1),ISNUMBER(SEARCH(MID(S1333,_xlfn.SEQUENCE(LEN(S1333)),1),"ABCDEFGHIJKLMNOPQRSTUVWXYZabcdefghijklmnopqrstuvwxyz0123456789,")))),"")</f>
        <v/>
      </c>
      <c r="G1333" s="20" t="str" cm="1">
        <f t="array" ref="G1333">IF(TRIM(P1333)="","",IF(SUM(COUNTIF(P1333,{"*NLGD*","*FWG*"}))&gt;0,P1333,IF(SUM(COUNTIF(P1333,{"*GL*","*DGB*","*DGI*","*GT*","*CS*","*PWU*","*DBI*","*SWU*"}))=0,P1333,IF(IFERROR(VALUE(SUBSTITUTE(SUBSTITUTE(O1333,"W",""),"""","")),0)&gt;52,P1333&amp;"-OVRSIZE-",P1333))))</f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s="18" t="str">
        <v/>
      </c>
      <c r="O1333" s="15" t="str" cm="1">
        <f t="array" ref="O1333">IFERROR(_xlfn.LET(
_xlpm.clean,TRIM(SUBSTITUTE(SUBSTITUTE(P1333,CHAR(160),"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3" t="str">
        <f t="shared" si="21"/>
        <v/>
      </c>
    </row>
    <row r="1334" spans="3:19" ht="15.75" customHeight="1">
      <c r="C1334" s="15" t="str" cm="1">
        <f t="array" ref="C1334">IFERROR(_xlfn.TEXTJOIN("",TRUE,_xlfn._xlws.FILTER(MID(S1334,_xlfn.SEQUENCE(LEN(S1334)),1),ISNUMBER(SEARCH(MID(S1334,_xlfn.SEQUENCE(LEN(S1334)),1),"ABCDEFGHIJKLMNOPQRSTUVWXYZabcdefghijklmnopqrstuvwxyz0123456789,")))),"")</f>
        <v/>
      </c>
      <c r="G1334" s="20" t="str" cm="1">
        <f t="array" ref="G1334">IF(TRIM(P1334)="","",IF(SUM(COUNTIF(P1334,{"*NLGD*","*FWG*"}))&gt;0,P1334,IF(SUM(COUNTIF(P1334,{"*GL*","*DGB*","*DGI*","*GT*","*CS*","*PWU*","*DBI*","*SWU*"}))=0,P1334,IF(IFERROR(VALUE(SUBSTITUTE(SUBSTITUTE(O1334,"W",""),"""","")),0)&gt;52,P1334&amp;"-OVRSIZE-",P1334))))</f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s="18" t="str">
        <v/>
      </c>
      <c r="O1334" s="15" t="str" cm="1">
        <f t="array" ref="O1334">IFERROR(_xlfn.LET(
_xlpm.clean,TRIM(SUBSTITUTE(SUBSTITUTE(P1334,CHAR(160),"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4" t="str">
        <f t="shared" si="21"/>
        <v/>
      </c>
    </row>
    <row r="1335" spans="3:19" ht="15.75" customHeight="1">
      <c r="C1335" s="15" t="str" cm="1">
        <f t="array" ref="C1335">IFERROR(_xlfn.TEXTJOIN("",TRUE,_xlfn._xlws.FILTER(MID(S1335,_xlfn.SEQUENCE(LEN(S1335)),1),ISNUMBER(SEARCH(MID(S1335,_xlfn.SEQUENCE(LEN(S1335)),1),"ABCDEFGHIJKLMNOPQRSTUVWXYZabcdefghijklmnopqrstuvwxyz0123456789,")))),"")</f>
        <v/>
      </c>
      <c r="G1335" s="20" t="str" cm="1">
        <f t="array" ref="G1335">IF(TRIM(P1335)="","",IF(SUM(COUNTIF(P1335,{"*NLGD*","*FWG*"}))&gt;0,P1335,IF(SUM(COUNTIF(P1335,{"*GL*","*DGB*","*DGI*","*GT*","*CS*","*PWU*","*DBI*","*SWU*"}))=0,P1335,IF(IFERROR(VALUE(SUBSTITUTE(SUBSTITUTE(O1335,"W",""),"""","")),0)&gt;52,P1335&amp;"-OVRSIZE-",P1335))))</f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s="18" t="str">
        <v/>
      </c>
      <c r="O1335" s="15" t="str" cm="1">
        <f t="array" ref="O1335">IFERROR(_xlfn.LET(
_xlpm.clean,TRIM(SUBSTITUTE(SUBSTITUTE(P1335,CHAR(160),"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5" t="str">
        <f t="shared" si="21"/>
        <v/>
      </c>
    </row>
    <row r="1336" spans="3:19" ht="15.75" customHeight="1">
      <c r="C1336" s="15" t="str" cm="1">
        <f t="array" ref="C1336">IFERROR(_xlfn.TEXTJOIN("",TRUE,_xlfn._xlws.FILTER(MID(S1336,_xlfn.SEQUENCE(LEN(S1336)),1),ISNUMBER(SEARCH(MID(S1336,_xlfn.SEQUENCE(LEN(S1336)),1),"ABCDEFGHIJKLMNOPQRSTUVWXYZabcdefghijklmnopqrstuvwxyz0123456789,")))),"")</f>
        <v/>
      </c>
      <c r="G1336" s="20" t="str" cm="1">
        <f t="array" ref="G1336">IF(TRIM(P1336)="","",IF(SUM(COUNTIF(P1336,{"*NLGD*","*FWG*"}))&gt;0,P1336,IF(SUM(COUNTIF(P1336,{"*GL*","*DGB*","*DGI*","*GT*","*CS*","*PWU*","*DBI*","*SWU*"}))=0,P1336,IF(IFERROR(VALUE(SUBSTITUTE(SUBSTITUTE(O1336,"W",""),"""","")),0)&gt;52,P1336&amp;"-OVRSIZE-",P1336))))</f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s="18" t="str">
        <v/>
      </c>
      <c r="O1336" s="15" t="str" cm="1">
        <f t="array" ref="O1336">IFERROR(_xlfn.LET(
_xlpm.clean,TRIM(SUBSTITUTE(SUBSTITUTE(P1336,CHAR(160),"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6" t="str">
        <f t="shared" si="21"/>
        <v/>
      </c>
    </row>
    <row r="1337" spans="3:19" ht="15.75" customHeight="1">
      <c r="C1337" s="15" t="str" cm="1">
        <f t="array" ref="C1337">IFERROR(_xlfn.TEXTJOIN("",TRUE,_xlfn._xlws.FILTER(MID(S1337,_xlfn.SEQUENCE(LEN(S1337)),1),ISNUMBER(SEARCH(MID(S1337,_xlfn.SEQUENCE(LEN(S1337)),1),"ABCDEFGHIJKLMNOPQRSTUVWXYZabcdefghijklmnopqrstuvwxyz0123456789,")))),"")</f>
        <v/>
      </c>
      <c r="G1337" s="20" t="str" cm="1">
        <f t="array" ref="G1337">IF(TRIM(P1337)="","",IF(SUM(COUNTIF(P1337,{"*NLGD*","*FWG*"}))&gt;0,P1337,IF(SUM(COUNTIF(P1337,{"*GL*","*DGB*","*DGI*","*GT*","*CS*","*PWU*","*DBI*","*SWU*"}))=0,P1337,IF(IFERROR(VALUE(SUBSTITUTE(SUBSTITUTE(O1337,"W",""),"""","")),0)&gt;52,P1337&amp;"-OVRSIZE-",P1337))))</f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s="18" t="str">
        <v/>
      </c>
      <c r="O1337" s="15" t="str" cm="1">
        <f t="array" ref="O1337">IFERROR(_xlfn.LET(
_xlpm.clean,TRIM(SUBSTITUTE(SUBSTITUTE(P1337,CHAR(160),"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7" t="str">
        <f t="shared" si="21"/>
        <v/>
      </c>
    </row>
    <row r="1338" spans="3:19" ht="15.75" customHeight="1">
      <c r="C1338" s="15" t="str" cm="1">
        <f t="array" ref="C1338">IFERROR(_xlfn.TEXTJOIN("",TRUE,_xlfn._xlws.FILTER(MID(S1338,_xlfn.SEQUENCE(LEN(S1338)),1),ISNUMBER(SEARCH(MID(S1338,_xlfn.SEQUENCE(LEN(S1338)),1),"ABCDEFGHIJKLMNOPQRSTUVWXYZabcdefghijklmnopqrstuvwxyz0123456789,")))),"")</f>
        <v/>
      </c>
      <c r="G1338" s="20" t="str" cm="1">
        <f t="array" ref="G1338">IF(TRIM(P1338)="","",IF(SUM(COUNTIF(P1338,{"*NLGD*","*FWG*"}))&gt;0,P1338,IF(SUM(COUNTIF(P1338,{"*GL*","*DGB*","*DGI*","*GT*","*CS*","*PWU*","*DBI*","*SWU*"}))=0,P1338,IF(IFERROR(VALUE(SUBSTITUTE(SUBSTITUTE(O1338,"W",""),"""","")),0)&gt;52,P1338&amp;"-OVRSIZE-",P1338))))</f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s="18" t="str">
        <v/>
      </c>
      <c r="O1338" s="15" t="str" cm="1">
        <f t="array" ref="O1338">IFERROR(_xlfn.LET(
_xlpm.clean,TRIM(SUBSTITUTE(SUBSTITUTE(P1338,CHAR(160),"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8" t="str">
        <f t="shared" si="21"/>
        <v/>
      </c>
    </row>
    <row r="1339" spans="3:19" ht="15.75" customHeight="1">
      <c r="C1339" s="15" t="str" cm="1">
        <f t="array" ref="C1339">IFERROR(_xlfn.TEXTJOIN("",TRUE,_xlfn._xlws.FILTER(MID(S1339,_xlfn.SEQUENCE(LEN(S1339)),1),ISNUMBER(SEARCH(MID(S1339,_xlfn.SEQUENCE(LEN(S1339)),1),"ABCDEFGHIJKLMNOPQRSTUVWXYZabcdefghijklmnopqrstuvwxyz0123456789,")))),"")</f>
        <v/>
      </c>
      <c r="G1339" s="20" t="str" cm="1">
        <f t="array" ref="G1339">IF(TRIM(P1339)="","",IF(SUM(COUNTIF(P1339,{"*NLGD*","*FWG*"}))&gt;0,P1339,IF(SUM(COUNTIF(P1339,{"*GL*","*DGB*","*DGI*","*GT*","*CS*","*PWU*","*DBI*","*SWU*"}))=0,P1339,IF(IFERROR(VALUE(SUBSTITUTE(SUBSTITUTE(O1339,"W",""),"""","")),0)&gt;52,P1339&amp;"-OVRSIZE-",P1339))))</f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s="18" t="str">
        <v/>
      </c>
      <c r="O1339" s="15" t="str" cm="1">
        <f t="array" ref="O1339">IFERROR(_xlfn.LET(
_xlpm.clean,TRIM(SUBSTITUTE(SUBSTITUTE(P1339,CHAR(160),"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9" t="str">
        <f t="shared" si="21"/>
        <v/>
      </c>
    </row>
    <row r="1340" spans="3:19" ht="15.75" customHeight="1">
      <c r="C1340" s="15" t="str" cm="1">
        <f t="array" ref="C1340">IFERROR(_xlfn.TEXTJOIN("",TRUE,_xlfn._xlws.FILTER(MID(S1340,_xlfn.SEQUENCE(LEN(S1340)),1),ISNUMBER(SEARCH(MID(S1340,_xlfn.SEQUENCE(LEN(S1340)),1),"ABCDEFGHIJKLMNOPQRSTUVWXYZabcdefghijklmnopqrstuvwxyz0123456789,")))),"")</f>
        <v/>
      </c>
      <c r="G1340" s="20" t="str" cm="1">
        <f t="array" ref="G1340">IF(TRIM(P1340)="","",IF(SUM(COUNTIF(P1340,{"*NLGD*","*FWG*"}))&gt;0,P1340,IF(SUM(COUNTIF(P1340,{"*GL*","*DGB*","*DGI*","*GT*","*CS*","*PWU*","*DBI*","*SWU*"}))=0,P1340,IF(IFERROR(VALUE(SUBSTITUTE(SUBSTITUTE(O1340,"W",""),"""","")),0)&gt;52,P1340&amp;"-OVRSIZE-",P1340))))</f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s="18" t="str">
        <v/>
      </c>
      <c r="O1340" s="15" t="str" cm="1">
        <f t="array" ref="O1340">IFERROR(_xlfn.LET(
_xlpm.clean,TRIM(SUBSTITUTE(SUBSTITUTE(P1340,CHAR(160),"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0" t="str">
        <f t="shared" si="21"/>
        <v/>
      </c>
    </row>
    <row r="1341" spans="3:19" ht="15.75" customHeight="1">
      <c r="C1341" s="15" t="str" cm="1">
        <f t="array" ref="C1341">IFERROR(_xlfn.TEXTJOIN("",TRUE,_xlfn._xlws.FILTER(MID(S1341,_xlfn.SEQUENCE(LEN(S1341)),1),ISNUMBER(SEARCH(MID(S1341,_xlfn.SEQUENCE(LEN(S1341)),1),"ABCDEFGHIJKLMNOPQRSTUVWXYZabcdefghijklmnopqrstuvwxyz0123456789,")))),"")</f>
        <v/>
      </c>
      <c r="G1341" s="20" t="str" cm="1">
        <f t="array" ref="G1341">IF(TRIM(P1341)="","",IF(SUM(COUNTIF(P1341,{"*NLGD*","*FWG*"}))&gt;0,P1341,IF(SUM(COUNTIF(P1341,{"*GL*","*DGB*","*DGI*","*GT*","*CS*","*PWU*","*DBI*","*SWU*"}))=0,P1341,IF(IFERROR(VALUE(SUBSTITUTE(SUBSTITUTE(O1341,"W",""),"""","")),0)&gt;52,P1341&amp;"-OVRSIZE-",P1341))))</f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s="18" t="str">
        <v/>
      </c>
      <c r="O1341" s="15" t="str" cm="1">
        <f t="array" ref="O1341">IFERROR(_xlfn.LET(
_xlpm.clean,TRIM(SUBSTITUTE(SUBSTITUTE(P1341,CHAR(160),"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1" t="str">
        <f t="shared" si="21"/>
        <v/>
      </c>
    </row>
    <row r="1342" spans="3:19" ht="15.75" customHeight="1">
      <c r="C1342" s="15" t="str" cm="1">
        <f t="array" ref="C1342">IFERROR(_xlfn.TEXTJOIN("",TRUE,_xlfn._xlws.FILTER(MID(S1342,_xlfn.SEQUENCE(LEN(S1342)),1),ISNUMBER(SEARCH(MID(S1342,_xlfn.SEQUENCE(LEN(S1342)),1),"ABCDEFGHIJKLMNOPQRSTUVWXYZabcdefghijklmnopqrstuvwxyz0123456789,")))),"")</f>
        <v/>
      </c>
      <c r="G1342" s="20" t="str" cm="1">
        <f t="array" ref="G1342">IF(TRIM(P1342)="","",IF(SUM(COUNTIF(P1342,{"*NLGD*","*FWG*"}))&gt;0,P1342,IF(SUM(COUNTIF(P1342,{"*GL*","*DGB*","*DGI*","*GT*","*CS*","*PWU*","*DBI*","*SWU*"}))=0,P1342,IF(IFERROR(VALUE(SUBSTITUTE(SUBSTITUTE(O1342,"W",""),"""","")),0)&gt;52,P1342&amp;"-OVRSIZE-",P1342))))</f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s="18" t="str">
        <v/>
      </c>
      <c r="O1342" s="15" t="str" cm="1">
        <f t="array" ref="O1342">IFERROR(_xlfn.LET(
_xlpm.clean,TRIM(SUBSTITUTE(SUBSTITUTE(P1342,CHAR(160),"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2" t="str">
        <f t="shared" si="21"/>
        <v/>
      </c>
    </row>
    <row r="1343" spans="3:19" ht="15.75" customHeight="1">
      <c r="C1343" s="15" t="str" cm="1">
        <f t="array" ref="C1343">IFERROR(_xlfn.TEXTJOIN("",TRUE,_xlfn._xlws.FILTER(MID(S1343,_xlfn.SEQUENCE(LEN(S1343)),1),ISNUMBER(SEARCH(MID(S1343,_xlfn.SEQUENCE(LEN(S1343)),1),"ABCDEFGHIJKLMNOPQRSTUVWXYZabcdefghijklmnopqrstuvwxyz0123456789,")))),"")</f>
        <v/>
      </c>
      <c r="G1343" s="20" t="str" cm="1">
        <f t="array" ref="G1343">IF(TRIM(P1343)="","",IF(SUM(COUNTIF(P1343,{"*NLGD*","*FWG*"}))&gt;0,P1343,IF(SUM(COUNTIF(P1343,{"*GL*","*DGB*","*DGI*","*GT*","*CS*","*PWU*","*DBI*","*SWU*"}))=0,P1343,IF(IFERROR(VALUE(SUBSTITUTE(SUBSTITUTE(O1343,"W",""),"""","")),0)&gt;52,P1343&amp;"-OVRSIZE-",P1343))))</f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s="18" t="str">
        <v/>
      </c>
      <c r="O1343" s="15" t="str" cm="1">
        <f t="array" ref="O1343">IFERROR(_xlfn.LET(
_xlpm.clean,TRIM(SUBSTITUTE(SUBSTITUTE(P1343,CHAR(160),"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3" t="str">
        <f t="shared" si="21"/>
        <v/>
      </c>
    </row>
    <row r="1344" spans="3:19" ht="15.75" customHeight="1">
      <c r="C1344" s="15" t="str" cm="1">
        <f t="array" ref="C1344">IFERROR(_xlfn.TEXTJOIN("",TRUE,_xlfn._xlws.FILTER(MID(S1344,_xlfn.SEQUENCE(LEN(S1344)),1),ISNUMBER(SEARCH(MID(S1344,_xlfn.SEQUENCE(LEN(S1344)),1),"ABCDEFGHIJKLMNOPQRSTUVWXYZabcdefghijklmnopqrstuvwxyz0123456789,")))),"")</f>
        <v/>
      </c>
      <c r="G1344" s="20" t="str" cm="1">
        <f t="array" ref="G1344">IF(TRIM(P1344)="","",IF(SUM(COUNTIF(P1344,{"*NLGD*","*FWG*"}))&gt;0,P1344,IF(SUM(COUNTIF(P1344,{"*GL*","*DGB*","*DGI*","*GT*","*CS*","*PWU*","*DBI*","*SWU*"}))=0,P1344,IF(IFERROR(VALUE(SUBSTITUTE(SUBSTITUTE(O1344,"W",""),"""","")),0)&gt;52,P1344&amp;"-OVRSIZE-",P1344))))</f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s="18" t="str">
        <v/>
      </c>
      <c r="O1344" s="15" t="str" cm="1">
        <f t="array" ref="O1344">IFERROR(_xlfn.LET(
_xlpm.clean,TRIM(SUBSTITUTE(SUBSTITUTE(P1344,CHAR(160),"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4" t="str">
        <f t="shared" si="21"/>
        <v/>
      </c>
    </row>
    <row r="1345" spans="3:19" ht="15.75" customHeight="1">
      <c r="C1345" s="15" t="str" cm="1">
        <f t="array" ref="C1345">IFERROR(_xlfn.TEXTJOIN("",TRUE,_xlfn._xlws.FILTER(MID(S1345,_xlfn.SEQUENCE(LEN(S1345)),1),ISNUMBER(SEARCH(MID(S1345,_xlfn.SEQUENCE(LEN(S1345)),1),"ABCDEFGHIJKLMNOPQRSTUVWXYZabcdefghijklmnopqrstuvwxyz0123456789,")))),"")</f>
        <v/>
      </c>
      <c r="G1345" s="20" t="str" cm="1">
        <f t="array" ref="G1345">IF(TRIM(P1345)="","",IF(SUM(COUNTIF(P1345,{"*NLGD*","*FWG*"}))&gt;0,P1345,IF(SUM(COUNTIF(P1345,{"*GL*","*DGB*","*DGI*","*GT*","*CS*","*PWU*","*DBI*","*SWU*"}))=0,P1345,IF(IFERROR(VALUE(SUBSTITUTE(SUBSTITUTE(O1345,"W",""),"""","")),0)&gt;52,P1345&amp;"-OVRSIZE-",P1345))))</f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s="18" t="str">
        <v/>
      </c>
      <c r="O1345" s="15" t="str" cm="1">
        <f t="array" ref="O1345">IFERROR(_xlfn.LET(
_xlpm.clean,TRIM(SUBSTITUTE(SUBSTITUTE(P1345,CHAR(160),"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5" t="str">
        <f t="shared" si="21"/>
        <v/>
      </c>
    </row>
    <row r="1346" spans="3:19" ht="15.75" customHeight="1">
      <c r="C1346" s="15" t="str" cm="1">
        <f t="array" ref="C1346">IFERROR(_xlfn.TEXTJOIN("",TRUE,_xlfn._xlws.FILTER(MID(S1346,_xlfn.SEQUENCE(LEN(S1346)),1),ISNUMBER(SEARCH(MID(S1346,_xlfn.SEQUENCE(LEN(S1346)),1),"ABCDEFGHIJKLMNOPQRSTUVWXYZabcdefghijklmnopqrstuvwxyz0123456789,")))),"")</f>
        <v/>
      </c>
      <c r="G1346" s="20" t="str" cm="1">
        <f t="array" ref="G1346">IF(TRIM(P1346)="","",IF(SUM(COUNTIF(P1346,{"*NLGD*","*FWG*"}))&gt;0,P1346,IF(SUM(COUNTIF(P1346,{"*GL*","*DGB*","*DGI*","*GT*","*CS*","*PWU*","*DBI*","*SWU*"}))=0,P1346,IF(IFERROR(VALUE(SUBSTITUTE(SUBSTITUTE(O1346,"W",""),"""","")),0)&gt;52,P1346&amp;"-OVRSIZE-",P1346))))</f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s="18" t="str">
        <v/>
      </c>
      <c r="O1346" s="15" t="str" cm="1">
        <f t="array" ref="O1346">IFERROR(_xlfn.LET(
_xlpm.clean,TRIM(SUBSTITUTE(SUBSTITUTE(P1346,CHAR(160),"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6" t="str">
        <f t="shared" si="21"/>
        <v/>
      </c>
    </row>
    <row r="1347" spans="3:19" ht="15.75" customHeight="1">
      <c r="C1347" s="15" t="str" cm="1">
        <f t="array" ref="C1347">IFERROR(_xlfn.TEXTJOIN("",TRUE,_xlfn._xlws.FILTER(MID(S1347,_xlfn.SEQUENCE(LEN(S1347)),1),ISNUMBER(SEARCH(MID(S1347,_xlfn.SEQUENCE(LEN(S1347)),1),"ABCDEFGHIJKLMNOPQRSTUVWXYZabcdefghijklmnopqrstuvwxyz0123456789,")))),"")</f>
        <v/>
      </c>
      <c r="G1347" s="20" t="str" cm="1">
        <f t="array" ref="G1347">IF(TRIM(P1347)="","",IF(SUM(COUNTIF(P1347,{"*NLGD*","*FWG*"}))&gt;0,P1347,IF(SUM(COUNTIF(P1347,{"*GL*","*DGB*","*DGI*","*GT*","*CS*","*PWU*","*DBI*","*SWU*"}))=0,P1347,IF(IFERROR(VALUE(SUBSTITUTE(SUBSTITUTE(O1347,"W",""),"""","")),0)&gt;52,P1347&amp;"-OVRSIZE-",P1347))))</f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s="18" t="str">
        <v/>
      </c>
      <c r="O1347" s="15" t="str" cm="1">
        <f t="array" ref="O1347">IFERROR(_xlfn.LET(
_xlpm.clean,TRIM(SUBSTITUTE(SUBSTITUTE(P1347,CHAR(160),"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7" t="str">
        <f t="shared" si="21"/>
        <v/>
      </c>
    </row>
    <row r="1348" spans="3:19" ht="15.75" customHeight="1">
      <c r="C1348" s="15" t="str" cm="1">
        <f t="array" ref="C1348">IFERROR(_xlfn.TEXTJOIN("",TRUE,_xlfn._xlws.FILTER(MID(S1348,_xlfn.SEQUENCE(LEN(S1348)),1),ISNUMBER(SEARCH(MID(S1348,_xlfn.SEQUENCE(LEN(S1348)),1),"ABCDEFGHIJKLMNOPQRSTUVWXYZabcdefghijklmnopqrstuvwxyz0123456789,")))),"")</f>
        <v/>
      </c>
      <c r="G1348" s="20" t="str" cm="1">
        <f t="array" ref="G1348">IF(TRIM(P1348)="","",IF(SUM(COUNTIF(P1348,{"*NLGD*","*FWG*"}))&gt;0,P1348,IF(SUM(COUNTIF(P1348,{"*GL*","*DGB*","*DGI*","*GT*","*CS*","*PWU*","*DBI*","*SWU*"}))=0,P1348,IF(IFERROR(VALUE(SUBSTITUTE(SUBSTITUTE(O1348,"W",""),"""","")),0)&gt;52,P1348&amp;"-OVRSIZE-",P1348))))</f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s="18" t="str">
        <v/>
      </c>
      <c r="O1348" s="15" t="str" cm="1">
        <f t="array" ref="O1348">IFERROR(_xlfn.LET(
_xlpm.clean,TRIM(SUBSTITUTE(SUBSTITUTE(P1348,CHAR(160),"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8" t="str">
        <f t="shared" si="21"/>
        <v/>
      </c>
    </row>
    <row r="1349" spans="3:19" ht="15.75" customHeight="1">
      <c r="C1349" s="15" t="str" cm="1">
        <f t="array" ref="C1349">IFERROR(_xlfn.TEXTJOIN("",TRUE,_xlfn._xlws.FILTER(MID(S1349,_xlfn.SEQUENCE(LEN(S1349)),1),ISNUMBER(SEARCH(MID(S1349,_xlfn.SEQUENCE(LEN(S1349)),1),"ABCDEFGHIJKLMNOPQRSTUVWXYZabcdefghijklmnopqrstuvwxyz0123456789,")))),"")</f>
        <v/>
      </c>
      <c r="G1349" s="20" t="str" cm="1">
        <f t="array" ref="G1349">IF(TRIM(P1349)="","",IF(SUM(COUNTIF(P1349,{"*NLGD*","*FWG*"}))&gt;0,P1349,IF(SUM(COUNTIF(P1349,{"*GL*","*DGB*","*DGI*","*GT*","*CS*","*PWU*","*DBI*","*SWU*"}))=0,P1349,IF(IFERROR(VALUE(SUBSTITUTE(SUBSTITUTE(O1349,"W",""),"""","")),0)&gt;52,P1349&amp;"-OVRSIZE-",P1349))))</f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s="18" t="str">
        <v/>
      </c>
      <c r="O1349" s="15" t="str" cm="1">
        <f t="array" ref="O1349">IFERROR(_xlfn.LET(
_xlpm.clean,TRIM(SUBSTITUTE(SUBSTITUTE(P1349,CHAR(160),"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9" t="str">
        <f t="shared" si="21"/>
        <v/>
      </c>
    </row>
    <row r="1350" spans="3:19" ht="15.75" customHeight="1">
      <c r="C1350" s="15" t="str" cm="1">
        <f t="array" ref="C1350">IFERROR(_xlfn.TEXTJOIN("",TRUE,_xlfn._xlws.FILTER(MID(S1350,_xlfn.SEQUENCE(LEN(S1350)),1),ISNUMBER(SEARCH(MID(S1350,_xlfn.SEQUENCE(LEN(S1350)),1),"ABCDEFGHIJKLMNOPQRSTUVWXYZabcdefghijklmnopqrstuvwxyz0123456789,")))),"")</f>
        <v/>
      </c>
      <c r="G1350" s="20" t="str" cm="1">
        <f t="array" ref="G1350">IF(TRIM(P1350)="","",IF(SUM(COUNTIF(P1350,{"*NLGD*","*FWG*"}))&gt;0,P1350,IF(SUM(COUNTIF(P1350,{"*GL*","*DGB*","*DGI*","*GT*","*CS*","*PWU*","*DBI*","*SWU*"}))=0,P1350,IF(IFERROR(VALUE(SUBSTITUTE(SUBSTITUTE(O1350,"W",""),"""","")),0)&gt;52,P1350&amp;"-OVRSIZE-",P1350))))</f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s="18" t="str">
        <v/>
      </c>
      <c r="O1350" s="15" t="str" cm="1">
        <f t="array" ref="O1350">IFERROR(_xlfn.LET(
_xlpm.clean,TRIM(SUBSTITUTE(SUBSTITUTE(P1350,CHAR(160),"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0" t="str">
        <f t="shared" si="21"/>
        <v/>
      </c>
    </row>
    <row r="1351" spans="3:19" ht="15.75" customHeight="1">
      <c r="C1351" s="15" t="str" cm="1">
        <f t="array" ref="C1351">IFERROR(_xlfn.TEXTJOIN("",TRUE,_xlfn._xlws.FILTER(MID(S1351,_xlfn.SEQUENCE(LEN(S1351)),1),ISNUMBER(SEARCH(MID(S1351,_xlfn.SEQUENCE(LEN(S1351)),1),"ABCDEFGHIJKLMNOPQRSTUVWXYZabcdefghijklmnopqrstuvwxyz0123456789,")))),"")</f>
        <v/>
      </c>
      <c r="G1351" s="20" t="str" cm="1">
        <f t="array" ref="G1351">IF(TRIM(P1351)="","",IF(SUM(COUNTIF(P1351,{"*NLGD*","*FWG*"}))&gt;0,P1351,IF(SUM(COUNTIF(P1351,{"*GL*","*DGB*","*DGI*","*GT*","*CS*","*PWU*","*DBI*","*SWU*"}))=0,P1351,IF(IFERROR(VALUE(SUBSTITUTE(SUBSTITUTE(O1351,"W",""),"""","")),0)&gt;52,P1351&amp;"-OVRSIZE-",P1351))))</f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s="18" t="str">
        <v/>
      </c>
      <c r="O1351" s="15" t="str" cm="1">
        <f t="array" ref="O1351">IFERROR(_xlfn.LET(
_xlpm.clean,TRIM(SUBSTITUTE(SUBSTITUTE(P1351,CHAR(160),"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1" t="str">
        <f t="shared" si="21"/>
        <v/>
      </c>
    </row>
    <row r="1352" spans="3:19" ht="15.75" customHeight="1">
      <c r="C1352" s="15" t="str" cm="1">
        <f t="array" ref="C1352">IFERROR(_xlfn.TEXTJOIN("",TRUE,_xlfn._xlws.FILTER(MID(S1352,_xlfn.SEQUENCE(LEN(S1352)),1),ISNUMBER(SEARCH(MID(S1352,_xlfn.SEQUENCE(LEN(S1352)),1),"ABCDEFGHIJKLMNOPQRSTUVWXYZabcdefghijklmnopqrstuvwxyz0123456789,")))),"")</f>
        <v/>
      </c>
      <c r="G1352" s="20" t="str" cm="1">
        <f t="array" ref="G1352">IF(TRIM(P1352)="","",IF(SUM(COUNTIF(P1352,{"*NLGD*","*FWG*"}))&gt;0,P1352,IF(SUM(COUNTIF(P1352,{"*GL*","*DGB*","*DGI*","*GT*","*CS*","*PWU*","*DBI*","*SWU*"}))=0,P1352,IF(IFERROR(VALUE(SUBSTITUTE(SUBSTITUTE(O1352,"W",""),"""","")),0)&gt;52,P1352&amp;"-OVRSIZE-",P1352))))</f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s="18" t="str">
        <v/>
      </c>
      <c r="O1352" s="15" t="str" cm="1">
        <f t="array" ref="O1352">IFERROR(_xlfn.LET(
_xlpm.clean,TRIM(SUBSTITUTE(SUBSTITUTE(P1352,CHAR(160),"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2" t="str">
        <f t="shared" ref="S1352:S1415" si="22">IF(R1352="","",_xlfn.LET(
_xlpm.x,TRIM(SUBSTITUTE(SUBSTITUTE(SUBSTITUTE(SUBSTITUTE(R1352,":","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353" spans="3:19" ht="15.75" customHeight="1">
      <c r="C1353" s="15" t="str" cm="1">
        <f t="array" ref="C1353">IFERROR(_xlfn.TEXTJOIN("",TRUE,_xlfn._xlws.FILTER(MID(S1353,_xlfn.SEQUENCE(LEN(S1353)),1),ISNUMBER(SEARCH(MID(S1353,_xlfn.SEQUENCE(LEN(S1353)),1),"ABCDEFGHIJKLMNOPQRSTUVWXYZabcdefghijklmnopqrstuvwxyz0123456789,")))),"")</f>
        <v/>
      </c>
      <c r="G1353" s="20" t="str" cm="1">
        <f t="array" ref="G1353">IF(TRIM(P1353)="","",IF(SUM(COUNTIF(P1353,{"*NLGD*","*FWG*"}))&gt;0,P1353,IF(SUM(COUNTIF(P1353,{"*GL*","*DGB*","*DGI*","*GT*","*CS*","*PWU*","*DBI*","*SWU*"}))=0,P1353,IF(IFERROR(VALUE(SUBSTITUTE(SUBSTITUTE(O1353,"W",""),"""","")),0)&gt;52,P1353&amp;"-OVRSIZE-",P1353))))</f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s="18" t="str">
        <v/>
      </c>
      <c r="O1353" s="15" t="str" cm="1">
        <f t="array" ref="O1353">IFERROR(_xlfn.LET(
_xlpm.clean,TRIM(SUBSTITUTE(SUBSTITUTE(P1353,CHAR(160),"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3" t="str">
        <f t="shared" si="22"/>
        <v/>
      </c>
    </row>
    <row r="1354" spans="3:19" ht="15.75" customHeight="1">
      <c r="C1354" s="15" t="str" cm="1">
        <f t="array" ref="C1354">IFERROR(_xlfn.TEXTJOIN("",TRUE,_xlfn._xlws.FILTER(MID(S1354,_xlfn.SEQUENCE(LEN(S1354)),1),ISNUMBER(SEARCH(MID(S1354,_xlfn.SEQUENCE(LEN(S1354)),1),"ABCDEFGHIJKLMNOPQRSTUVWXYZabcdefghijklmnopqrstuvwxyz0123456789,")))),"")</f>
        <v/>
      </c>
      <c r="G1354" s="20" t="str" cm="1">
        <f t="array" ref="G1354">IF(TRIM(P1354)="","",IF(SUM(COUNTIF(P1354,{"*NLGD*","*FWG*"}))&gt;0,P1354,IF(SUM(COUNTIF(P1354,{"*GL*","*DGB*","*DGI*","*GT*","*CS*","*PWU*","*DBI*","*SWU*"}))=0,P1354,IF(IFERROR(VALUE(SUBSTITUTE(SUBSTITUTE(O1354,"W",""),"""","")),0)&gt;52,P1354&amp;"-OVRSIZE-",P1354))))</f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s="18" t="str">
        <v/>
      </c>
      <c r="O1354" s="15" t="str" cm="1">
        <f t="array" ref="O1354">IFERROR(_xlfn.LET(
_xlpm.clean,TRIM(SUBSTITUTE(SUBSTITUTE(P1354,CHAR(160),"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4" t="str">
        <f t="shared" si="22"/>
        <v/>
      </c>
    </row>
    <row r="1355" spans="3:19" ht="15.75" customHeight="1">
      <c r="C1355" s="15" t="str" cm="1">
        <f t="array" ref="C1355">IFERROR(_xlfn.TEXTJOIN("",TRUE,_xlfn._xlws.FILTER(MID(S1355,_xlfn.SEQUENCE(LEN(S1355)),1),ISNUMBER(SEARCH(MID(S1355,_xlfn.SEQUENCE(LEN(S1355)),1),"ABCDEFGHIJKLMNOPQRSTUVWXYZabcdefghijklmnopqrstuvwxyz0123456789,")))),"")</f>
        <v/>
      </c>
      <c r="G1355" s="20" t="str" cm="1">
        <f t="array" ref="G1355">IF(TRIM(P1355)="","",IF(SUM(COUNTIF(P1355,{"*NLGD*","*FWG*"}))&gt;0,P1355,IF(SUM(COUNTIF(P1355,{"*GL*","*DGB*","*DGI*","*GT*","*CS*","*PWU*","*DBI*","*SWU*"}))=0,P1355,IF(IFERROR(VALUE(SUBSTITUTE(SUBSTITUTE(O1355,"W",""),"""","")),0)&gt;52,P1355&amp;"-OVRSIZE-",P1355))))</f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s="18" t="str">
        <v/>
      </c>
      <c r="O1355" s="15" t="str" cm="1">
        <f t="array" ref="O1355">IFERROR(_xlfn.LET(
_xlpm.clean,TRIM(SUBSTITUTE(SUBSTITUTE(P1355,CHAR(160),"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5" t="str">
        <f t="shared" si="22"/>
        <v/>
      </c>
    </row>
    <row r="1356" spans="3:19" ht="15.75" customHeight="1">
      <c r="C1356" s="15" t="str" cm="1">
        <f t="array" ref="C1356">IFERROR(_xlfn.TEXTJOIN("",TRUE,_xlfn._xlws.FILTER(MID(S1356,_xlfn.SEQUENCE(LEN(S1356)),1),ISNUMBER(SEARCH(MID(S1356,_xlfn.SEQUENCE(LEN(S1356)),1),"ABCDEFGHIJKLMNOPQRSTUVWXYZabcdefghijklmnopqrstuvwxyz0123456789,")))),"")</f>
        <v/>
      </c>
      <c r="G1356" s="20" t="str" cm="1">
        <f t="array" ref="G1356">IF(TRIM(P1356)="","",IF(SUM(COUNTIF(P1356,{"*NLGD*","*FWG*"}))&gt;0,P1356,IF(SUM(COUNTIF(P1356,{"*GL*","*DGB*","*DGI*","*GT*","*CS*","*PWU*","*DBI*","*SWU*"}))=0,P1356,IF(IFERROR(VALUE(SUBSTITUTE(SUBSTITUTE(O1356,"W",""),"""","")),0)&gt;52,P1356&amp;"-OVRSIZE-",P1356))))</f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s="18" t="str">
        <v/>
      </c>
      <c r="O1356" s="15" t="str" cm="1">
        <f t="array" ref="O1356">IFERROR(_xlfn.LET(
_xlpm.clean,TRIM(SUBSTITUTE(SUBSTITUTE(P1356,CHAR(160),"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6" t="str">
        <f t="shared" si="22"/>
        <v/>
      </c>
    </row>
    <row r="1357" spans="3:19" ht="15.75" customHeight="1">
      <c r="C1357" s="15" t="str" cm="1">
        <f t="array" ref="C1357">IFERROR(_xlfn.TEXTJOIN("",TRUE,_xlfn._xlws.FILTER(MID(S1357,_xlfn.SEQUENCE(LEN(S1357)),1),ISNUMBER(SEARCH(MID(S1357,_xlfn.SEQUENCE(LEN(S1357)),1),"ABCDEFGHIJKLMNOPQRSTUVWXYZabcdefghijklmnopqrstuvwxyz0123456789,")))),"")</f>
        <v/>
      </c>
      <c r="G1357" s="20" t="str" cm="1">
        <f t="array" ref="G1357">IF(TRIM(P1357)="","",IF(SUM(COUNTIF(P1357,{"*NLGD*","*FWG*"}))&gt;0,P1357,IF(SUM(COUNTIF(P1357,{"*GL*","*DGB*","*DGI*","*GT*","*CS*","*PWU*","*DBI*","*SWU*"}))=0,P1357,IF(IFERROR(VALUE(SUBSTITUTE(SUBSTITUTE(O1357,"W",""),"""","")),0)&gt;52,P1357&amp;"-OVRSIZE-",P1357))))</f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s="18" t="str">
        <v/>
      </c>
      <c r="O1357" s="15" t="str" cm="1">
        <f t="array" ref="O1357">IFERROR(_xlfn.LET(
_xlpm.clean,TRIM(SUBSTITUTE(SUBSTITUTE(P1357,CHAR(160),"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7" t="str">
        <f t="shared" si="22"/>
        <v/>
      </c>
    </row>
    <row r="1358" spans="3:19" ht="15.75" customHeight="1">
      <c r="C1358" s="15" t="str" cm="1">
        <f t="array" ref="C1358">IFERROR(_xlfn.TEXTJOIN("",TRUE,_xlfn._xlws.FILTER(MID(S1358,_xlfn.SEQUENCE(LEN(S1358)),1),ISNUMBER(SEARCH(MID(S1358,_xlfn.SEQUENCE(LEN(S1358)),1),"ABCDEFGHIJKLMNOPQRSTUVWXYZabcdefghijklmnopqrstuvwxyz0123456789,")))),"")</f>
        <v/>
      </c>
      <c r="G1358" s="20" t="str" cm="1">
        <f t="array" ref="G1358">IF(TRIM(P1358)="","",IF(SUM(COUNTIF(P1358,{"*NLGD*","*FWG*"}))&gt;0,P1358,IF(SUM(COUNTIF(P1358,{"*GL*","*DGB*","*DGI*","*GT*","*CS*","*PWU*","*DBI*","*SWU*"}))=0,P1358,IF(IFERROR(VALUE(SUBSTITUTE(SUBSTITUTE(O1358,"W",""),"""","")),0)&gt;52,P1358&amp;"-OVRSIZE-",P1358))))</f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s="18" t="str">
        <v/>
      </c>
      <c r="O1358" s="15" t="str" cm="1">
        <f t="array" ref="O1358">IFERROR(_xlfn.LET(
_xlpm.clean,TRIM(SUBSTITUTE(SUBSTITUTE(P1358,CHAR(160),"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8" t="str">
        <f t="shared" si="22"/>
        <v/>
      </c>
    </row>
    <row r="1359" spans="3:19" ht="15.75" customHeight="1">
      <c r="C1359" s="15" t="str" cm="1">
        <f t="array" ref="C1359">IFERROR(_xlfn.TEXTJOIN("",TRUE,_xlfn._xlws.FILTER(MID(S1359,_xlfn.SEQUENCE(LEN(S1359)),1),ISNUMBER(SEARCH(MID(S1359,_xlfn.SEQUENCE(LEN(S1359)),1),"ABCDEFGHIJKLMNOPQRSTUVWXYZabcdefghijklmnopqrstuvwxyz0123456789,")))),"")</f>
        <v/>
      </c>
      <c r="G1359" s="20" t="str" cm="1">
        <f t="array" ref="G1359">IF(TRIM(P1359)="","",IF(SUM(COUNTIF(P1359,{"*NLGD*","*FWG*"}))&gt;0,P1359,IF(SUM(COUNTIF(P1359,{"*GL*","*DGB*","*DGI*","*GT*","*CS*","*PWU*","*DBI*","*SWU*"}))=0,P1359,IF(IFERROR(VALUE(SUBSTITUTE(SUBSTITUTE(O1359,"W",""),"""","")),0)&gt;52,P1359&amp;"-OVRSIZE-",P1359))))</f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s="18" t="str">
        <v/>
      </c>
      <c r="O1359" s="15" t="str" cm="1">
        <f t="array" ref="O1359">IFERROR(_xlfn.LET(
_xlpm.clean,TRIM(SUBSTITUTE(SUBSTITUTE(P1359,CHAR(160),"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9" t="str">
        <f t="shared" si="22"/>
        <v/>
      </c>
    </row>
    <row r="1360" spans="3:19" ht="15.75" customHeight="1">
      <c r="C1360" s="15" t="str" cm="1">
        <f t="array" ref="C1360">IFERROR(_xlfn.TEXTJOIN("",TRUE,_xlfn._xlws.FILTER(MID(S1360,_xlfn.SEQUENCE(LEN(S1360)),1),ISNUMBER(SEARCH(MID(S1360,_xlfn.SEQUENCE(LEN(S1360)),1),"ABCDEFGHIJKLMNOPQRSTUVWXYZabcdefghijklmnopqrstuvwxyz0123456789,")))),"")</f>
        <v/>
      </c>
      <c r="G1360" s="20" t="str" cm="1">
        <f t="array" ref="G1360">IF(TRIM(P1360)="","",IF(SUM(COUNTIF(P1360,{"*NLGD*","*FWG*"}))&gt;0,P1360,IF(SUM(COUNTIF(P1360,{"*GL*","*DGB*","*DGI*","*GT*","*CS*","*PWU*","*DBI*","*SWU*"}))=0,P1360,IF(IFERROR(VALUE(SUBSTITUTE(SUBSTITUTE(O1360,"W",""),"""","")),0)&gt;52,P1360&amp;"-OVRSIZE-",P1360))))</f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s="18" t="str">
        <v/>
      </c>
      <c r="O1360" s="15" t="str" cm="1">
        <f t="array" ref="O1360">IFERROR(_xlfn.LET(
_xlpm.clean,TRIM(SUBSTITUTE(SUBSTITUTE(P1360,CHAR(160),"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0" t="str">
        <f t="shared" si="22"/>
        <v/>
      </c>
    </row>
    <row r="1361" spans="3:19" ht="15.75" customHeight="1">
      <c r="C1361" s="15" t="str" cm="1">
        <f t="array" ref="C1361">IFERROR(_xlfn.TEXTJOIN("",TRUE,_xlfn._xlws.FILTER(MID(S1361,_xlfn.SEQUENCE(LEN(S1361)),1),ISNUMBER(SEARCH(MID(S1361,_xlfn.SEQUENCE(LEN(S1361)),1),"ABCDEFGHIJKLMNOPQRSTUVWXYZabcdefghijklmnopqrstuvwxyz0123456789,")))),"")</f>
        <v/>
      </c>
      <c r="G1361" s="20" t="str" cm="1">
        <f t="array" ref="G1361">IF(TRIM(P1361)="","",IF(SUM(COUNTIF(P1361,{"*NLGD*","*FWG*"}))&gt;0,P1361,IF(SUM(COUNTIF(P1361,{"*GL*","*DGB*","*DGI*","*GT*","*CS*","*PWU*","*DBI*","*SWU*"}))=0,P1361,IF(IFERROR(VALUE(SUBSTITUTE(SUBSTITUTE(O1361,"W",""),"""","")),0)&gt;52,P1361&amp;"-OVRSIZE-",P1361))))</f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s="18" t="str">
        <v/>
      </c>
      <c r="O1361" s="15" t="str" cm="1">
        <f t="array" ref="O1361">IFERROR(_xlfn.LET(
_xlpm.clean,TRIM(SUBSTITUTE(SUBSTITUTE(P1361,CHAR(160),"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1" t="str">
        <f t="shared" si="22"/>
        <v/>
      </c>
    </row>
    <row r="1362" spans="3:19" ht="15.75" customHeight="1">
      <c r="C1362" s="15" t="str" cm="1">
        <f t="array" ref="C1362">IFERROR(_xlfn.TEXTJOIN("",TRUE,_xlfn._xlws.FILTER(MID(S1362,_xlfn.SEQUENCE(LEN(S1362)),1),ISNUMBER(SEARCH(MID(S1362,_xlfn.SEQUENCE(LEN(S1362)),1),"ABCDEFGHIJKLMNOPQRSTUVWXYZabcdefghijklmnopqrstuvwxyz0123456789,")))),"")</f>
        <v/>
      </c>
      <c r="G1362" s="20" t="str" cm="1">
        <f t="array" ref="G1362">IF(TRIM(P1362)="","",IF(SUM(COUNTIF(P1362,{"*NLGD*","*FWG*"}))&gt;0,P1362,IF(SUM(COUNTIF(P1362,{"*GL*","*DGB*","*DGI*","*GT*","*CS*","*PWU*","*DBI*","*SWU*"}))=0,P1362,IF(IFERROR(VALUE(SUBSTITUTE(SUBSTITUTE(O1362,"W",""),"""","")),0)&gt;52,P1362&amp;"-OVRSIZE-",P1362))))</f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s="18" t="str">
        <v/>
      </c>
      <c r="O1362" s="15" t="str" cm="1">
        <f t="array" ref="O1362">IFERROR(_xlfn.LET(
_xlpm.clean,TRIM(SUBSTITUTE(SUBSTITUTE(P1362,CHAR(160),"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2" t="str">
        <f t="shared" si="22"/>
        <v/>
      </c>
    </row>
    <row r="1363" spans="3:19" ht="15.75" customHeight="1">
      <c r="C1363" s="15" t="str" cm="1">
        <f t="array" ref="C1363">IFERROR(_xlfn.TEXTJOIN("",TRUE,_xlfn._xlws.FILTER(MID(S1363,_xlfn.SEQUENCE(LEN(S1363)),1),ISNUMBER(SEARCH(MID(S1363,_xlfn.SEQUENCE(LEN(S1363)),1),"ABCDEFGHIJKLMNOPQRSTUVWXYZabcdefghijklmnopqrstuvwxyz0123456789,")))),"")</f>
        <v/>
      </c>
      <c r="G1363" s="20" t="str" cm="1">
        <f t="array" ref="G1363">IF(TRIM(P1363)="","",IF(SUM(COUNTIF(P1363,{"*NLGD*","*FWG*"}))&gt;0,P1363,IF(SUM(COUNTIF(P1363,{"*GL*","*DGB*","*DGI*","*GT*","*CS*","*PWU*","*DBI*","*SWU*"}))=0,P1363,IF(IFERROR(VALUE(SUBSTITUTE(SUBSTITUTE(O1363,"W",""),"""","")),0)&gt;52,P1363&amp;"-OVRSIZE-",P1363))))</f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s="18" t="str">
        <v/>
      </c>
      <c r="O1363" s="15" t="str" cm="1">
        <f t="array" ref="O1363">IFERROR(_xlfn.LET(
_xlpm.clean,TRIM(SUBSTITUTE(SUBSTITUTE(P1363,CHAR(160),"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3" t="str">
        <f t="shared" si="22"/>
        <v/>
      </c>
    </row>
    <row r="1364" spans="3:19" ht="15.75" customHeight="1">
      <c r="C1364" s="15" t="str" cm="1">
        <f t="array" ref="C1364">IFERROR(_xlfn.TEXTJOIN("",TRUE,_xlfn._xlws.FILTER(MID(S1364,_xlfn.SEQUENCE(LEN(S1364)),1),ISNUMBER(SEARCH(MID(S1364,_xlfn.SEQUENCE(LEN(S1364)),1),"ABCDEFGHIJKLMNOPQRSTUVWXYZabcdefghijklmnopqrstuvwxyz0123456789,")))),"")</f>
        <v/>
      </c>
      <c r="G1364" s="20" t="str" cm="1">
        <f t="array" ref="G1364">IF(TRIM(P1364)="","",IF(SUM(COUNTIF(P1364,{"*NLGD*","*FWG*"}))&gt;0,P1364,IF(SUM(COUNTIF(P1364,{"*GL*","*DGB*","*DGI*","*GT*","*CS*","*PWU*","*DBI*","*SWU*"}))=0,P1364,IF(IFERROR(VALUE(SUBSTITUTE(SUBSTITUTE(O1364,"W",""),"""","")),0)&gt;52,P1364&amp;"-OVRSIZE-",P1364))))</f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s="18" t="str">
        <v/>
      </c>
      <c r="O1364" s="15" t="str" cm="1">
        <f t="array" ref="O1364">IFERROR(_xlfn.LET(
_xlpm.clean,TRIM(SUBSTITUTE(SUBSTITUTE(P1364,CHAR(160),"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4" t="str">
        <f t="shared" si="22"/>
        <v/>
      </c>
    </row>
    <row r="1365" spans="3:19" ht="15.75" customHeight="1">
      <c r="C1365" s="15" t="str" cm="1">
        <f t="array" ref="C1365">IFERROR(_xlfn.TEXTJOIN("",TRUE,_xlfn._xlws.FILTER(MID(S1365,_xlfn.SEQUENCE(LEN(S1365)),1),ISNUMBER(SEARCH(MID(S1365,_xlfn.SEQUENCE(LEN(S1365)),1),"ABCDEFGHIJKLMNOPQRSTUVWXYZabcdefghijklmnopqrstuvwxyz0123456789,")))),"")</f>
        <v/>
      </c>
      <c r="G1365" s="20" t="str" cm="1">
        <f t="array" ref="G1365">IF(TRIM(P1365)="","",IF(SUM(COUNTIF(P1365,{"*NLGD*","*FWG*"}))&gt;0,P1365,IF(SUM(COUNTIF(P1365,{"*GL*","*DGB*","*DGI*","*GT*","*CS*","*PWU*","*DBI*","*SWU*"}))=0,P1365,IF(IFERROR(VALUE(SUBSTITUTE(SUBSTITUTE(O1365,"W",""),"""","")),0)&gt;52,P1365&amp;"-OVRSIZE-",P1365))))</f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s="18" t="str">
        <v/>
      </c>
      <c r="O1365" s="15" t="str" cm="1">
        <f t="array" ref="O1365">IFERROR(_xlfn.LET(
_xlpm.clean,TRIM(SUBSTITUTE(SUBSTITUTE(P1365,CHAR(160),"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5" t="str">
        <f t="shared" si="22"/>
        <v/>
      </c>
    </row>
    <row r="1366" spans="3:19" ht="15.75" customHeight="1">
      <c r="C1366" s="15" t="str" cm="1">
        <f t="array" ref="C1366">IFERROR(_xlfn.TEXTJOIN("",TRUE,_xlfn._xlws.FILTER(MID(S1366,_xlfn.SEQUENCE(LEN(S1366)),1),ISNUMBER(SEARCH(MID(S1366,_xlfn.SEQUENCE(LEN(S1366)),1),"ABCDEFGHIJKLMNOPQRSTUVWXYZabcdefghijklmnopqrstuvwxyz0123456789,")))),"")</f>
        <v/>
      </c>
      <c r="G1366" s="20" t="str" cm="1">
        <f t="array" ref="G1366">IF(TRIM(P1366)="","",IF(SUM(COUNTIF(P1366,{"*NLGD*","*FWG*"}))&gt;0,P1366,IF(SUM(COUNTIF(P1366,{"*GL*","*DGB*","*DGI*","*GT*","*CS*","*PWU*","*DBI*","*SWU*"}))=0,P1366,IF(IFERROR(VALUE(SUBSTITUTE(SUBSTITUTE(O1366,"W",""),"""","")),0)&gt;52,P1366&amp;"-OVRSIZE-",P1366))))</f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s="18" t="str">
        <v/>
      </c>
      <c r="O1366" s="15" t="str" cm="1">
        <f t="array" ref="O1366">IFERROR(_xlfn.LET(
_xlpm.clean,TRIM(SUBSTITUTE(SUBSTITUTE(P1366,CHAR(160),"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6" t="str">
        <f t="shared" si="22"/>
        <v/>
      </c>
    </row>
    <row r="1367" spans="3:19" ht="15.75" customHeight="1">
      <c r="C1367" s="15" t="str" cm="1">
        <f t="array" ref="C1367">IFERROR(_xlfn.TEXTJOIN("",TRUE,_xlfn._xlws.FILTER(MID(S1367,_xlfn.SEQUENCE(LEN(S1367)),1),ISNUMBER(SEARCH(MID(S1367,_xlfn.SEQUENCE(LEN(S1367)),1),"ABCDEFGHIJKLMNOPQRSTUVWXYZabcdefghijklmnopqrstuvwxyz0123456789,")))),"")</f>
        <v/>
      </c>
      <c r="G1367" s="20" t="str" cm="1">
        <f t="array" ref="G1367">IF(TRIM(P1367)="","",IF(SUM(COUNTIF(P1367,{"*NLGD*","*FWG*"}))&gt;0,P1367,IF(SUM(COUNTIF(P1367,{"*GL*","*DGB*","*DGI*","*GT*","*CS*","*PWU*","*DBI*","*SWU*"}))=0,P1367,IF(IFERROR(VALUE(SUBSTITUTE(SUBSTITUTE(O1367,"W",""),"""","")),0)&gt;52,P1367&amp;"-OVRSIZE-",P1367))))</f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s="18" t="str">
        <v/>
      </c>
      <c r="O1367" s="15" t="str" cm="1">
        <f t="array" ref="O1367">IFERROR(_xlfn.LET(
_xlpm.clean,TRIM(SUBSTITUTE(SUBSTITUTE(P1367,CHAR(160),"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7" t="str">
        <f t="shared" si="22"/>
        <v/>
      </c>
    </row>
    <row r="1368" spans="3:19" ht="15.75" customHeight="1">
      <c r="C1368" s="15" t="str" cm="1">
        <f t="array" ref="C1368">IFERROR(_xlfn.TEXTJOIN("",TRUE,_xlfn._xlws.FILTER(MID(S1368,_xlfn.SEQUENCE(LEN(S1368)),1),ISNUMBER(SEARCH(MID(S1368,_xlfn.SEQUENCE(LEN(S1368)),1),"ABCDEFGHIJKLMNOPQRSTUVWXYZabcdefghijklmnopqrstuvwxyz0123456789,")))),"")</f>
        <v/>
      </c>
      <c r="G1368" s="20" t="str" cm="1">
        <f t="array" ref="G1368">IF(TRIM(P1368)="","",IF(SUM(COUNTIF(P1368,{"*NLGD*","*FWG*"}))&gt;0,P1368,IF(SUM(COUNTIF(P1368,{"*GL*","*DGB*","*DGI*","*GT*","*CS*","*PWU*","*DBI*","*SWU*"}))=0,P1368,IF(IFERROR(VALUE(SUBSTITUTE(SUBSTITUTE(O1368,"W",""),"""","")),0)&gt;52,P1368&amp;"-OVRSIZE-",P1368))))</f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s="18" t="str">
        <v/>
      </c>
      <c r="O1368" s="15" t="str" cm="1">
        <f t="array" ref="O1368">IFERROR(_xlfn.LET(
_xlpm.clean,TRIM(SUBSTITUTE(SUBSTITUTE(P1368,CHAR(160),"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8" t="str">
        <f t="shared" si="22"/>
        <v/>
      </c>
    </row>
    <row r="1369" spans="3:19" ht="15.75" customHeight="1">
      <c r="C1369" s="15" t="str" cm="1">
        <f t="array" ref="C1369">IFERROR(_xlfn.TEXTJOIN("",TRUE,_xlfn._xlws.FILTER(MID(S1369,_xlfn.SEQUENCE(LEN(S1369)),1),ISNUMBER(SEARCH(MID(S1369,_xlfn.SEQUENCE(LEN(S1369)),1),"ABCDEFGHIJKLMNOPQRSTUVWXYZabcdefghijklmnopqrstuvwxyz0123456789,")))),"")</f>
        <v/>
      </c>
      <c r="G1369" s="20" t="str" cm="1">
        <f t="array" ref="G1369">IF(TRIM(P1369)="","",IF(SUM(COUNTIF(P1369,{"*NLGD*","*FWG*"}))&gt;0,P1369,IF(SUM(COUNTIF(P1369,{"*GL*","*DGB*","*DGI*","*GT*","*CS*","*PWU*","*DBI*","*SWU*"}))=0,P1369,IF(IFERROR(VALUE(SUBSTITUTE(SUBSTITUTE(O1369,"W",""),"""","")),0)&gt;52,P1369&amp;"-OVRSIZE-",P1369))))</f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s="18" t="str">
        <v/>
      </c>
      <c r="O1369" s="15" t="str" cm="1">
        <f t="array" ref="O1369">IFERROR(_xlfn.LET(
_xlpm.clean,TRIM(SUBSTITUTE(SUBSTITUTE(P1369,CHAR(160),"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9" t="str">
        <f t="shared" si="22"/>
        <v/>
      </c>
    </row>
    <row r="1370" spans="3:19" ht="15.75" customHeight="1">
      <c r="C1370" s="15" t="str" cm="1">
        <f t="array" ref="C1370">IFERROR(_xlfn.TEXTJOIN("",TRUE,_xlfn._xlws.FILTER(MID(S1370,_xlfn.SEQUENCE(LEN(S1370)),1),ISNUMBER(SEARCH(MID(S1370,_xlfn.SEQUENCE(LEN(S1370)),1),"ABCDEFGHIJKLMNOPQRSTUVWXYZabcdefghijklmnopqrstuvwxyz0123456789,")))),"")</f>
        <v/>
      </c>
      <c r="G1370" s="20" t="str" cm="1">
        <f t="array" ref="G1370">IF(TRIM(P1370)="","",IF(SUM(COUNTIF(P1370,{"*NLGD*","*FWG*"}))&gt;0,P1370,IF(SUM(COUNTIF(P1370,{"*GL*","*DGB*","*DGI*","*GT*","*CS*","*PWU*","*DBI*","*SWU*"}))=0,P1370,IF(IFERROR(VALUE(SUBSTITUTE(SUBSTITUTE(O1370,"W",""),"""","")),0)&gt;52,P1370&amp;"-OVRSIZE-",P1370))))</f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s="18" t="str">
        <v/>
      </c>
      <c r="O1370" s="15" t="str" cm="1">
        <f t="array" ref="O1370">IFERROR(_xlfn.LET(
_xlpm.clean,TRIM(SUBSTITUTE(SUBSTITUTE(P1370,CHAR(160),"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0" t="str">
        <f t="shared" si="22"/>
        <v/>
      </c>
    </row>
    <row r="1371" spans="3:19" ht="15.75" customHeight="1">
      <c r="C1371" s="15" t="str" cm="1">
        <f t="array" ref="C1371">IFERROR(_xlfn.TEXTJOIN("",TRUE,_xlfn._xlws.FILTER(MID(S1371,_xlfn.SEQUENCE(LEN(S1371)),1),ISNUMBER(SEARCH(MID(S1371,_xlfn.SEQUENCE(LEN(S1371)),1),"ABCDEFGHIJKLMNOPQRSTUVWXYZabcdefghijklmnopqrstuvwxyz0123456789,")))),"")</f>
        <v/>
      </c>
      <c r="G1371" s="20" t="str" cm="1">
        <f t="array" ref="G1371">IF(TRIM(P1371)="","",IF(SUM(COUNTIF(P1371,{"*NLGD*","*FWG*"}))&gt;0,P1371,IF(SUM(COUNTIF(P1371,{"*GL*","*DGB*","*DGI*","*GT*","*CS*","*PWU*","*DBI*","*SWU*"}))=0,P1371,IF(IFERROR(VALUE(SUBSTITUTE(SUBSTITUTE(O1371,"W",""),"""","")),0)&gt;52,P1371&amp;"-OVRSIZE-",P1371))))</f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s="18" t="str">
        <v/>
      </c>
      <c r="O1371" s="15" t="str" cm="1">
        <f t="array" ref="O1371">IFERROR(_xlfn.LET(
_xlpm.clean,TRIM(SUBSTITUTE(SUBSTITUTE(P1371,CHAR(160),"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1" t="str">
        <f t="shared" si="22"/>
        <v/>
      </c>
    </row>
    <row r="1372" spans="3:19" ht="15.75" customHeight="1">
      <c r="C1372" s="15" t="str" cm="1">
        <f t="array" ref="C1372">IFERROR(_xlfn.TEXTJOIN("",TRUE,_xlfn._xlws.FILTER(MID(S1372,_xlfn.SEQUENCE(LEN(S1372)),1),ISNUMBER(SEARCH(MID(S1372,_xlfn.SEQUENCE(LEN(S1372)),1),"ABCDEFGHIJKLMNOPQRSTUVWXYZabcdefghijklmnopqrstuvwxyz0123456789,")))),"")</f>
        <v/>
      </c>
      <c r="G1372" s="20" t="str" cm="1">
        <f t="array" ref="G1372">IF(TRIM(P1372)="","",IF(SUM(COUNTIF(P1372,{"*NLGD*","*FWG*"}))&gt;0,P1372,IF(SUM(COUNTIF(P1372,{"*GL*","*DGB*","*DGI*","*GT*","*CS*","*PWU*","*DBI*","*SWU*"}))=0,P1372,IF(IFERROR(VALUE(SUBSTITUTE(SUBSTITUTE(O1372,"W",""),"""","")),0)&gt;52,P1372&amp;"-OVRSIZE-",P1372))))</f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s="18" t="str">
        <v/>
      </c>
      <c r="O1372" s="15" t="str" cm="1">
        <f t="array" ref="O1372">IFERROR(_xlfn.LET(
_xlpm.clean,TRIM(SUBSTITUTE(SUBSTITUTE(P1372,CHAR(160),"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2" t="str">
        <f t="shared" si="22"/>
        <v/>
      </c>
    </row>
    <row r="1373" spans="3:19" ht="15.75" customHeight="1">
      <c r="C1373" s="15" t="str" cm="1">
        <f t="array" ref="C1373">IFERROR(_xlfn.TEXTJOIN("",TRUE,_xlfn._xlws.FILTER(MID(S1373,_xlfn.SEQUENCE(LEN(S1373)),1),ISNUMBER(SEARCH(MID(S1373,_xlfn.SEQUENCE(LEN(S1373)),1),"ABCDEFGHIJKLMNOPQRSTUVWXYZabcdefghijklmnopqrstuvwxyz0123456789,")))),"")</f>
        <v/>
      </c>
      <c r="G1373" s="20" t="str" cm="1">
        <f t="array" ref="G1373">IF(TRIM(P1373)="","",IF(SUM(COUNTIF(P1373,{"*NLGD*","*FWG*"}))&gt;0,P1373,IF(SUM(COUNTIF(P1373,{"*GL*","*DGB*","*DGI*","*GT*","*CS*","*PWU*","*DBI*","*SWU*"}))=0,P1373,IF(IFERROR(VALUE(SUBSTITUTE(SUBSTITUTE(O1373,"W",""),"""","")),0)&gt;52,P1373&amp;"-OVRSIZE-",P1373))))</f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s="18" t="str">
        <v/>
      </c>
      <c r="O1373" s="15" t="str" cm="1">
        <f t="array" ref="O1373">IFERROR(_xlfn.LET(
_xlpm.clean,TRIM(SUBSTITUTE(SUBSTITUTE(P1373,CHAR(160),"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3" t="str">
        <f t="shared" si="22"/>
        <v/>
      </c>
    </row>
    <row r="1374" spans="3:19" ht="15.75" customHeight="1">
      <c r="C1374" s="15" t="str" cm="1">
        <f t="array" ref="C1374">IFERROR(_xlfn.TEXTJOIN("",TRUE,_xlfn._xlws.FILTER(MID(S1374,_xlfn.SEQUENCE(LEN(S1374)),1),ISNUMBER(SEARCH(MID(S1374,_xlfn.SEQUENCE(LEN(S1374)),1),"ABCDEFGHIJKLMNOPQRSTUVWXYZabcdefghijklmnopqrstuvwxyz0123456789,")))),"")</f>
        <v/>
      </c>
      <c r="G1374" s="20" t="str" cm="1">
        <f t="array" ref="G1374">IF(TRIM(P1374)="","",IF(SUM(COUNTIF(P1374,{"*NLGD*","*FWG*"}))&gt;0,P1374,IF(SUM(COUNTIF(P1374,{"*GL*","*DGB*","*DGI*","*GT*","*CS*","*PWU*","*DBI*","*SWU*"}))=0,P1374,IF(IFERROR(VALUE(SUBSTITUTE(SUBSTITUTE(O1374,"W",""),"""","")),0)&gt;52,P1374&amp;"-OVRSIZE-",P1374))))</f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s="18" t="str">
        <v/>
      </c>
      <c r="O1374" s="15" t="str" cm="1">
        <f t="array" ref="O1374">IFERROR(_xlfn.LET(
_xlpm.clean,TRIM(SUBSTITUTE(SUBSTITUTE(P1374,CHAR(160),"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4" t="str">
        <f t="shared" si="22"/>
        <v/>
      </c>
    </row>
    <row r="1375" spans="3:19" ht="15.75" customHeight="1">
      <c r="C1375" s="15" t="str" cm="1">
        <f t="array" ref="C1375">IFERROR(_xlfn.TEXTJOIN("",TRUE,_xlfn._xlws.FILTER(MID(S1375,_xlfn.SEQUENCE(LEN(S1375)),1),ISNUMBER(SEARCH(MID(S1375,_xlfn.SEQUENCE(LEN(S1375)),1),"ABCDEFGHIJKLMNOPQRSTUVWXYZabcdefghijklmnopqrstuvwxyz0123456789,")))),"")</f>
        <v/>
      </c>
      <c r="G1375" s="20" t="str" cm="1">
        <f t="array" ref="G1375">IF(TRIM(P1375)="","",IF(SUM(COUNTIF(P1375,{"*NLGD*","*FWG*"}))&gt;0,P1375,IF(SUM(COUNTIF(P1375,{"*GL*","*DGB*","*DGI*","*GT*","*CS*","*PWU*","*DBI*","*SWU*"}))=0,P1375,IF(IFERROR(VALUE(SUBSTITUTE(SUBSTITUTE(O1375,"W",""),"""","")),0)&gt;52,P1375&amp;"-OVRSIZE-",P1375))))</f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s="18" t="str">
        <v/>
      </c>
      <c r="O1375" s="15" t="str" cm="1">
        <f t="array" ref="O1375">IFERROR(_xlfn.LET(
_xlpm.clean,TRIM(SUBSTITUTE(SUBSTITUTE(P1375,CHAR(160),"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5" t="str">
        <f t="shared" si="22"/>
        <v/>
      </c>
    </row>
    <row r="1376" spans="3:19" ht="15.75" customHeight="1">
      <c r="C1376" s="15" t="str" cm="1">
        <f t="array" ref="C1376">IFERROR(_xlfn.TEXTJOIN("",TRUE,_xlfn._xlws.FILTER(MID(S1376,_xlfn.SEQUENCE(LEN(S1376)),1),ISNUMBER(SEARCH(MID(S1376,_xlfn.SEQUENCE(LEN(S1376)),1),"ABCDEFGHIJKLMNOPQRSTUVWXYZabcdefghijklmnopqrstuvwxyz0123456789,")))),"")</f>
        <v/>
      </c>
      <c r="G1376" s="20" t="str" cm="1">
        <f t="array" ref="G1376">IF(TRIM(P1376)="","",IF(SUM(COUNTIF(P1376,{"*NLGD*","*FWG*"}))&gt;0,P1376,IF(SUM(COUNTIF(P1376,{"*GL*","*DGB*","*DGI*","*GT*","*CS*","*PWU*","*DBI*","*SWU*"}))=0,P1376,IF(IFERROR(VALUE(SUBSTITUTE(SUBSTITUTE(O1376,"W",""),"""","")),0)&gt;52,P1376&amp;"-OVRSIZE-",P1376))))</f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s="18" t="str">
        <v/>
      </c>
      <c r="O1376" s="15" t="str" cm="1">
        <f t="array" ref="O1376">IFERROR(_xlfn.LET(
_xlpm.clean,TRIM(SUBSTITUTE(SUBSTITUTE(P1376,CHAR(160),"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6" t="str">
        <f t="shared" si="22"/>
        <v/>
      </c>
    </row>
    <row r="1377" spans="3:19" ht="15.75" customHeight="1">
      <c r="C1377" s="15" t="str" cm="1">
        <f t="array" ref="C1377">IFERROR(_xlfn.TEXTJOIN("",TRUE,_xlfn._xlws.FILTER(MID(S1377,_xlfn.SEQUENCE(LEN(S1377)),1),ISNUMBER(SEARCH(MID(S1377,_xlfn.SEQUENCE(LEN(S1377)),1),"ABCDEFGHIJKLMNOPQRSTUVWXYZabcdefghijklmnopqrstuvwxyz0123456789,")))),"")</f>
        <v/>
      </c>
      <c r="G1377" s="20" t="str" cm="1">
        <f t="array" ref="G1377">IF(TRIM(P1377)="","",IF(SUM(COUNTIF(P1377,{"*NLGD*","*FWG*"}))&gt;0,P1377,IF(SUM(COUNTIF(P1377,{"*GL*","*DGB*","*DGI*","*GT*","*CS*","*PWU*","*DBI*","*SWU*"}))=0,P1377,IF(IFERROR(VALUE(SUBSTITUTE(SUBSTITUTE(O1377,"W",""),"""","")),0)&gt;52,P1377&amp;"-OVRSIZE-",P1377))))</f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s="18" t="str">
        <v/>
      </c>
      <c r="O1377" s="15" t="str" cm="1">
        <f t="array" ref="O1377">IFERROR(_xlfn.LET(
_xlpm.clean,TRIM(SUBSTITUTE(SUBSTITUTE(P1377,CHAR(160),"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7" t="str">
        <f t="shared" si="22"/>
        <v/>
      </c>
    </row>
    <row r="1378" spans="3:19" ht="15.75" customHeight="1">
      <c r="C1378" s="15" t="str" cm="1">
        <f t="array" ref="C1378">IFERROR(_xlfn.TEXTJOIN("",TRUE,_xlfn._xlws.FILTER(MID(S1378,_xlfn.SEQUENCE(LEN(S1378)),1),ISNUMBER(SEARCH(MID(S1378,_xlfn.SEQUENCE(LEN(S1378)),1),"ABCDEFGHIJKLMNOPQRSTUVWXYZabcdefghijklmnopqrstuvwxyz0123456789,")))),"")</f>
        <v/>
      </c>
      <c r="G1378" s="20" t="str" cm="1">
        <f t="array" ref="G1378">IF(TRIM(P1378)="","",IF(SUM(COUNTIF(P1378,{"*NLGD*","*FWG*"}))&gt;0,P1378,IF(SUM(COUNTIF(P1378,{"*GL*","*DGB*","*DGI*","*GT*","*CS*","*PWU*","*DBI*","*SWU*"}))=0,P1378,IF(IFERROR(VALUE(SUBSTITUTE(SUBSTITUTE(O1378,"W",""),"""","")),0)&gt;52,P1378&amp;"-OVRSIZE-",P1378))))</f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s="18" t="str">
        <v/>
      </c>
      <c r="O1378" s="15" t="str" cm="1">
        <f t="array" ref="O1378">IFERROR(_xlfn.LET(
_xlpm.clean,TRIM(SUBSTITUTE(SUBSTITUTE(P1378,CHAR(160),"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8" t="str">
        <f t="shared" si="22"/>
        <v/>
      </c>
    </row>
    <row r="1379" spans="3:19" ht="15.75" customHeight="1">
      <c r="C1379" s="15" t="str" cm="1">
        <f t="array" ref="C1379">IFERROR(_xlfn.TEXTJOIN("",TRUE,_xlfn._xlws.FILTER(MID(S1379,_xlfn.SEQUENCE(LEN(S1379)),1),ISNUMBER(SEARCH(MID(S1379,_xlfn.SEQUENCE(LEN(S1379)),1),"ABCDEFGHIJKLMNOPQRSTUVWXYZabcdefghijklmnopqrstuvwxyz0123456789,")))),"")</f>
        <v/>
      </c>
      <c r="G1379" s="20" t="str" cm="1">
        <f t="array" ref="G1379">IF(TRIM(P1379)="","",IF(SUM(COUNTIF(P1379,{"*NLGD*","*FWG*"}))&gt;0,P1379,IF(SUM(COUNTIF(P1379,{"*GL*","*DGB*","*DGI*","*GT*","*CS*","*PWU*","*DBI*","*SWU*"}))=0,P1379,IF(IFERROR(VALUE(SUBSTITUTE(SUBSTITUTE(O1379,"W",""),"""","")),0)&gt;52,P1379&amp;"-OVRSIZE-",P1379))))</f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s="18" t="str">
        <v/>
      </c>
      <c r="O1379" s="15" t="str" cm="1">
        <f t="array" ref="O1379">IFERROR(_xlfn.LET(
_xlpm.clean,TRIM(SUBSTITUTE(SUBSTITUTE(P1379,CHAR(160),"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9" t="str">
        <f t="shared" si="22"/>
        <v/>
      </c>
    </row>
    <row r="1380" spans="3:19" ht="15.75" customHeight="1">
      <c r="C1380" s="15" t="str" cm="1">
        <f t="array" ref="C1380">IFERROR(_xlfn.TEXTJOIN("",TRUE,_xlfn._xlws.FILTER(MID(S1380,_xlfn.SEQUENCE(LEN(S1380)),1),ISNUMBER(SEARCH(MID(S1380,_xlfn.SEQUENCE(LEN(S1380)),1),"ABCDEFGHIJKLMNOPQRSTUVWXYZabcdefghijklmnopqrstuvwxyz0123456789,")))),"")</f>
        <v/>
      </c>
      <c r="G1380" s="20" t="str" cm="1">
        <f t="array" ref="G1380">IF(TRIM(P1380)="","",IF(SUM(COUNTIF(P1380,{"*NLGD*","*FWG*"}))&gt;0,P1380,IF(SUM(COUNTIF(P1380,{"*GL*","*DGB*","*DGI*","*GT*","*CS*","*PWU*","*DBI*","*SWU*"}))=0,P1380,IF(IFERROR(VALUE(SUBSTITUTE(SUBSTITUTE(O1380,"W",""),"""","")),0)&gt;52,P1380&amp;"-OVRSIZE-",P1380))))</f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s="18" t="str">
        <v/>
      </c>
      <c r="O1380" s="15" t="str" cm="1">
        <f t="array" ref="O1380">IFERROR(_xlfn.LET(
_xlpm.clean,TRIM(SUBSTITUTE(SUBSTITUTE(P1380,CHAR(160),"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0" t="str">
        <f t="shared" si="22"/>
        <v/>
      </c>
    </row>
    <row r="1381" spans="3:19" ht="15.75" customHeight="1">
      <c r="C1381" s="15" t="str" cm="1">
        <f t="array" ref="C1381">IFERROR(_xlfn.TEXTJOIN("",TRUE,_xlfn._xlws.FILTER(MID(S1381,_xlfn.SEQUENCE(LEN(S1381)),1),ISNUMBER(SEARCH(MID(S1381,_xlfn.SEQUENCE(LEN(S1381)),1),"ABCDEFGHIJKLMNOPQRSTUVWXYZabcdefghijklmnopqrstuvwxyz0123456789,")))),"")</f>
        <v/>
      </c>
      <c r="G1381" s="20" t="str" cm="1">
        <f t="array" ref="G1381">IF(TRIM(P1381)="","",IF(SUM(COUNTIF(P1381,{"*NLGD*","*FWG*"}))&gt;0,P1381,IF(SUM(COUNTIF(P1381,{"*GL*","*DGB*","*DGI*","*GT*","*CS*","*PWU*","*DBI*","*SWU*"}))=0,P1381,IF(IFERROR(VALUE(SUBSTITUTE(SUBSTITUTE(O1381,"W",""),"""","")),0)&gt;52,P1381&amp;"-OVRSIZE-",P1381))))</f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s="18" t="str">
        <v/>
      </c>
      <c r="O1381" s="15" t="str" cm="1">
        <f t="array" ref="O1381">IFERROR(_xlfn.LET(
_xlpm.clean,TRIM(SUBSTITUTE(SUBSTITUTE(P1381,CHAR(160),"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1" t="str">
        <f t="shared" si="22"/>
        <v/>
      </c>
    </row>
    <row r="1382" spans="3:19" ht="15.75" customHeight="1">
      <c r="C1382" s="15" t="str" cm="1">
        <f t="array" ref="C1382">IFERROR(_xlfn.TEXTJOIN("",TRUE,_xlfn._xlws.FILTER(MID(S1382,_xlfn.SEQUENCE(LEN(S1382)),1),ISNUMBER(SEARCH(MID(S1382,_xlfn.SEQUENCE(LEN(S1382)),1),"ABCDEFGHIJKLMNOPQRSTUVWXYZabcdefghijklmnopqrstuvwxyz0123456789,")))),"")</f>
        <v/>
      </c>
      <c r="G1382" s="20" t="str" cm="1">
        <f t="array" ref="G1382">IF(TRIM(P1382)="","",IF(SUM(COUNTIF(P1382,{"*NLGD*","*FWG*"}))&gt;0,P1382,IF(SUM(COUNTIF(P1382,{"*GL*","*DGB*","*DGI*","*GT*","*CS*","*PWU*","*DBI*","*SWU*"}))=0,P1382,IF(IFERROR(VALUE(SUBSTITUTE(SUBSTITUTE(O1382,"W",""),"""","")),0)&gt;52,P1382&amp;"-OVRSIZE-",P1382))))</f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s="18" t="str">
        <v/>
      </c>
      <c r="O1382" s="15" t="str" cm="1">
        <f t="array" ref="O1382">IFERROR(_xlfn.LET(
_xlpm.clean,TRIM(SUBSTITUTE(SUBSTITUTE(P1382,CHAR(160),"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2" t="str">
        <f t="shared" si="22"/>
        <v/>
      </c>
    </row>
    <row r="1383" spans="3:19" ht="15.75" customHeight="1">
      <c r="C1383" s="15" t="str" cm="1">
        <f t="array" ref="C1383">IFERROR(_xlfn.TEXTJOIN("",TRUE,_xlfn._xlws.FILTER(MID(S1383,_xlfn.SEQUENCE(LEN(S1383)),1),ISNUMBER(SEARCH(MID(S1383,_xlfn.SEQUENCE(LEN(S1383)),1),"ABCDEFGHIJKLMNOPQRSTUVWXYZabcdefghijklmnopqrstuvwxyz0123456789,")))),"")</f>
        <v/>
      </c>
      <c r="G1383" s="20" t="str" cm="1">
        <f t="array" ref="G1383">IF(TRIM(P1383)="","",IF(SUM(COUNTIF(P1383,{"*NLGD*","*FWG*"}))&gt;0,P1383,IF(SUM(COUNTIF(P1383,{"*GL*","*DGB*","*DGI*","*GT*","*CS*","*PWU*","*DBI*","*SWU*"}))=0,P1383,IF(IFERROR(VALUE(SUBSTITUTE(SUBSTITUTE(O1383,"W",""),"""","")),0)&gt;52,P1383&amp;"-OVRSIZE-",P1383))))</f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s="18" t="str">
        <v/>
      </c>
      <c r="O1383" s="15" t="str" cm="1">
        <f t="array" ref="O1383">IFERROR(_xlfn.LET(
_xlpm.clean,TRIM(SUBSTITUTE(SUBSTITUTE(P1383,CHAR(160),"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3" t="str">
        <f t="shared" si="22"/>
        <v/>
      </c>
    </row>
    <row r="1384" spans="3:19" ht="15.75" customHeight="1">
      <c r="C1384" s="15" t="str" cm="1">
        <f t="array" ref="C1384">IFERROR(_xlfn.TEXTJOIN("",TRUE,_xlfn._xlws.FILTER(MID(S1384,_xlfn.SEQUENCE(LEN(S1384)),1),ISNUMBER(SEARCH(MID(S1384,_xlfn.SEQUENCE(LEN(S1384)),1),"ABCDEFGHIJKLMNOPQRSTUVWXYZabcdefghijklmnopqrstuvwxyz0123456789,")))),"")</f>
        <v/>
      </c>
      <c r="G1384" s="20" t="str" cm="1">
        <f t="array" ref="G1384">IF(TRIM(P1384)="","",IF(SUM(COUNTIF(P1384,{"*NLGD*","*FWG*"}))&gt;0,P1384,IF(SUM(COUNTIF(P1384,{"*GL*","*DGB*","*DGI*","*GT*","*CS*","*PWU*","*DBI*","*SWU*"}))=0,P1384,IF(IFERROR(VALUE(SUBSTITUTE(SUBSTITUTE(O1384,"W",""),"""","")),0)&gt;52,P1384&amp;"-OVRSIZE-",P1384))))</f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s="18" t="str">
        <v/>
      </c>
      <c r="O1384" s="15" t="str" cm="1">
        <f t="array" ref="O1384">IFERROR(_xlfn.LET(
_xlpm.clean,TRIM(SUBSTITUTE(SUBSTITUTE(P1384,CHAR(160),"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4" t="str">
        <f t="shared" si="22"/>
        <v/>
      </c>
    </row>
    <row r="1385" spans="3:19" ht="15.75" customHeight="1">
      <c r="C1385" s="15" t="str" cm="1">
        <f t="array" ref="C1385">IFERROR(_xlfn.TEXTJOIN("",TRUE,_xlfn._xlws.FILTER(MID(S1385,_xlfn.SEQUENCE(LEN(S1385)),1),ISNUMBER(SEARCH(MID(S1385,_xlfn.SEQUENCE(LEN(S1385)),1),"ABCDEFGHIJKLMNOPQRSTUVWXYZabcdefghijklmnopqrstuvwxyz0123456789,")))),"")</f>
        <v/>
      </c>
      <c r="G1385" s="20" t="str" cm="1">
        <f t="array" ref="G1385">IF(TRIM(P1385)="","",IF(SUM(COUNTIF(P1385,{"*NLGD*","*FWG*"}))&gt;0,P1385,IF(SUM(COUNTIF(P1385,{"*GL*","*DGB*","*DGI*","*GT*","*CS*","*PWU*","*DBI*","*SWU*"}))=0,P1385,IF(IFERROR(VALUE(SUBSTITUTE(SUBSTITUTE(O1385,"W",""),"""","")),0)&gt;52,P1385&amp;"-OVRSIZE-",P1385))))</f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s="18" t="str">
        <v/>
      </c>
      <c r="O1385" s="15" t="str" cm="1">
        <f t="array" ref="O1385">IFERROR(_xlfn.LET(
_xlpm.clean,TRIM(SUBSTITUTE(SUBSTITUTE(P1385,CHAR(160),"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5" t="str">
        <f t="shared" si="22"/>
        <v/>
      </c>
    </row>
    <row r="1386" spans="3:19" ht="15.75" customHeight="1">
      <c r="C1386" s="15" t="str" cm="1">
        <f t="array" ref="C1386">IFERROR(_xlfn.TEXTJOIN("",TRUE,_xlfn._xlws.FILTER(MID(S1386,_xlfn.SEQUENCE(LEN(S1386)),1),ISNUMBER(SEARCH(MID(S1386,_xlfn.SEQUENCE(LEN(S1386)),1),"ABCDEFGHIJKLMNOPQRSTUVWXYZabcdefghijklmnopqrstuvwxyz0123456789,")))),"")</f>
        <v/>
      </c>
      <c r="G1386" s="20" t="str" cm="1">
        <f t="array" ref="G1386">IF(TRIM(P1386)="","",IF(SUM(COUNTIF(P1386,{"*NLGD*","*FWG*"}))&gt;0,P1386,IF(SUM(COUNTIF(P1386,{"*GL*","*DGB*","*DGI*","*GT*","*CS*","*PWU*","*DBI*","*SWU*"}))=0,P1386,IF(IFERROR(VALUE(SUBSTITUTE(SUBSTITUTE(O1386,"W",""),"""","")),0)&gt;52,P1386&amp;"-OVRSIZE-",P1386))))</f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s="18" t="str">
        <v/>
      </c>
      <c r="O1386" s="15" t="str" cm="1">
        <f t="array" ref="O1386">IFERROR(_xlfn.LET(
_xlpm.clean,TRIM(SUBSTITUTE(SUBSTITUTE(P1386,CHAR(160),"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6" t="str">
        <f t="shared" si="22"/>
        <v/>
      </c>
    </row>
    <row r="1387" spans="3:19" ht="15.75" customHeight="1">
      <c r="C1387" s="15" t="str" cm="1">
        <f t="array" ref="C1387">IFERROR(_xlfn.TEXTJOIN("",TRUE,_xlfn._xlws.FILTER(MID(S1387,_xlfn.SEQUENCE(LEN(S1387)),1),ISNUMBER(SEARCH(MID(S1387,_xlfn.SEQUENCE(LEN(S1387)),1),"ABCDEFGHIJKLMNOPQRSTUVWXYZabcdefghijklmnopqrstuvwxyz0123456789,")))),"")</f>
        <v/>
      </c>
      <c r="G1387" s="20" t="str" cm="1">
        <f t="array" ref="G1387">IF(TRIM(P1387)="","",IF(SUM(COUNTIF(P1387,{"*NLGD*","*FWG*"}))&gt;0,P1387,IF(SUM(COUNTIF(P1387,{"*GL*","*DGB*","*DGI*","*GT*","*CS*","*PWU*","*DBI*","*SWU*"}))=0,P1387,IF(IFERROR(VALUE(SUBSTITUTE(SUBSTITUTE(O1387,"W",""),"""","")),0)&gt;52,P1387&amp;"-OVRSIZE-",P1387))))</f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s="18" t="str">
        <v/>
      </c>
      <c r="O1387" s="15" t="str" cm="1">
        <f t="array" ref="O1387">IFERROR(_xlfn.LET(
_xlpm.clean,TRIM(SUBSTITUTE(SUBSTITUTE(P1387,CHAR(160),"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7" t="str">
        <f t="shared" si="22"/>
        <v/>
      </c>
    </row>
    <row r="1388" spans="3:19" ht="15.75" customHeight="1">
      <c r="C1388" s="15" t="str" cm="1">
        <f t="array" ref="C1388">IFERROR(_xlfn.TEXTJOIN("",TRUE,_xlfn._xlws.FILTER(MID(S1388,_xlfn.SEQUENCE(LEN(S1388)),1),ISNUMBER(SEARCH(MID(S1388,_xlfn.SEQUENCE(LEN(S1388)),1),"ABCDEFGHIJKLMNOPQRSTUVWXYZabcdefghijklmnopqrstuvwxyz0123456789,")))),"")</f>
        <v/>
      </c>
      <c r="G1388" s="20" t="str" cm="1">
        <f t="array" ref="G1388">IF(TRIM(P1388)="","",IF(SUM(COUNTIF(P1388,{"*NLGD*","*FWG*"}))&gt;0,P1388,IF(SUM(COUNTIF(P1388,{"*GL*","*DGB*","*DGI*","*GT*","*CS*","*PWU*","*DBI*","*SWU*"}))=0,P1388,IF(IFERROR(VALUE(SUBSTITUTE(SUBSTITUTE(O1388,"W",""),"""","")),0)&gt;52,P1388&amp;"-OVRSIZE-",P1388))))</f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s="18" t="str">
        <v/>
      </c>
      <c r="O1388" s="15" t="str" cm="1">
        <f t="array" ref="O1388">IFERROR(_xlfn.LET(
_xlpm.clean,TRIM(SUBSTITUTE(SUBSTITUTE(P1388,CHAR(160),"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8" t="str">
        <f t="shared" si="22"/>
        <v/>
      </c>
    </row>
    <row r="1389" spans="3:19" ht="15.75" customHeight="1">
      <c r="C1389" s="15" t="str" cm="1">
        <f t="array" ref="C1389">IFERROR(_xlfn.TEXTJOIN("",TRUE,_xlfn._xlws.FILTER(MID(S1389,_xlfn.SEQUENCE(LEN(S1389)),1),ISNUMBER(SEARCH(MID(S1389,_xlfn.SEQUENCE(LEN(S1389)),1),"ABCDEFGHIJKLMNOPQRSTUVWXYZabcdefghijklmnopqrstuvwxyz0123456789,")))),"")</f>
        <v/>
      </c>
      <c r="G1389" s="20" t="str" cm="1">
        <f t="array" ref="G1389">IF(TRIM(P1389)="","",IF(SUM(COUNTIF(P1389,{"*NLGD*","*FWG*"}))&gt;0,P1389,IF(SUM(COUNTIF(P1389,{"*GL*","*DGB*","*DGI*","*GT*","*CS*","*PWU*","*DBI*","*SWU*"}))=0,P1389,IF(IFERROR(VALUE(SUBSTITUTE(SUBSTITUTE(O1389,"W",""),"""","")),0)&gt;52,P1389&amp;"-OVRSIZE-",P1389))))</f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s="18" t="str">
        <v/>
      </c>
      <c r="O1389" s="15" t="str" cm="1">
        <f t="array" ref="O1389">IFERROR(_xlfn.LET(
_xlpm.clean,TRIM(SUBSTITUTE(SUBSTITUTE(P1389,CHAR(160),"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9" t="str">
        <f t="shared" si="22"/>
        <v/>
      </c>
    </row>
    <row r="1390" spans="3:19" ht="15.75" customHeight="1">
      <c r="C1390" s="15" t="str" cm="1">
        <f t="array" ref="C1390">IFERROR(_xlfn.TEXTJOIN("",TRUE,_xlfn._xlws.FILTER(MID(S1390,_xlfn.SEQUENCE(LEN(S1390)),1),ISNUMBER(SEARCH(MID(S1390,_xlfn.SEQUENCE(LEN(S1390)),1),"ABCDEFGHIJKLMNOPQRSTUVWXYZabcdefghijklmnopqrstuvwxyz0123456789,")))),"")</f>
        <v/>
      </c>
      <c r="G1390" s="20" t="str" cm="1">
        <f t="array" ref="G1390">IF(TRIM(P1390)="","",IF(SUM(COUNTIF(P1390,{"*NLGD*","*FWG*"}))&gt;0,P1390,IF(SUM(COUNTIF(P1390,{"*GL*","*DGB*","*DGI*","*GT*","*CS*","*PWU*","*DBI*","*SWU*"}))=0,P1390,IF(IFERROR(VALUE(SUBSTITUTE(SUBSTITUTE(O1390,"W",""),"""","")),0)&gt;52,P1390&amp;"-OVRSIZE-",P1390))))</f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s="18" t="str">
        <v/>
      </c>
      <c r="O1390" s="15" t="str" cm="1">
        <f t="array" ref="O1390">IFERROR(_xlfn.LET(
_xlpm.clean,TRIM(SUBSTITUTE(SUBSTITUTE(P1390,CHAR(160),"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0" t="str">
        <f t="shared" si="22"/>
        <v/>
      </c>
    </row>
    <row r="1391" spans="3:19" ht="15.75" customHeight="1">
      <c r="C1391" s="15" t="str" cm="1">
        <f t="array" ref="C1391">IFERROR(_xlfn.TEXTJOIN("",TRUE,_xlfn._xlws.FILTER(MID(S1391,_xlfn.SEQUENCE(LEN(S1391)),1),ISNUMBER(SEARCH(MID(S1391,_xlfn.SEQUENCE(LEN(S1391)),1),"ABCDEFGHIJKLMNOPQRSTUVWXYZabcdefghijklmnopqrstuvwxyz0123456789,")))),"")</f>
        <v/>
      </c>
      <c r="G1391" s="20" t="str" cm="1">
        <f t="array" ref="G1391">IF(TRIM(P1391)="","",IF(SUM(COUNTIF(P1391,{"*NLGD*","*FWG*"}))&gt;0,P1391,IF(SUM(COUNTIF(P1391,{"*GL*","*DGB*","*DGI*","*GT*","*CS*","*PWU*","*DBI*","*SWU*"}))=0,P1391,IF(IFERROR(VALUE(SUBSTITUTE(SUBSTITUTE(O1391,"W",""),"""","")),0)&gt;52,P1391&amp;"-OVRSIZE-",P1391))))</f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s="18" t="str">
        <v/>
      </c>
      <c r="O1391" s="15" t="str" cm="1">
        <f t="array" ref="O1391">IFERROR(_xlfn.LET(
_xlpm.clean,TRIM(SUBSTITUTE(SUBSTITUTE(P1391,CHAR(160),"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1" t="str">
        <f t="shared" si="22"/>
        <v/>
      </c>
    </row>
    <row r="1392" spans="3:19" ht="15.75" customHeight="1">
      <c r="C1392" s="15" t="str" cm="1">
        <f t="array" ref="C1392">IFERROR(_xlfn.TEXTJOIN("",TRUE,_xlfn._xlws.FILTER(MID(S1392,_xlfn.SEQUENCE(LEN(S1392)),1),ISNUMBER(SEARCH(MID(S1392,_xlfn.SEQUENCE(LEN(S1392)),1),"ABCDEFGHIJKLMNOPQRSTUVWXYZabcdefghijklmnopqrstuvwxyz0123456789,")))),"")</f>
        <v/>
      </c>
      <c r="G1392" s="20" t="str" cm="1">
        <f t="array" ref="G1392">IF(TRIM(P1392)="","",IF(SUM(COUNTIF(P1392,{"*NLGD*","*FWG*"}))&gt;0,P1392,IF(SUM(COUNTIF(P1392,{"*GL*","*DGB*","*DGI*","*GT*","*CS*","*PWU*","*DBI*","*SWU*"}))=0,P1392,IF(IFERROR(VALUE(SUBSTITUTE(SUBSTITUTE(O1392,"W",""),"""","")),0)&gt;52,P1392&amp;"-OVRSIZE-",P1392))))</f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s="18" t="str">
        <v/>
      </c>
      <c r="O1392" s="15" t="str" cm="1">
        <f t="array" ref="O1392">IFERROR(_xlfn.LET(
_xlpm.clean,TRIM(SUBSTITUTE(SUBSTITUTE(P1392,CHAR(160),"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2" t="str">
        <f t="shared" si="22"/>
        <v/>
      </c>
    </row>
    <row r="1393" spans="3:19" ht="15.75" customHeight="1">
      <c r="C1393" s="15" t="str" cm="1">
        <f t="array" ref="C1393">IFERROR(_xlfn.TEXTJOIN("",TRUE,_xlfn._xlws.FILTER(MID(S1393,_xlfn.SEQUENCE(LEN(S1393)),1),ISNUMBER(SEARCH(MID(S1393,_xlfn.SEQUENCE(LEN(S1393)),1),"ABCDEFGHIJKLMNOPQRSTUVWXYZabcdefghijklmnopqrstuvwxyz0123456789,")))),"")</f>
        <v/>
      </c>
      <c r="G1393" s="20" t="str" cm="1">
        <f t="array" ref="G1393">IF(TRIM(P1393)="","",IF(SUM(COUNTIF(P1393,{"*NLGD*","*FWG*"}))&gt;0,P1393,IF(SUM(COUNTIF(P1393,{"*GL*","*DGB*","*DGI*","*GT*","*CS*","*PWU*","*DBI*","*SWU*"}))=0,P1393,IF(IFERROR(VALUE(SUBSTITUTE(SUBSTITUTE(O1393,"W",""),"""","")),0)&gt;52,P1393&amp;"-OVRSIZE-",P1393))))</f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s="18" t="str">
        <v/>
      </c>
      <c r="O1393" s="15" t="str" cm="1">
        <f t="array" ref="O1393">IFERROR(_xlfn.LET(
_xlpm.clean,TRIM(SUBSTITUTE(SUBSTITUTE(P1393,CHAR(160),"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3" t="str">
        <f t="shared" si="22"/>
        <v/>
      </c>
    </row>
    <row r="1394" spans="3:19" ht="15.75" customHeight="1">
      <c r="C1394" s="15" t="str" cm="1">
        <f t="array" ref="C1394">IFERROR(_xlfn.TEXTJOIN("",TRUE,_xlfn._xlws.FILTER(MID(S1394,_xlfn.SEQUENCE(LEN(S1394)),1),ISNUMBER(SEARCH(MID(S1394,_xlfn.SEQUENCE(LEN(S1394)),1),"ABCDEFGHIJKLMNOPQRSTUVWXYZabcdefghijklmnopqrstuvwxyz0123456789,")))),"")</f>
        <v/>
      </c>
      <c r="G1394" s="20" t="str" cm="1">
        <f t="array" ref="G1394">IF(TRIM(P1394)="","",IF(SUM(COUNTIF(P1394,{"*NLGD*","*FWG*"}))&gt;0,P1394,IF(SUM(COUNTIF(P1394,{"*GL*","*DGB*","*DGI*","*GT*","*CS*","*PWU*","*DBI*","*SWU*"}))=0,P1394,IF(IFERROR(VALUE(SUBSTITUTE(SUBSTITUTE(O1394,"W",""),"""","")),0)&gt;52,P1394&amp;"-OVRSIZE-",P1394))))</f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s="18" t="str">
        <v/>
      </c>
      <c r="O1394" s="15" t="str" cm="1">
        <f t="array" ref="O1394">IFERROR(_xlfn.LET(
_xlpm.clean,TRIM(SUBSTITUTE(SUBSTITUTE(P1394,CHAR(160),"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4" t="str">
        <f t="shared" si="22"/>
        <v/>
      </c>
    </row>
    <row r="1395" spans="3:19" ht="15.75" customHeight="1">
      <c r="C1395" s="15" t="str" cm="1">
        <f t="array" ref="C1395">IFERROR(_xlfn.TEXTJOIN("",TRUE,_xlfn._xlws.FILTER(MID(S1395,_xlfn.SEQUENCE(LEN(S1395)),1),ISNUMBER(SEARCH(MID(S1395,_xlfn.SEQUENCE(LEN(S1395)),1),"ABCDEFGHIJKLMNOPQRSTUVWXYZabcdefghijklmnopqrstuvwxyz0123456789,")))),"")</f>
        <v/>
      </c>
      <c r="G1395" s="20" t="str" cm="1">
        <f t="array" ref="G1395">IF(TRIM(P1395)="","",IF(SUM(COUNTIF(P1395,{"*NLGD*","*FWG*"}))&gt;0,P1395,IF(SUM(COUNTIF(P1395,{"*GL*","*DGB*","*DGI*","*GT*","*CS*","*PWU*","*DBI*","*SWU*"}))=0,P1395,IF(IFERROR(VALUE(SUBSTITUTE(SUBSTITUTE(O1395,"W",""),"""","")),0)&gt;52,P1395&amp;"-OVRSIZE-",P1395))))</f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s="18" t="str">
        <v/>
      </c>
      <c r="O1395" s="15" t="str" cm="1">
        <f t="array" ref="O1395">IFERROR(_xlfn.LET(
_xlpm.clean,TRIM(SUBSTITUTE(SUBSTITUTE(P1395,CHAR(160),"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5" t="str">
        <f t="shared" si="22"/>
        <v/>
      </c>
    </row>
    <row r="1396" spans="3:19" ht="15.75" customHeight="1">
      <c r="C1396" s="15" t="str" cm="1">
        <f t="array" ref="C1396">IFERROR(_xlfn.TEXTJOIN("",TRUE,_xlfn._xlws.FILTER(MID(S1396,_xlfn.SEQUENCE(LEN(S1396)),1),ISNUMBER(SEARCH(MID(S1396,_xlfn.SEQUENCE(LEN(S1396)),1),"ABCDEFGHIJKLMNOPQRSTUVWXYZabcdefghijklmnopqrstuvwxyz0123456789,")))),"")</f>
        <v/>
      </c>
      <c r="G1396" s="20" t="str" cm="1">
        <f t="array" ref="G1396">IF(TRIM(P1396)="","",IF(SUM(COUNTIF(P1396,{"*NLGD*","*FWG*"}))&gt;0,P1396,IF(SUM(COUNTIF(P1396,{"*GL*","*DGB*","*DGI*","*GT*","*CS*","*PWU*","*DBI*","*SWU*"}))=0,P1396,IF(IFERROR(VALUE(SUBSTITUTE(SUBSTITUTE(O1396,"W",""),"""","")),0)&gt;52,P1396&amp;"-OVRSIZE-",P1396))))</f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s="18" t="str">
        <v/>
      </c>
      <c r="O1396" s="15" t="str" cm="1">
        <f t="array" ref="O1396">IFERROR(_xlfn.LET(
_xlpm.clean,TRIM(SUBSTITUTE(SUBSTITUTE(P1396,CHAR(160),"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6" t="str">
        <f t="shared" si="22"/>
        <v/>
      </c>
    </row>
    <row r="1397" spans="3:19" ht="15.75" customHeight="1">
      <c r="C1397" s="15" t="str" cm="1">
        <f t="array" ref="C1397">IFERROR(_xlfn.TEXTJOIN("",TRUE,_xlfn._xlws.FILTER(MID(S1397,_xlfn.SEQUENCE(LEN(S1397)),1),ISNUMBER(SEARCH(MID(S1397,_xlfn.SEQUENCE(LEN(S1397)),1),"ABCDEFGHIJKLMNOPQRSTUVWXYZabcdefghijklmnopqrstuvwxyz0123456789,")))),"")</f>
        <v/>
      </c>
      <c r="G1397" s="20" t="str" cm="1">
        <f t="array" ref="G1397">IF(TRIM(P1397)="","",IF(SUM(COUNTIF(P1397,{"*NLGD*","*FWG*"}))&gt;0,P1397,IF(SUM(COUNTIF(P1397,{"*GL*","*DGB*","*DGI*","*GT*","*CS*","*PWU*","*DBI*","*SWU*"}))=0,P1397,IF(IFERROR(VALUE(SUBSTITUTE(SUBSTITUTE(O1397,"W",""),"""","")),0)&gt;52,P1397&amp;"-OVRSIZE-",P1397))))</f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s="18" t="str">
        <v/>
      </c>
      <c r="O1397" s="15" t="str" cm="1">
        <f t="array" ref="O1397">IFERROR(_xlfn.LET(
_xlpm.clean,TRIM(SUBSTITUTE(SUBSTITUTE(P1397,CHAR(160),"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7" t="str">
        <f t="shared" si="22"/>
        <v/>
      </c>
    </row>
    <row r="1398" spans="3:19" ht="15.75" customHeight="1">
      <c r="C1398" s="15" t="str" cm="1">
        <f t="array" ref="C1398">IFERROR(_xlfn.TEXTJOIN("",TRUE,_xlfn._xlws.FILTER(MID(S1398,_xlfn.SEQUENCE(LEN(S1398)),1),ISNUMBER(SEARCH(MID(S1398,_xlfn.SEQUENCE(LEN(S1398)),1),"ABCDEFGHIJKLMNOPQRSTUVWXYZabcdefghijklmnopqrstuvwxyz0123456789,")))),"")</f>
        <v/>
      </c>
      <c r="G1398" s="20" t="str" cm="1">
        <f t="array" ref="G1398">IF(TRIM(P1398)="","",IF(SUM(COUNTIF(P1398,{"*NLGD*","*FWG*"}))&gt;0,P1398,IF(SUM(COUNTIF(P1398,{"*GL*","*DGB*","*DGI*","*GT*","*CS*","*PWU*","*DBI*","*SWU*"}))=0,P1398,IF(IFERROR(VALUE(SUBSTITUTE(SUBSTITUTE(O1398,"W",""),"""","")),0)&gt;52,P1398&amp;"-OVRSIZE-",P1398))))</f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s="18" t="str">
        <v/>
      </c>
      <c r="O1398" s="15" t="str" cm="1">
        <f t="array" ref="O1398">IFERROR(_xlfn.LET(
_xlpm.clean,TRIM(SUBSTITUTE(SUBSTITUTE(P1398,CHAR(160),"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8" t="str">
        <f t="shared" si="22"/>
        <v/>
      </c>
    </row>
    <row r="1399" spans="3:19" ht="15.75" customHeight="1">
      <c r="C1399" s="15" t="str" cm="1">
        <f t="array" ref="C1399">IFERROR(_xlfn.TEXTJOIN("",TRUE,_xlfn._xlws.FILTER(MID(S1399,_xlfn.SEQUENCE(LEN(S1399)),1),ISNUMBER(SEARCH(MID(S1399,_xlfn.SEQUENCE(LEN(S1399)),1),"ABCDEFGHIJKLMNOPQRSTUVWXYZabcdefghijklmnopqrstuvwxyz0123456789,")))),"")</f>
        <v/>
      </c>
      <c r="G1399" s="20" t="str" cm="1">
        <f t="array" ref="G1399">IF(TRIM(P1399)="","",IF(SUM(COUNTIF(P1399,{"*NLGD*","*FWG*"}))&gt;0,P1399,IF(SUM(COUNTIF(P1399,{"*GL*","*DGB*","*DGI*","*GT*","*CS*","*PWU*","*DBI*","*SWU*"}))=0,P1399,IF(IFERROR(VALUE(SUBSTITUTE(SUBSTITUTE(O1399,"W",""),"""","")),0)&gt;52,P1399&amp;"-OVRSIZE-",P1399))))</f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s="18" t="str">
        <v/>
      </c>
      <c r="O1399" s="15" t="str" cm="1">
        <f t="array" ref="O1399">IFERROR(_xlfn.LET(
_xlpm.clean,TRIM(SUBSTITUTE(SUBSTITUTE(P1399,CHAR(160),"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9" t="str">
        <f t="shared" si="22"/>
        <v/>
      </c>
    </row>
    <row r="1400" spans="3:19" ht="15.75" customHeight="1">
      <c r="C1400" s="15" t="str" cm="1">
        <f t="array" ref="C1400">IFERROR(_xlfn.TEXTJOIN("",TRUE,_xlfn._xlws.FILTER(MID(S1400,_xlfn.SEQUENCE(LEN(S1400)),1),ISNUMBER(SEARCH(MID(S1400,_xlfn.SEQUENCE(LEN(S1400)),1),"ABCDEFGHIJKLMNOPQRSTUVWXYZabcdefghijklmnopqrstuvwxyz0123456789,")))),"")</f>
        <v/>
      </c>
      <c r="G1400" s="20" t="str" cm="1">
        <f t="array" ref="G1400">IF(TRIM(P1400)="","",IF(SUM(COUNTIF(P1400,{"*NLGD*","*FWG*"}))&gt;0,P1400,IF(SUM(COUNTIF(P1400,{"*GL*","*DGB*","*DGI*","*GT*","*CS*","*PWU*","*DBI*","*SWU*"}))=0,P1400,IF(IFERROR(VALUE(SUBSTITUTE(SUBSTITUTE(O1400,"W",""),"""","")),0)&gt;52,P1400&amp;"-OVRSIZE-",P1400))))</f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s="18" t="str">
        <v/>
      </c>
      <c r="O1400" s="15" t="str" cm="1">
        <f t="array" ref="O1400">IFERROR(_xlfn.LET(
_xlpm.clean,TRIM(SUBSTITUTE(SUBSTITUTE(P1400,CHAR(160),"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0" t="str">
        <f t="shared" si="22"/>
        <v/>
      </c>
    </row>
    <row r="1401" spans="3:19" ht="15.75" customHeight="1">
      <c r="C1401" s="15" t="str" cm="1">
        <f t="array" ref="C1401">IFERROR(_xlfn.TEXTJOIN("",TRUE,_xlfn._xlws.FILTER(MID(S1401,_xlfn.SEQUENCE(LEN(S1401)),1),ISNUMBER(SEARCH(MID(S1401,_xlfn.SEQUENCE(LEN(S1401)),1),"ABCDEFGHIJKLMNOPQRSTUVWXYZabcdefghijklmnopqrstuvwxyz0123456789,")))),"")</f>
        <v/>
      </c>
      <c r="G1401" s="20" t="str" cm="1">
        <f t="array" ref="G1401">IF(TRIM(P1401)="","",IF(SUM(COUNTIF(P1401,{"*NLGD*","*FWG*"}))&gt;0,P1401,IF(SUM(COUNTIF(P1401,{"*GL*","*DGB*","*DGI*","*GT*","*CS*","*PWU*","*DBI*","*SWU*"}))=0,P1401,IF(IFERROR(VALUE(SUBSTITUTE(SUBSTITUTE(O1401,"W",""),"""","")),0)&gt;52,P1401&amp;"-OVRSIZE-",P1401))))</f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s="18" t="str">
        <v/>
      </c>
      <c r="O1401" s="15" t="str" cm="1">
        <f t="array" ref="O1401">IFERROR(_xlfn.LET(
_xlpm.clean,TRIM(SUBSTITUTE(SUBSTITUTE(P1401,CHAR(160),"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1" t="str">
        <f t="shared" si="22"/>
        <v/>
      </c>
    </row>
    <row r="1402" spans="3:19" ht="15.75" customHeight="1">
      <c r="C1402" s="15" t="str" cm="1">
        <f t="array" ref="C1402">IFERROR(_xlfn.TEXTJOIN("",TRUE,_xlfn._xlws.FILTER(MID(S1402,_xlfn.SEQUENCE(LEN(S1402)),1),ISNUMBER(SEARCH(MID(S1402,_xlfn.SEQUENCE(LEN(S1402)),1),"ABCDEFGHIJKLMNOPQRSTUVWXYZabcdefghijklmnopqrstuvwxyz0123456789,")))),"")</f>
        <v/>
      </c>
      <c r="G1402" s="20" t="str" cm="1">
        <f t="array" ref="G1402">IF(TRIM(P1402)="","",IF(SUM(COUNTIF(P1402,{"*NLGD*","*FWG*"}))&gt;0,P1402,IF(SUM(COUNTIF(P1402,{"*GL*","*DGB*","*DGI*","*GT*","*CS*","*PWU*","*DBI*","*SWU*"}))=0,P1402,IF(IFERROR(VALUE(SUBSTITUTE(SUBSTITUTE(O1402,"W",""),"""","")),0)&gt;52,P1402&amp;"-OVRSIZE-",P1402))))</f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s="18" t="str">
        <v/>
      </c>
      <c r="O1402" s="15" t="str" cm="1">
        <f t="array" ref="O1402">IFERROR(_xlfn.LET(
_xlpm.clean,TRIM(SUBSTITUTE(SUBSTITUTE(P1402,CHAR(160),"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2" t="str">
        <f t="shared" si="22"/>
        <v/>
      </c>
    </row>
    <row r="1403" spans="3:19" ht="15.75" customHeight="1">
      <c r="C1403" s="15" t="str" cm="1">
        <f t="array" ref="C1403">IFERROR(_xlfn.TEXTJOIN("",TRUE,_xlfn._xlws.FILTER(MID(S1403,_xlfn.SEQUENCE(LEN(S1403)),1),ISNUMBER(SEARCH(MID(S1403,_xlfn.SEQUENCE(LEN(S1403)),1),"ABCDEFGHIJKLMNOPQRSTUVWXYZabcdefghijklmnopqrstuvwxyz0123456789,")))),"")</f>
        <v/>
      </c>
      <c r="G1403" s="20" t="str" cm="1">
        <f t="array" ref="G1403">IF(TRIM(P1403)="","",IF(SUM(COUNTIF(P1403,{"*NLGD*","*FWG*"}))&gt;0,P1403,IF(SUM(COUNTIF(P1403,{"*GL*","*DGB*","*DGI*","*GT*","*CS*","*PWU*","*DBI*","*SWU*"}))=0,P1403,IF(IFERROR(VALUE(SUBSTITUTE(SUBSTITUTE(O1403,"W",""),"""","")),0)&gt;52,P1403&amp;"-OVRSIZE-",P1403))))</f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s="18" t="str">
        <v/>
      </c>
      <c r="O1403" s="15" t="str" cm="1">
        <f t="array" ref="O1403">IFERROR(_xlfn.LET(
_xlpm.clean,TRIM(SUBSTITUTE(SUBSTITUTE(P1403,CHAR(160),"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3" t="str">
        <f t="shared" si="22"/>
        <v/>
      </c>
    </row>
    <row r="1404" spans="3:19" ht="15.75" customHeight="1">
      <c r="C1404" s="15" t="str" cm="1">
        <f t="array" ref="C1404">IFERROR(_xlfn.TEXTJOIN("",TRUE,_xlfn._xlws.FILTER(MID(S1404,_xlfn.SEQUENCE(LEN(S1404)),1),ISNUMBER(SEARCH(MID(S1404,_xlfn.SEQUENCE(LEN(S1404)),1),"ABCDEFGHIJKLMNOPQRSTUVWXYZabcdefghijklmnopqrstuvwxyz0123456789,")))),"")</f>
        <v/>
      </c>
      <c r="G1404" s="20" t="str" cm="1">
        <f t="array" ref="G1404">IF(TRIM(P1404)="","",IF(SUM(COUNTIF(P1404,{"*NLGD*","*FWG*"}))&gt;0,P1404,IF(SUM(COUNTIF(P1404,{"*GL*","*DGB*","*DGI*","*GT*","*CS*","*PWU*","*DBI*","*SWU*"}))=0,P1404,IF(IFERROR(VALUE(SUBSTITUTE(SUBSTITUTE(O1404,"W",""),"""","")),0)&gt;52,P1404&amp;"-OVRSIZE-",P1404))))</f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s="18" t="str">
        <v/>
      </c>
      <c r="O1404" s="15" t="str" cm="1">
        <f t="array" ref="O1404">IFERROR(_xlfn.LET(
_xlpm.clean,TRIM(SUBSTITUTE(SUBSTITUTE(P1404,CHAR(160),"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4" t="str">
        <f t="shared" si="22"/>
        <v/>
      </c>
    </row>
    <row r="1405" spans="3:19" ht="15.75" customHeight="1">
      <c r="C1405" s="15" t="str" cm="1">
        <f t="array" ref="C1405">IFERROR(_xlfn.TEXTJOIN("",TRUE,_xlfn._xlws.FILTER(MID(S1405,_xlfn.SEQUENCE(LEN(S1405)),1),ISNUMBER(SEARCH(MID(S1405,_xlfn.SEQUENCE(LEN(S1405)),1),"ABCDEFGHIJKLMNOPQRSTUVWXYZabcdefghijklmnopqrstuvwxyz0123456789,")))),"")</f>
        <v/>
      </c>
      <c r="G1405" s="20" t="str" cm="1">
        <f t="array" ref="G1405">IF(TRIM(P1405)="","",IF(SUM(COUNTIF(P1405,{"*NLGD*","*FWG*"}))&gt;0,P1405,IF(SUM(COUNTIF(P1405,{"*GL*","*DGB*","*DGI*","*GT*","*CS*","*PWU*","*DBI*","*SWU*"}))=0,P1405,IF(IFERROR(VALUE(SUBSTITUTE(SUBSTITUTE(O1405,"W",""),"""","")),0)&gt;52,P1405&amp;"-OVRSIZE-",P1405))))</f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s="18" t="str">
        <v/>
      </c>
      <c r="O1405" s="15" t="str" cm="1">
        <f t="array" ref="O1405">IFERROR(_xlfn.LET(
_xlpm.clean,TRIM(SUBSTITUTE(SUBSTITUTE(P1405,CHAR(160),"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5" t="str">
        <f t="shared" si="22"/>
        <v/>
      </c>
    </row>
    <row r="1406" spans="3:19" ht="15.75" customHeight="1">
      <c r="C1406" s="15" t="str" cm="1">
        <f t="array" ref="C1406">IFERROR(_xlfn.TEXTJOIN("",TRUE,_xlfn._xlws.FILTER(MID(S1406,_xlfn.SEQUENCE(LEN(S1406)),1),ISNUMBER(SEARCH(MID(S1406,_xlfn.SEQUENCE(LEN(S1406)),1),"ABCDEFGHIJKLMNOPQRSTUVWXYZabcdefghijklmnopqrstuvwxyz0123456789,")))),"")</f>
        <v/>
      </c>
      <c r="G1406" s="20" t="str" cm="1">
        <f t="array" ref="G1406">IF(TRIM(P1406)="","",IF(SUM(COUNTIF(P1406,{"*NLGD*","*FWG*"}))&gt;0,P1406,IF(SUM(COUNTIF(P1406,{"*GL*","*DGB*","*DGI*","*GT*","*CS*","*PWU*","*DBI*","*SWU*"}))=0,P1406,IF(IFERROR(VALUE(SUBSTITUTE(SUBSTITUTE(O1406,"W",""),"""","")),0)&gt;52,P1406&amp;"-OVRSIZE-",P1406))))</f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s="18" t="str">
        <v/>
      </c>
      <c r="O1406" s="15" t="str" cm="1">
        <f t="array" ref="O1406">IFERROR(_xlfn.LET(
_xlpm.clean,TRIM(SUBSTITUTE(SUBSTITUTE(P1406,CHAR(160),"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6" t="str">
        <f t="shared" si="22"/>
        <v/>
      </c>
    </row>
    <row r="1407" spans="3:19" ht="15.75" customHeight="1">
      <c r="C1407" s="15" t="str" cm="1">
        <f t="array" ref="C1407">IFERROR(_xlfn.TEXTJOIN("",TRUE,_xlfn._xlws.FILTER(MID(S1407,_xlfn.SEQUENCE(LEN(S1407)),1),ISNUMBER(SEARCH(MID(S1407,_xlfn.SEQUENCE(LEN(S1407)),1),"ABCDEFGHIJKLMNOPQRSTUVWXYZabcdefghijklmnopqrstuvwxyz0123456789,")))),"")</f>
        <v/>
      </c>
      <c r="G1407" s="20" t="str" cm="1">
        <f t="array" ref="G1407">IF(TRIM(P1407)="","",IF(SUM(COUNTIF(P1407,{"*NLGD*","*FWG*"}))&gt;0,P1407,IF(SUM(COUNTIF(P1407,{"*GL*","*DGB*","*DGI*","*GT*","*CS*","*PWU*","*DBI*","*SWU*"}))=0,P1407,IF(IFERROR(VALUE(SUBSTITUTE(SUBSTITUTE(O1407,"W",""),"""","")),0)&gt;52,P1407&amp;"-OVRSIZE-",P1407))))</f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s="18" t="str">
        <v/>
      </c>
      <c r="O1407" s="15" t="str" cm="1">
        <f t="array" ref="O1407">IFERROR(_xlfn.LET(
_xlpm.clean,TRIM(SUBSTITUTE(SUBSTITUTE(P1407,CHAR(160),"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7" t="str">
        <f t="shared" si="22"/>
        <v/>
      </c>
    </row>
    <row r="1408" spans="3:19" ht="15.75" customHeight="1">
      <c r="C1408" s="15" t="str" cm="1">
        <f t="array" ref="C1408">IFERROR(_xlfn.TEXTJOIN("",TRUE,_xlfn._xlws.FILTER(MID(S1408,_xlfn.SEQUENCE(LEN(S1408)),1),ISNUMBER(SEARCH(MID(S1408,_xlfn.SEQUENCE(LEN(S1408)),1),"ABCDEFGHIJKLMNOPQRSTUVWXYZabcdefghijklmnopqrstuvwxyz0123456789,")))),"")</f>
        <v/>
      </c>
      <c r="G1408" s="20" t="str" cm="1">
        <f t="array" ref="G1408">IF(TRIM(P1408)="","",IF(SUM(COUNTIF(P1408,{"*NLGD*","*FWG*"}))&gt;0,P1408,IF(SUM(COUNTIF(P1408,{"*GL*","*DGB*","*DGI*","*GT*","*CS*","*PWU*","*DBI*","*SWU*"}))=0,P1408,IF(IFERROR(VALUE(SUBSTITUTE(SUBSTITUTE(O1408,"W",""),"""","")),0)&gt;52,P1408&amp;"-OVRSIZE-",P1408))))</f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s="18" t="str">
        <v/>
      </c>
      <c r="O1408" s="15" t="str" cm="1">
        <f t="array" ref="O1408">IFERROR(_xlfn.LET(
_xlpm.clean,TRIM(SUBSTITUTE(SUBSTITUTE(P1408,CHAR(160),"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8" t="str">
        <f t="shared" si="22"/>
        <v/>
      </c>
    </row>
    <row r="1409" spans="3:19" ht="15.75" customHeight="1">
      <c r="C1409" s="15" t="str" cm="1">
        <f t="array" ref="C1409">IFERROR(_xlfn.TEXTJOIN("",TRUE,_xlfn._xlws.FILTER(MID(S1409,_xlfn.SEQUENCE(LEN(S1409)),1),ISNUMBER(SEARCH(MID(S1409,_xlfn.SEQUENCE(LEN(S1409)),1),"ABCDEFGHIJKLMNOPQRSTUVWXYZabcdefghijklmnopqrstuvwxyz0123456789,")))),"")</f>
        <v/>
      </c>
      <c r="G1409" s="20" t="str" cm="1">
        <f t="array" ref="G1409">IF(TRIM(P1409)="","",IF(SUM(COUNTIF(P1409,{"*NLGD*","*FWG*"}))&gt;0,P1409,IF(SUM(COUNTIF(P1409,{"*GL*","*DGB*","*DGI*","*GT*","*CS*","*PWU*","*DBI*","*SWU*"}))=0,P1409,IF(IFERROR(VALUE(SUBSTITUTE(SUBSTITUTE(O1409,"W",""),"""","")),0)&gt;52,P1409&amp;"-OVRSIZE-",P1409))))</f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s="18" t="str">
        <v/>
      </c>
      <c r="O1409" s="15" t="str" cm="1">
        <f t="array" ref="O1409">IFERROR(_xlfn.LET(
_xlpm.clean,TRIM(SUBSTITUTE(SUBSTITUTE(P1409,CHAR(160),"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9" t="str">
        <f t="shared" si="22"/>
        <v/>
      </c>
    </row>
    <row r="1410" spans="3:19" ht="15.75" customHeight="1">
      <c r="C1410" s="15" t="str" cm="1">
        <f t="array" ref="C1410">IFERROR(_xlfn.TEXTJOIN("",TRUE,_xlfn._xlws.FILTER(MID(S1410,_xlfn.SEQUENCE(LEN(S1410)),1),ISNUMBER(SEARCH(MID(S1410,_xlfn.SEQUENCE(LEN(S1410)),1),"ABCDEFGHIJKLMNOPQRSTUVWXYZabcdefghijklmnopqrstuvwxyz0123456789,")))),"")</f>
        <v/>
      </c>
      <c r="G1410" s="20" t="str" cm="1">
        <f t="array" ref="G1410">IF(TRIM(P1410)="","",IF(SUM(COUNTIF(P1410,{"*NLGD*","*FWG*"}))&gt;0,P1410,IF(SUM(COUNTIF(P1410,{"*GL*","*DGB*","*DGI*","*GT*","*CS*","*PWU*","*DBI*","*SWU*"}))=0,P1410,IF(IFERROR(VALUE(SUBSTITUTE(SUBSTITUTE(O1410,"W",""),"""","")),0)&gt;52,P1410&amp;"-OVRSIZE-",P1410))))</f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s="18" t="str">
        <v/>
      </c>
      <c r="O1410" s="15" t="str" cm="1">
        <f t="array" ref="O1410">IFERROR(_xlfn.LET(
_xlpm.clean,TRIM(SUBSTITUTE(SUBSTITUTE(P1410,CHAR(160),"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0" t="str">
        <f t="shared" si="22"/>
        <v/>
      </c>
    </row>
    <row r="1411" spans="3:19" ht="15.75" customHeight="1">
      <c r="C1411" s="15" t="str" cm="1">
        <f t="array" ref="C1411">IFERROR(_xlfn.TEXTJOIN("",TRUE,_xlfn._xlws.FILTER(MID(S1411,_xlfn.SEQUENCE(LEN(S1411)),1),ISNUMBER(SEARCH(MID(S1411,_xlfn.SEQUENCE(LEN(S1411)),1),"ABCDEFGHIJKLMNOPQRSTUVWXYZabcdefghijklmnopqrstuvwxyz0123456789,")))),"")</f>
        <v/>
      </c>
      <c r="G1411" s="20" t="str" cm="1">
        <f t="array" ref="G1411">IF(TRIM(P1411)="","",IF(SUM(COUNTIF(P1411,{"*NLGD*","*FWG*"}))&gt;0,P1411,IF(SUM(COUNTIF(P1411,{"*GL*","*DGB*","*DGI*","*GT*","*CS*","*PWU*","*DBI*","*SWU*"}))=0,P1411,IF(IFERROR(VALUE(SUBSTITUTE(SUBSTITUTE(O1411,"W",""),"""","")),0)&gt;52,P1411&amp;"-OVRSIZE-",P1411))))</f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s="18" t="str">
        <v/>
      </c>
      <c r="O1411" s="15" t="str" cm="1">
        <f t="array" ref="O1411">IFERROR(_xlfn.LET(
_xlpm.clean,TRIM(SUBSTITUTE(SUBSTITUTE(P1411,CHAR(160),"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1" t="str">
        <f t="shared" si="22"/>
        <v/>
      </c>
    </row>
    <row r="1412" spans="3:19" ht="15.75" customHeight="1">
      <c r="C1412" s="15" t="str" cm="1">
        <f t="array" ref="C1412">IFERROR(_xlfn.TEXTJOIN("",TRUE,_xlfn._xlws.FILTER(MID(S1412,_xlfn.SEQUENCE(LEN(S1412)),1),ISNUMBER(SEARCH(MID(S1412,_xlfn.SEQUENCE(LEN(S1412)),1),"ABCDEFGHIJKLMNOPQRSTUVWXYZabcdefghijklmnopqrstuvwxyz0123456789,")))),"")</f>
        <v/>
      </c>
      <c r="G1412" s="20" t="str" cm="1">
        <f t="array" ref="G1412">IF(TRIM(P1412)="","",IF(SUM(COUNTIF(P1412,{"*NLGD*","*FWG*"}))&gt;0,P1412,IF(SUM(COUNTIF(P1412,{"*GL*","*DGB*","*DGI*","*GT*","*CS*","*PWU*","*DBI*","*SWU*"}))=0,P1412,IF(IFERROR(VALUE(SUBSTITUTE(SUBSTITUTE(O1412,"W",""),"""","")),0)&gt;52,P1412&amp;"-OVRSIZE-",P1412))))</f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s="18" t="str">
        <v/>
      </c>
      <c r="O1412" s="15" t="str" cm="1">
        <f t="array" ref="O1412">IFERROR(_xlfn.LET(
_xlpm.clean,TRIM(SUBSTITUTE(SUBSTITUTE(P1412,CHAR(160),"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2" t="str">
        <f t="shared" si="22"/>
        <v/>
      </c>
    </row>
    <row r="1413" spans="3:19" ht="15.75" customHeight="1">
      <c r="C1413" s="15" t="str" cm="1">
        <f t="array" ref="C1413">IFERROR(_xlfn.TEXTJOIN("",TRUE,_xlfn._xlws.FILTER(MID(S1413,_xlfn.SEQUENCE(LEN(S1413)),1),ISNUMBER(SEARCH(MID(S1413,_xlfn.SEQUENCE(LEN(S1413)),1),"ABCDEFGHIJKLMNOPQRSTUVWXYZabcdefghijklmnopqrstuvwxyz0123456789,")))),"")</f>
        <v/>
      </c>
      <c r="G1413" s="20" t="str" cm="1">
        <f t="array" ref="G1413">IF(TRIM(P1413)="","",IF(SUM(COUNTIF(P1413,{"*NLGD*","*FWG*"}))&gt;0,P1413,IF(SUM(COUNTIF(P1413,{"*GL*","*DGB*","*DGI*","*GT*","*CS*","*PWU*","*DBI*","*SWU*"}))=0,P1413,IF(IFERROR(VALUE(SUBSTITUTE(SUBSTITUTE(O1413,"W",""),"""","")),0)&gt;52,P1413&amp;"-OVRSIZE-",P1413))))</f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s="18" t="str">
        <v/>
      </c>
      <c r="O1413" s="15" t="str" cm="1">
        <f t="array" ref="O1413">IFERROR(_xlfn.LET(
_xlpm.clean,TRIM(SUBSTITUTE(SUBSTITUTE(P1413,CHAR(160),"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3" t="str">
        <f t="shared" si="22"/>
        <v/>
      </c>
    </row>
    <row r="1414" spans="3:19" ht="15.75" customHeight="1">
      <c r="C1414" s="15" t="str" cm="1">
        <f t="array" ref="C1414">IFERROR(_xlfn.TEXTJOIN("",TRUE,_xlfn._xlws.FILTER(MID(S1414,_xlfn.SEQUENCE(LEN(S1414)),1),ISNUMBER(SEARCH(MID(S1414,_xlfn.SEQUENCE(LEN(S1414)),1),"ABCDEFGHIJKLMNOPQRSTUVWXYZabcdefghijklmnopqrstuvwxyz0123456789,")))),"")</f>
        <v/>
      </c>
      <c r="G1414" s="20" t="str" cm="1">
        <f t="array" ref="G1414">IF(TRIM(P1414)="","",IF(SUM(COUNTIF(P1414,{"*NLGD*","*FWG*"}))&gt;0,P1414,IF(SUM(COUNTIF(P1414,{"*GL*","*DGB*","*DGI*","*GT*","*CS*","*PWU*","*DBI*","*SWU*"}))=0,P1414,IF(IFERROR(VALUE(SUBSTITUTE(SUBSTITUTE(O1414,"W",""),"""","")),0)&gt;52,P1414&amp;"-OVRSIZE-",P1414))))</f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s="18" t="str">
        <v/>
      </c>
      <c r="O1414" s="15" t="str" cm="1">
        <f t="array" ref="O1414">IFERROR(_xlfn.LET(
_xlpm.clean,TRIM(SUBSTITUTE(SUBSTITUTE(P1414,CHAR(160),"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4" t="str">
        <f t="shared" si="22"/>
        <v/>
      </c>
    </row>
    <row r="1415" spans="3:19" ht="15.75" customHeight="1">
      <c r="C1415" s="15" t="str" cm="1">
        <f t="array" ref="C1415">IFERROR(_xlfn.TEXTJOIN("",TRUE,_xlfn._xlws.FILTER(MID(S1415,_xlfn.SEQUENCE(LEN(S1415)),1),ISNUMBER(SEARCH(MID(S1415,_xlfn.SEQUENCE(LEN(S1415)),1),"ABCDEFGHIJKLMNOPQRSTUVWXYZabcdefghijklmnopqrstuvwxyz0123456789,")))),"")</f>
        <v/>
      </c>
      <c r="G1415" s="20" t="str" cm="1">
        <f t="array" ref="G1415">IF(TRIM(P1415)="","",IF(SUM(COUNTIF(P1415,{"*NLGD*","*FWG*"}))&gt;0,P1415,IF(SUM(COUNTIF(P1415,{"*GL*","*DGB*","*DGI*","*GT*","*CS*","*PWU*","*DBI*","*SWU*"}))=0,P1415,IF(IFERROR(VALUE(SUBSTITUTE(SUBSTITUTE(O1415,"W",""),"""","")),0)&gt;52,P1415&amp;"-OVRSIZE-",P1415))))</f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s="18" t="str">
        <v/>
      </c>
      <c r="O1415" s="15" t="str" cm="1">
        <f t="array" ref="O1415">IFERROR(_xlfn.LET(
_xlpm.clean,TRIM(SUBSTITUTE(SUBSTITUTE(P1415,CHAR(160),"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5" t="str">
        <f t="shared" si="22"/>
        <v/>
      </c>
    </row>
    <row r="1416" spans="3:19" ht="15.75" customHeight="1">
      <c r="C1416" s="15" t="str" cm="1">
        <f t="array" ref="C1416">IFERROR(_xlfn.TEXTJOIN("",TRUE,_xlfn._xlws.FILTER(MID(S1416,_xlfn.SEQUENCE(LEN(S1416)),1),ISNUMBER(SEARCH(MID(S1416,_xlfn.SEQUENCE(LEN(S1416)),1),"ABCDEFGHIJKLMNOPQRSTUVWXYZabcdefghijklmnopqrstuvwxyz0123456789,")))),"")</f>
        <v/>
      </c>
      <c r="G1416" s="20" t="str" cm="1">
        <f t="array" ref="G1416">IF(TRIM(P1416)="","",IF(SUM(COUNTIF(P1416,{"*NLGD*","*FWG*"}))&gt;0,P1416,IF(SUM(COUNTIF(P1416,{"*GL*","*DGB*","*DGI*","*GT*","*CS*","*PWU*","*DBI*","*SWU*"}))=0,P1416,IF(IFERROR(VALUE(SUBSTITUTE(SUBSTITUTE(O1416,"W",""),"""","")),0)&gt;52,P1416&amp;"-OVRSIZE-",P1416))))</f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s="18" t="str">
        <v/>
      </c>
      <c r="O1416" s="15" t="str" cm="1">
        <f t="array" ref="O1416">IFERROR(_xlfn.LET(
_xlpm.clean,TRIM(SUBSTITUTE(SUBSTITUTE(P1416,CHAR(160),"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6" t="str">
        <f t="shared" ref="S1416:S1479" si="23">IF(R1416="","",_xlfn.LET(
_xlpm.x,TRIM(SUBSTITUTE(SUBSTITUTE(SUBSTITUTE(SUBSTITUTE(R1416,":","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417" spans="3:19" ht="15.75" customHeight="1">
      <c r="C1417" s="15" t="str" cm="1">
        <f t="array" ref="C1417">IFERROR(_xlfn.TEXTJOIN("",TRUE,_xlfn._xlws.FILTER(MID(S1417,_xlfn.SEQUENCE(LEN(S1417)),1),ISNUMBER(SEARCH(MID(S1417,_xlfn.SEQUENCE(LEN(S1417)),1),"ABCDEFGHIJKLMNOPQRSTUVWXYZabcdefghijklmnopqrstuvwxyz0123456789,")))),"")</f>
        <v/>
      </c>
      <c r="G1417" s="20" t="str" cm="1">
        <f t="array" ref="G1417">IF(TRIM(P1417)="","",IF(SUM(COUNTIF(P1417,{"*NLGD*","*FWG*"}))&gt;0,P1417,IF(SUM(COUNTIF(P1417,{"*GL*","*DGB*","*DGI*","*GT*","*CS*","*PWU*","*DBI*","*SWU*"}))=0,P1417,IF(IFERROR(VALUE(SUBSTITUTE(SUBSTITUTE(O1417,"W",""),"""","")),0)&gt;52,P1417&amp;"-OVRSIZE-",P1417))))</f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s="18" t="str">
        <v/>
      </c>
      <c r="O1417" s="15" t="str" cm="1">
        <f t="array" ref="O1417">IFERROR(_xlfn.LET(
_xlpm.clean,TRIM(SUBSTITUTE(SUBSTITUTE(P1417,CHAR(160),"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7" t="str">
        <f t="shared" si="23"/>
        <v/>
      </c>
    </row>
    <row r="1418" spans="3:19" ht="15.75" customHeight="1">
      <c r="C1418" s="15" t="str" cm="1">
        <f t="array" ref="C1418">IFERROR(_xlfn.TEXTJOIN("",TRUE,_xlfn._xlws.FILTER(MID(S1418,_xlfn.SEQUENCE(LEN(S1418)),1),ISNUMBER(SEARCH(MID(S1418,_xlfn.SEQUENCE(LEN(S1418)),1),"ABCDEFGHIJKLMNOPQRSTUVWXYZabcdefghijklmnopqrstuvwxyz0123456789,")))),"")</f>
        <v/>
      </c>
      <c r="G1418" s="20" t="str" cm="1">
        <f t="array" ref="G1418">IF(TRIM(P1418)="","",IF(SUM(COUNTIF(P1418,{"*NLGD*","*FWG*"}))&gt;0,P1418,IF(SUM(COUNTIF(P1418,{"*GL*","*DGB*","*DGI*","*GT*","*CS*","*PWU*","*DBI*","*SWU*"}))=0,P1418,IF(IFERROR(VALUE(SUBSTITUTE(SUBSTITUTE(O1418,"W",""),"""","")),0)&gt;52,P1418&amp;"-OVRSIZE-",P1418))))</f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s="18" t="str">
        <v/>
      </c>
      <c r="O1418" s="15" t="str" cm="1">
        <f t="array" ref="O1418">IFERROR(_xlfn.LET(
_xlpm.clean,TRIM(SUBSTITUTE(SUBSTITUTE(P1418,CHAR(160),"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8" t="str">
        <f t="shared" si="23"/>
        <v/>
      </c>
    </row>
    <row r="1419" spans="3:19" ht="15.75" customHeight="1">
      <c r="C1419" s="15" t="str" cm="1">
        <f t="array" ref="C1419">IFERROR(_xlfn.TEXTJOIN("",TRUE,_xlfn._xlws.FILTER(MID(S1419,_xlfn.SEQUENCE(LEN(S1419)),1),ISNUMBER(SEARCH(MID(S1419,_xlfn.SEQUENCE(LEN(S1419)),1),"ABCDEFGHIJKLMNOPQRSTUVWXYZabcdefghijklmnopqrstuvwxyz0123456789,")))),"")</f>
        <v/>
      </c>
      <c r="G1419" s="20" t="str" cm="1">
        <f t="array" ref="G1419">IF(TRIM(P1419)="","",IF(SUM(COUNTIF(P1419,{"*NLGD*","*FWG*"}))&gt;0,P1419,IF(SUM(COUNTIF(P1419,{"*GL*","*DGB*","*DGI*","*GT*","*CS*","*PWU*","*DBI*","*SWU*"}))=0,P1419,IF(IFERROR(VALUE(SUBSTITUTE(SUBSTITUTE(O1419,"W",""),"""","")),0)&gt;52,P1419&amp;"-OVRSIZE-",P1419))))</f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s="18" t="str">
        <v/>
      </c>
      <c r="O1419" s="15" t="str" cm="1">
        <f t="array" ref="O1419">IFERROR(_xlfn.LET(
_xlpm.clean,TRIM(SUBSTITUTE(SUBSTITUTE(P1419,CHAR(160),"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9" t="str">
        <f t="shared" si="23"/>
        <v/>
      </c>
    </row>
    <row r="1420" spans="3:19" ht="15.75" customHeight="1">
      <c r="C1420" s="15" t="str" cm="1">
        <f t="array" ref="C1420">IFERROR(_xlfn.TEXTJOIN("",TRUE,_xlfn._xlws.FILTER(MID(S1420,_xlfn.SEQUENCE(LEN(S1420)),1),ISNUMBER(SEARCH(MID(S1420,_xlfn.SEQUENCE(LEN(S1420)),1),"ABCDEFGHIJKLMNOPQRSTUVWXYZabcdefghijklmnopqrstuvwxyz0123456789,")))),"")</f>
        <v/>
      </c>
      <c r="G1420" s="20" t="str" cm="1">
        <f t="array" ref="G1420">IF(TRIM(P1420)="","",IF(SUM(COUNTIF(P1420,{"*NLGD*","*FWG*"}))&gt;0,P1420,IF(SUM(COUNTIF(P1420,{"*GL*","*DGB*","*DGI*","*GT*","*CS*","*PWU*","*DBI*","*SWU*"}))=0,P1420,IF(IFERROR(VALUE(SUBSTITUTE(SUBSTITUTE(O1420,"W",""),"""","")),0)&gt;52,P1420&amp;"-OVRSIZE-",P1420))))</f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s="18" t="str">
        <v/>
      </c>
      <c r="O1420" s="15" t="str" cm="1">
        <f t="array" ref="O1420">IFERROR(_xlfn.LET(
_xlpm.clean,TRIM(SUBSTITUTE(SUBSTITUTE(P1420,CHAR(160),"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0" t="str">
        <f t="shared" si="23"/>
        <v/>
      </c>
    </row>
    <row r="1421" spans="3:19" ht="15.75" customHeight="1">
      <c r="C1421" s="15" t="str" cm="1">
        <f t="array" ref="C1421">IFERROR(_xlfn.TEXTJOIN("",TRUE,_xlfn._xlws.FILTER(MID(S1421,_xlfn.SEQUENCE(LEN(S1421)),1),ISNUMBER(SEARCH(MID(S1421,_xlfn.SEQUENCE(LEN(S1421)),1),"ABCDEFGHIJKLMNOPQRSTUVWXYZabcdefghijklmnopqrstuvwxyz0123456789,")))),"")</f>
        <v/>
      </c>
      <c r="G1421" s="20" t="str" cm="1">
        <f t="array" ref="G1421">IF(TRIM(P1421)="","",IF(SUM(COUNTIF(P1421,{"*NLGD*","*FWG*"}))&gt;0,P1421,IF(SUM(COUNTIF(P1421,{"*GL*","*DGB*","*DGI*","*GT*","*CS*","*PWU*","*DBI*","*SWU*"}))=0,P1421,IF(IFERROR(VALUE(SUBSTITUTE(SUBSTITUTE(O1421,"W",""),"""","")),0)&gt;52,P1421&amp;"-OVRSIZE-",P1421))))</f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s="18" t="str">
        <v/>
      </c>
      <c r="O1421" s="15" t="str" cm="1">
        <f t="array" ref="O1421">IFERROR(_xlfn.LET(
_xlpm.clean,TRIM(SUBSTITUTE(SUBSTITUTE(P1421,CHAR(160),"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1" t="str">
        <f t="shared" si="23"/>
        <v/>
      </c>
    </row>
    <row r="1422" spans="3:19" ht="15.75" customHeight="1">
      <c r="C1422" s="15" t="str" cm="1">
        <f t="array" ref="C1422">IFERROR(_xlfn.TEXTJOIN("",TRUE,_xlfn._xlws.FILTER(MID(S1422,_xlfn.SEQUENCE(LEN(S1422)),1),ISNUMBER(SEARCH(MID(S1422,_xlfn.SEQUENCE(LEN(S1422)),1),"ABCDEFGHIJKLMNOPQRSTUVWXYZabcdefghijklmnopqrstuvwxyz0123456789,")))),"")</f>
        <v/>
      </c>
      <c r="G1422" s="20" t="str" cm="1">
        <f t="array" ref="G1422">IF(TRIM(P1422)="","",IF(SUM(COUNTIF(P1422,{"*NLGD*","*FWG*"}))&gt;0,P1422,IF(SUM(COUNTIF(P1422,{"*GL*","*DGB*","*DGI*","*GT*","*CS*","*PWU*","*DBI*","*SWU*"}))=0,P1422,IF(IFERROR(VALUE(SUBSTITUTE(SUBSTITUTE(O1422,"W",""),"""","")),0)&gt;52,P1422&amp;"-OVRSIZE-",P1422))))</f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s="18" t="str">
        <v/>
      </c>
      <c r="O1422" s="15" t="str" cm="1">
        <f t="array" ref="O1422">IFERROR(_xlfn.LET(
_xlpm.clean,TRIM(SUBSTITUTE(SUBSTITUTE(P1422,CHAR(160),"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2" t="str">
        <f t="shared" si="23"/>
        <v/>
      </c>
    </row>
    <row r="1423" spans="3:19" ht="15.75" customHeight="1">
      <c r="C1423" s="15" t="str" cm="1">
        <f t="array" ref="C1423">IFERROR(_xlfn.TEXTJOIN("",TRUE,_xlfn._xlws.FILTER(MID(S1423,_xlfn.SEQUENCE(LEN(S1423)),1),ISNUMBER(SEARCH(MID(S1423,_xlfn.SEQUENCE(LEN(S1423)),1),"ABCDEFGHIJKLMNOPQRSTUVWXYZabcdefghijklmnopqrstuvwxyz0123456789,")))),"")</f>
        <v/>
      </c>
      <c r="G1423" s="20" t="str" cm="1">
        <f t="array" ref="G1423">IF(TRIM(P1423)="","",IF(SUM(COUNTIF(P1423,{"*NLGD*","*FWG*"}))&gt;0,P1423,IF(SUM(COUNTIF(P1423,{"*GL*","*DGB*","*DGI*","*GT*","*CS*","*PWU*","*DBI*","*SWU*"}))=0,P1423,IF(IFERROR(VALUE(SUBSTITUTE(SUBSTITUTE(O1423,"W",""),"""","")),0)&gt;52,P1423&amp;"-OVRSIZE-",P1423))))</f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s="18" t="str">
        <v/>
      </c>
      <c r="O1423" s="15" t="str" cm="1">
        <f t="array" ref="O1423">IFERROR(_xlfn.LET(
_xlpm.clean,TRIM(SUBSTITUTE(SUBSTITUTE(P1423,CHAR(160),"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3" t="str">
        <f t="shared" si="23"/>
        <v/>
      </c>
    </row>
    <row r="1424" spans="3:19" ht="15.75" customHeight="1">
      <c r="C1424" s="15" t="str" cm="1">
        <f t="array" ref="C1424">IFERROR(_xlfn.TEXTJOIN("",TRUE,_xlfn._xlws.FILTER(MID(S1424,_xlfn.SEQUENCE(LEN(S1424)),1),ISNUMBER(SEARCH(MID(S1424,_xlfn.SEQUENCE(LEN(S1424)),1),"ABCDEFGHIJKLMNOPQRSTUVWXYZabcdefghijklmnopqrstuvwxyz0123456789,")))),"")</f>
        <v/>
      </c>
      <c r="G1424" s="20" t="str" cm="1">
        <f t="array" ref="G1424">IF(TRIM(P1424)="","",IF(SUM(COUNTIF(P1424,{"*NLGD*","*FWG*"}))&gt;0,P1424,IF(SUM(COUNTIF(P1424,{"*GL*","*DGB*","*DGI*","*GT*","*CS*","*PWU*","*DBI*","*SWU*"}))=0,P1424,IF(IFERROR(VALUE(SUBSTITUTE(SUBSTITUTE(O1424,"W",""),"""","")),0)&gt;52,P1424&amp;"-OVRSIZE-",P1424))))</f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s="18" t="str">
        <v/>
      </c>
      <c r="O1424" s="15" t="str" cm="1">
        <f t="array" ref="O1424">IFERROR(_xlfn.LET(
_xlpm.clean,TRIM(SUBSTITUTE(SUBSTITUTE(P1424,CHAR(160),"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4" t="str">
        <f t="shared" si="23"/>
        <v/>
      </c>
    </row>
    <row r="1425" spans="3:19" ht="15.75" customHeight="1">
      <c r="C1425" s="15" t="str" cm="1">
        <f t="array" ref="C1425">IFERROR(_xlfn.TEXTJOIN("",TRUE,_xlfn._xlws.FILTER(MID(S1425,_xlfn.SEQUENCE(LEN(S1425)),1),ISNUMBER(SEARCH(MID(S1425,_xlfn.SEQUENCE(LEN(S1425)),1),"ABCDEFGHIJKLMNOPQRSTUVWXYZabcdefghijklmnopqrstuvwxyz0123456789,")))),"")</f>
        <v/>
      </c>
      <c r="G1425" s="20" t="str" cm="1">
        <f t="array" ref="G1425">IF(TRIM(P1425)="","",IF(SUM(COUNTIF(P1425,{"*NLGD*","*FWG*"}))&gt;0,P1425,IF(SUM(COUNTIF(P1425,{"*GL*","*DGB*","*DGI*","*GT*","*CS*","*PWU*","*DBI*","*SWU*"}))=0,P1425,IF(IFERROR(VALUE(SUBSTITUTE(SUBSTITUTE(O1425,"W",""),"""","")),0)&gt;52,P1425&amp;"-OVRSIZE-",P1425))))</f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s="18" t="str">
        <v/>
      </c>
      <c r="O1425" s="15" t="str" cm="1">
        <f t="array" ref="O1425">IFERROR(_xlfn.LET(
_xlpm.clean,TRIM(SUBSTITUTE(SUBSTITUTE(P1425,CHAR(160),"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5" t="str">
        <f t="shared" si="23"/>
        <v/>
      </c>
    </row>
    <row r="1426" spans="3:19" ht="15.75" customHeight="1">
      <c r="C1426" s="15" t="str" cm="1">
        <f t="array" ref="C1426">IFERROR(_xlfn.TEXTJOIN("",TRUE,_xlfn._xlws.FILTER(MID(S1426,_xlfn.SEQUENCE(LEN(S1426)),1),ISNUMBER(SEARCH(MID(S1426,_xlfn.SEQUENCE(LEN(S1426)),1),"ABCDEFGHIJKLMNOPQRSTUVWXYZabcdefghijklmnopqrstuvwxyz0123456789,")))),"")</f>
        <v/>
      </c>
      <c r="G1426" s="20" t="str" cm="1">
        <f t="array" ref="G1426">IF(TRIM(P1426)="","",IF(SUM(COUNTIF(P1426,{"*NLGD*","*FWG*"}))&gt;0,P1426,IF(SUM(COUNTIF(P1426,{"*GL*","*DGB*","*DGI*","*GT*","*CS*","*PWU*","*DBI*","*SWU*"}))=0,P1426,IF(IFERROR(VALUE(SUBSTITUTE(SUBSTITUTE(O1426,"W",""),"""","")),0)&gt;52,P1426&amp;"-OVRSIZE-",P1426))))</f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s="18" t="str">
        <v/>
      </c>
      <c r="O1426" s="15" t="str" cm="1">
        <f t="array" ref="O1426">IFERROR(_xlfn.LET(
_xlpm.clean,TRIM(SUBSTITUTE(SUBSTITUTE(P1426,CHAR(160),"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6" t="str">
        <f t="shared" si="23"/>
        <v/>
      </c>
    </row>
    <row r="1427" spans="3:19" ht="15.75" customHeight="1">
      <c r="C1427" s="15" t="str" cm="1">
        <f t="array" ref="C1427">IFERROR(_xlfn.TEXTJOIN("",TRUE,_xlfn._xlws.FILTER(MID(S1427,_xlfn.SEQUENCE(LEN(S1427)),1),ISNUMBER(SEARCH(MID(S1427,_xlfn.SEQUENCE(LEN(S1427)),1),"ABCDEFGHIJKLMNOPQRSTUVWXYZabcdefghijklmnopqrstuvwxyz0123456789,")))),"")</f>
        <v/>
      </c>
      <c r="G1427" s="20" t="str" cm="1">
        <f t="array" ref="G1427">IF(TRIM(P1427)="","",IF(SUM(COUNTIF(P1427,{"*NLGD*","*FWG*"}))&gt;0,P1427,IF(SUM(COUNTIF(P1427,{"*GL*","*DGB*","*DGI*","*GT*","*CS*","*PWU*","*DBI*","*SWU*"}))=0,P1427,IF(IFERROR(VALUE(SUBSTITUTE(SUBSTITUTE(O1427,"W",""),"""","")),0)&gt;52,P1427&amp;"-OVRSIZE-",P1427))))</f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s="18" t="str">
        <v/>
      </c>
      <c r="O1427" s="15" t="str" cm="1">
        <f t="array" ref="O1427">IFERROR(_xlfn.LET(
_xlpm.clean,TRIM(SUBSTITUTE(SUBSTITUTE(P1427,CHAR(160),"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7" t="str">
        <f t="shared" si="23"/>
        <v/>
      </c>
    </row>
    <row r="1428" spans="3:19" ht="15.75" customHeight="1">
      <c r="C1428" s="15" t="str" cm="1">
        <f t="array" ref="C1428">IFERROR(_xlfn.TEXTJOIN("",TRUE,_xlfn._xlws.FILTER(MID(S1428,_xlfn.SEQUENCE(LEN(S1428)),1),ISNUMBER(SEARCH(MID(S1428,_xlfn.SEQUENCE(LEN(S1428)),1),"ABCDEFGHIJKLMNOPQRSTUVWXYZabcdefghijklmnopqrstuvwxyz0123456789,")))),"")</f>
        <v/>
      </c>
      <c r="G1428" s="20" t="str" cm="1">
        <f t="array" ref="G1428">IF(TRIM(P1428)="","",IF(SUM(COUNTIF(P1428,{"*NLGD*","*FWG*"}))&gt;0,P1428,IF(SUM(COUNTIF(P1428,{"*GL*","*DGB*","*DGI*","*GT*","*CS*","*PWU*","*DBI*","*SWU*"}))=0,P1428,IF(IFERROR(VALUE(SUBSTITUTE(SUBSTITUTE(O1428,"W",""),"""","")),0)&gt;52,P1428&amp;"-OVRSIZE-",P1428))))</f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s="18" t="str">
        <v/>
      </c>
      <c r="O1428" s="15" t="str" cm="1">
        <f t="array" ref="O1428">IFERROR(_xlfn.LET(
_xlpm.clean,TRIM(SUBSTITUTE(SUBSTITUTE(P1428,CHAR(160),"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8" t="str">
        <f t="shared" si="23"/>
        <v/>
      </c>
    </row>
    <row r="1429" spans="3:19" ht="15.75" customHeight="1">
      <c r="C1429" s="15" t="str" cm="1">
        <f t="array" ref="C1429">IFERROR(_xlfn.TEXTJOIN("",TRUE,_xlfn._xlws.FILTER(MID(S1429,_xlfn.SEQUENCE(LEN(S1429)),1),ISNUMBER(SEARCH(MID(S1429,_xlfn.SEQUENCE(LEN(S1429)),1),"ABCDEFGHIJKLMNOPQRSTUVWXYZabcdefghijklmnopqrstuvwxyz0123456789,")))),"")</f>
        <v/>
      </c>
      <c r="G1429" s="20" t="str" cm="1">
        <f t="array" ref="G1429">IF(TRIM(P1429)="","",IF(SUM(COUNTIF(P1429,{"*NLGD*","*FWG*"}))&gt;0,P1429,IF(SUM(COUNTIF(P1429,{"*GL*","*DGB*","*DGI*","*GT*","*CS*","*PWU*","*DBI*","*SWU*"}))=0,P1429,IF(IFERROR(VALUE(SUBSTITUTE(SUBSTITUTE(O1429,"W",""),"""","")),0)&gt;52,P1429&amp;"-OVRSIZE-",P1429))))</f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s="18" t="str">
        <v/>
      </c>
      <c r="O1429" s="15" t="str" cm="1">
        <f t="array" ref="O1429">IFERROR(_xlfn.LET(
_xlpm.clean,TRIM(SUBSTITUTE(SUBSTITUTE(P1429,CHAR(160),"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9" t="str">
        <f t="shared" si="23"/>
        <v/>
      </c>
    </row>
    <row r="1430" spans="3:19" ht="15.75" customHeight="1">
      <c r="C1430" s="15" t="str" cm="1">
        <f t="array" ref="C1430">IFERROR(_xlfn.TEXTJOIN("",TRUE,_xlfn._xlws.FILTER(MID(S1430,_xlfn.SEQUENCE(LEN(S1430)),1),ISNUMBER(SEARCH(MID(S1430,_xlfn.SEQUENCE(LEN(S1430)),1),"ABCDEFGHIJKLMNOPQRSTUVWXYZabcdefghijklmnopqrstuvwxyz0123456789,")))),"")</f>
        <v/>
      </c>
      <c r="G1430" s="20" t="str" cm="1">
        <f t="array" ref="G1430">IF(TRIM(P1430)="","",IF(SUM(COUNTIF(P1430,{"*NLGD*","*FWG*"}))&gt;0,P1430,IF(SUM(COUNTIF(P1430,{"*GL*","*DGB*","*DGI*","*GT*","*CS*","*PWU*","*DBI*","*SWU*"}))=0,P1430,IF(IFERROR(VALUE(SUBSTITUTE(SUBSTITUTE(O1430,"W",""),"""","")),0)&gt;52,P1430&amp;"-OVRSIZE-",P1430))))</f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s="18" t="str">
        <v/>
      </c>
      <c r="O1430" s="15" t="str" cm="1">
        <f t="array" ref="O1430">IFERROR(_xlfn.LET(
_xlpm.clean,TRIM(SUBSTITUTE(SUBSTITUTE(P1430,CHAR(160),"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0" t="str">
        <f t="shared" si="23"/>
        <v/>
      </c>
    </row>
    <row r="1431" spans="3:19" ht="15.75" customHeight="1">
      <c r="C1431" s="15" t="str" cm="1">
        <f t="array" ref="C1431">IFERROR(_xlfn.TEXTJOIN("",TRUE,_xlfn._xlws.FILTER(MID(S1431,_xlfn.SEQUENCE(LEN(S1431)),1),ISNUMBER(SEARCH(MID(S1431,_xlfn.SEQUENCE(LEN(S1431)),1),"ABCDEFGHIJKLMNOPQRSTUVWXYZabcdefghijklmnopqrstuvwxyz0123456789,")))),"")</f>
        <v/>
      </c>
      <c r="G1431" s="20" t="str" cm="1">
        <f t="array" ref="G1431">IF(TRIM(P1431)="","",IF(SUM(COUNTIF(P1431,{"*NLGD*","*FWG*"}))&gt;0,P1431,IF(SUM(COUNTIF(P1431,{"*GL*","*DGB*","*DGI*","*GT*","*CS*","*PWU*","*DBI*","*SWU*"}))=0,P1431,IF(IFERROR(VALUE(SUBSTITUTE(SUBSTITUTE(O1431,"W",""),"""","")),0)&gt;52,P1431&amp;"-OVRSIZE-",P1431))))</f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s="18" t="str">
        <v/>
      </c>
      <c r="O1431" s="15" t="str" cm="1">
        <f t="array" ref="O1431">IFERROR(_xlfn.LET(
_xlpm.clean,TRIM(SUBSTITUTE(SUBSTITUTE(P1431,CHAR(160),"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1" t="str">
        <f t="shared" si="23"/>
        <v/>
      </c>
    </row>
    <row r="1432" spans="3:19" ht="15.75" customHeight="1">
      <c r="C1432" s="15" t="str" cm="1">
        <f t="array" ref="C1432">IFERROR(_xlfn.TEXTJOIN("",TRUE,_xlfn._xlws.FILTER(MID(S1432,_xlfn.SEQUENCE(LEN(S1432)),1),ISNUMBER(SEARCH(MID(S1432,_xlfn.SEQUENCE(LEN(S1432)),1),"ABCDEFGHIJKLMNOPQRSTUVWXYZabcdefghijklmnopqrstuvwxyz0123456789,")))),"")</f>
        <v/>
      </c>
      <c r="G1432" s="20" t="str" cm="1">
        <f t="array" ref="G1432">IF(TRIM(P1432)="","",IF(SUM(COUNTIF(P1432,{"*NLGD*","*FWG*"}))&gt;0,P1432,IF(SUM(COUNTIF(P1432,{"*GL*","*DGB*","*DGI*","*GT*","*CS*","*PWU*","*DBI*","*SWU*"}))=0,P1432,IF(IFERROR(VALUE(SUBSTITUTE(SUBSTITUTE(O1432,"W",""),"""","")),0)&gt;52,P1432&amp;"-OVRSIZE-",P1432))))</f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s="18" t="str">
        <v/>
      </c>
      <c r="O1432" s="15" t="str" cm="1">
        <f t="array" ref="O1432">IFERROR(_xlfn.LET(
_xlpm.clean,TRIM(SUBSTITUTE(SUBSTITUTE(P1432,CHAR(160),"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2" t="str">
        <f t="shared" si="23"/>
        <v/>
      </c>
    </row>
    <row r="1433" spans="3:19" ht="15.75" customHeight="1">
      <c r="C1433" s="15" t="str" cm="1">
        <f t="array" ref="C1433">IFERROR(_xlfn.TEXTJOIN("",TRUE,_xlfn._xlws.FILTER(MID(S1433,_xlfn.SEQUENCE(LEN(S1433)),1),ISNUMBER(SEARCH(MID(S1433,_xlfn.SEQUENCE(LEN(S1433)),1),"ABCDEFGHIJKLMNOPQRSTUVWXYZabcdefghijklmnopqrstuvwxyz0123456789,")))),"")</f>
        <v/>
      </c>
      <c r="G1433" s="20" t="str" cm="1">
        <f t="array" ref="G1433">IF(TRIM(P1433)="","",IF(SUM(COUNTIF(P1433,{"*NLGD*","*FWG*"}))&gt;0,P1433,IF(SUM(COUNTIF(P1433,{"*GL*","*DGB*","*DGI*","*GT*","*CS*","*PWU*","*DBI*","*SWU*"}))=0,P1433,IF(IFERROR(VALUE(SUBSTITUTE(SUBSTITUTE(O1433,"W",""),"""","")),0)&gt;52,P1433&amp;"-OVRSIZE-",P1433))))</f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s="18" t="str">
        <v/>
      </c>
      <c r="O1433" s="15" t="str" cm="1">
        <f t="array" ref="O1433">IFERROR(_xlfn.LET(
_xlpm.clean,TRIM(SUBSTITUTE(SUBSTITUTE(P1433,CHAR(160),"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3" t="str">
        <f t="shared" si="23"/>
        <v/>
      </c>
    </row>
    <row r="1434" spans="3:19" ht="15.75" customHeight="1">
      <c r="C1434" s="15" t="str" cm="1">
        <f t="array" ref="C1434">IFERROR(_xlfn.TEXTJOIN("",TRUE,_xlfn._xlws.FILTER(MID(S1434,_xlfn.SEQUENCE(LEN(S1434)),1),ISNUMBER(SEARCH(MID(S1434,_xlfn.SEQUENCE(LEN(S1434)),1),"ABCDEFGHIJKLMNOPQRSTUVWXYZabcdefghijklmnopqrstuvwxyz0123456789,")))),"")</f>
        <v/>
      </c>
      <c r="G1434" s="20" t="str" cm="1">
        <f t="array" ref="G1434">IF(TRIM(P1434)="","",IF(SUM(COUNTIF(P1434,{"*NLGD*","*FWG*"}))&gt;0,P1434,IF(SUM(COUNTIF(P1434,{"*GL*","*DGB*","*DGI*","*GT*","*CS*","*PWU*","*DBI*","*SWU*"}))=0,P1434,IF(IFERROR(VALUE(SUBSTITUTE(SUBSTITUTE(O1434,"W",""),"""","")),0)&gt;52,P1434&amp;"-OVRSIZE-",P1434))))</f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s="18" t="str">
        <v/>
      </c>
      <c r="O1434" s="15" t="str" cm="1">
        <f t="array" ref="O1434">IFERROR(_xlfn.LET(
_xlpm.clean,TRIM(SUBSTITUTE(SUBSTITUTE(P1434,CHAR(160),"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4" t="str">
        <f t="shared" si="23"/>
        <v/>
      </c>
    </row>
    <row r="1435" spans="3:19" ht="15.75" customHeight="1">
      <c r="C1435" s="15" t="str" cm="1">
        <f t="array" ref="C1435">IFERROR(_xlfn.TEXTJOIN("",TRUE,_xlfn._xlws.FILTER(MID(S1435,_xlfn.SEQUENCE(LEN(S1435)),1),ISNUMBER(SEARCH(MID(S1435,_xlfn.SEQUENCE(LEN(S1435)),1),"ABCDEFGHIJKLMNOPQRSTUVWXYZabcdefghijklmnopqrstuvwxyz0123456789,")))),"")</f>
        <v/>
      </c>
      <c r="G1435" s="20" t="str" cm="1">
        <f t="array" ref="G1435">IF(TRIM(P1435)="","",IF(SUM(COUNTIF(P1435,{"*NLGD*","*FWG*"}))&gt;0,P1435,IF(SUM(COUNTIF(P1435,{"*GL*","*DGB*","*DGI*","*GT*","*CS*","*PWU*","*DBI*","*SWU*"}))=0,P1435,IF(IFERROR(VALUE(SUBSTITUTE(SUBSTITUTE(O1435,"W",""),"""","")),0)&gt;52,P1435&amp;"-OVRSIZE-",P1435))))</f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s="18" t="str">
        <v/>
      </c>
      <c r="O1435" s="15" t="str" cm="1">
        <f t="array" ref="O1435">IFERROR(_xlfn.LET(
_xlpm.clean,TRIM(SUBSTITUTE(SUBSTITUTE(P1435,CHAR(160),"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5" t="str">
        <f t="shared" si="23"/>
        <v/>
      </c>
    </row>
    <row r="1436" spans="3:19" ht="15.75" customHeight="1">
      <c r="C1436" s="15" t="str" cm="1">
        <f t="array" ref="C1436">IFERROR(_xlfn.TEXTJOIN("",TRUE,_xlfn._xlws.FILTER(MID(S1436,_xlfn.SEQUENCE(LEN(S1436)),1),ISNUMBER(SEARCH(MID(S1436,_xlfn.SEQUENCE(LEN(S1436)),1),"ABCDEFGHIJKLMNOPQRSTUVWXYZabcdefghijklmnopqrstuvwxyz0123456789,")))),"")</f>
        <v/>
      </c>
      <c r="G1436" s="20" t="str" cm="1">
        <f t="array" ref="G1436">IF(TRIM(P1436)="","",IF(SUM(COUNTIF(P1436,{"*NLGD*","*FWG*"}))&gt;0,P1436,IF(SUM(COUNTIF(P1436,{"*GL*","*DGB*","*DGI*","*GT*","*CS*","*PWU*","*DBI*","*SWU*"}))=0,P1436,IF(IFERROR(VALUE(SUBSTITUTE(SUBSTITUTE(O1436,"W",""),"""","")),0)&gt;52,P1436&amp;"-OVRSIZE-",P1436))))</f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s="18" t="str">
        <v/>
      </c>
      <c r="O1436" s="15" t="str" cm="1">
        <f t="array" ref="O1436">IFERROR(_xlfn.LET(
_xlpm.clean,TRIM(SUBSTITUTE(SUBSTITUTE(P1436,CHAR(160),"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6" t="str">
        <f t="shared" si="23"/>
        <v/>
      </c>
    </row>
    <row r="1437" spans="3:19" ht="15.75" customHeight="1">
      <c r="C1437" s="15" t="str" cm="1">
        <f t="array" ref="C1437">IFERROR(_xlfn.TEXTJOIN("",TRUE,_xlfn._xlws.FILTER(MID(S1437,_xlfn.SEQUENCE(LEN(S1437)),1),ISNUMBER(SEARCH(MID(S1437,_xlfn.SEQUENCE(LEN(S1437)),1),"ABCDEFGHIJKLMNOPQRSTUVWXYZabcdefghijklmnopqrstuvwxyz0123456789,")))),"")</f>
        <v/>
      </c>
      <c r="G1437" s="20" t="str" cm="1">
        <f t="array" ref="G1437">IF(TRIM(P1437)="","",IF(SUM(COUNTIF(P1437,{"*NLGD*","*FWG*"}))&gt;0,P1437,IF(SUM(COUNTIF(P1437,{"*GL*","*DGB*","*DGI*","*GT*","*CS*","*PWU*","*DBI*","*SWU*"}))=0,P1437,IF(IFERROR(VALUE(SUBSTITUTE(SUBSTITUTE(O1437,"W",""),"""","")),0)&gt;52,P1437&amp;"-OVRSIZE-",P1437))))</f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s="18" t="str">
        <v/>
      </c>
      <c r="O1437" s="15" t="str" cm="1">
        <f t="array" ref="O1437">IFERROR(_xlfn.LET(
_xlpm.clean,TRIM(SUBSTITUTE(SUBSTITUTE(P1437,CHAR(160),"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7" t="str">
        <f t="shared" si="23"/>
        <v/>
      </c>
    </row>
    <row r="1438" spans="3:19" ht="15.75" customHeight="1">
      <c r="C1438" s="15" t="str" cm="1">
        <f t="array" ref="C1438">IFERROR(_xlfn.TEXTJOIN("",TRUE,_xlfn._xlws.FILTER(MID(S1438,_xlfn.SEQUENCE(LEN(S1438)),1),ISNUMBER(SEARCH(MID(S1438,_xlfn.SEQUENCE(LEN(S1438)),1),"ABCDEFGHIJKLMNOPQRSTUVWXYZabcdefghijklmnopqrstuvwxyz0123456789,")))),"")</f>
        <v/>
      </c>
      <c r="G1438" s="20" t="str" cm="1">
        <f t="array" ref="G1438">IF(TRIM(P1438)="","",IF(SUM(COUNTIF(P1438,{"*NLGD*","*FWG*"}))&gt;0,P1438,IF(SUM(COUNTIF(P1438,{"*GL*","*DGB*","*DGI*","*GT*","*CS*","*PWU*","*DBI*","*SWU*"}))=0,P1438,IF(IFERROR(VALUE(SUBSTITUTE(SUBSTITUTE(O1438,"W",""),"""","")),0)&gt;52,P1438&amp;"-OVRSIZE-",P1438))))</f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s="18" t="str">
        <v/>
      </c>
      <c r="O1438" s="15" t="str" cm="1">
        <f t="array" ref="O1438">IFERROR(_xlfn.LET(
_xlpm.clean,TRIM(SUBSTITUTE(SUBSTITUTE(P1438,CHAR(160),"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8" t="str">
        <f t="shared" si="23"/>
        <v/>
      </c>
    </row>
    <row r="1439" spans="3:19" ht="15.75" customHeight="1">
      <c r="C1439" s="15" t="str" cm="1">
        <f t="array" ref="C1439">IFERROR(_xlfn.TEXTJOIN("",TRUE,_xlfn._xlws.FILTER(MID(S1439,_xlfn.SEQUENCE(LEN(S1439)),1),ISNUMBER(SEARCH(MID(S1439,_xlfn.SEQUENCE(LEN(S1439)),1),"ABCDEFGHIJKLMNOPQRSTUVWXYZabcdefghijklmnopqrstuvwxyz0123456789,")))),"")</f>
        <v/>
      </c>
      <c r="G1439" s="20" t="str" cm="1">
        <f t="array" ref="G1439">IF(TRIM(P1439)="","",IF(SUM(COUNTIF(P1439,{"*NLGD*","*FWG*"}))&gt;0,P1439,IF(SUM(COUNTIF(P1439,{"*GL*","*DGB*","*DGI*","*GT*","*CS*","*PWU*","*DBI*","*SWU*"}))=0,P1439,IF(IFERROR(VALUE(SUBSTITUTE(SUBSTITUTE(O1439,"W",""),"""","")),0)&gt;52,P1439&amp;"-OVRSIZE-",P1439))))</f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s="18" t="str">
        <v/>
      </c>
      <c r="O1439" s="15" t="str" cm="1">
        <f t="array" ref="O1439">IFERROR(_xlfn.LET(
_xlpm.clean,TRIM(SUBSTITUTE(SUBSTITUTE(P1439,CHAR(160),"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9" t="str">
        <f t="shared" si="23"/>
        <v/>
      </c>
    </row>
    <row r="1440" spans="3:19" ht="15.75" customHeight="1">
      <c r="C1440" s="15" t="str" cm="1">
        <f t="array" ref="C1440">IFERROR(_xlfn.TEXTJOIN("",TRUE,_xlfn._xlws.FILTER(MID(S1440,_xlfn.SEQUENCE(LEN(S1440)),1),ISNUMBER(SEARCH(MID(S1440,_xlfn.SEQUENCE(LEN(S1440)),1),"ABCDEFGHIJKLMNOPQRSTUVWXYZabcdefghijklmnopqrstuvwxyz0123456789,")))),"")</f>
        <v/>
      </c>
      <c r="G1440" s="20" t="str" cm="1">
        <f t="array" ref="G1440">IF(TRIM(P1440)="","",IF(SUM(COUNTIF(P1440,{"*NLGD*","*FWG*"}))&gt;0,P1440,IF(SUM(COUNTIF(P1440,{"*GL*","*DGB*","*DGI*","*GT*","*CS*","*PWU*","*DBI*","*SWU*"}))=0,P1440,IF(IFERROR(VALUE(SUBSTITUTE(SUBSTITUTE(O1440,"W",""),"""","")),0)&gt;52,P1440&amp;"-OVRSIZE-",P1440))))</f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s="18" t="str">
        <v/>
      </c>
      <c r="O1440" s="15" t="str" cm="1">
        <f t="array" ref="O1440">IFERROR(_xlfn.LET(
_xlpm.clean,TRIM(SUBSTITUTE(SUBSTITUTE(P1440,CHAR(160),"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0" t="str">
        <f t="shared" si="23"/>
        <v/>
      </c>
    </row>
    <row r="1441" spans="3:19" ht="15.75" customHeight="1">
      <c r="C1441" s="15" t="str" cm="1">
        <f t="array" ref="C1441">IFERROR(_xlfn.TEXTJOIN("",TRUE,_xlfn._xlws.FILTER(MID(S1441,_xlfn.SEQUENCE(LEN(S1441)),1),ISNUMBER(SEARCH(MID(S1441,_xlfn.SEQUENCE(LEN(S1441)),1),"ABCDEFGHIJKLMNOPQRSTUVWXYZabcdefghijklmnopqrstuvwxyz0123456789,")))),"")</f>
        <v/>
      </c>
      <c r="G1441" s="20" t="str" cm="1">
        <f t="array" ref="G1441">IF(TRIM(P1441)="","",IF(SUM(COUNTIF(P1441,{"*NLGD*","*FWG*"}))&gt;0,P1441,IF(SUM(COUNTIF(P1441,{"*GL*","*DGB*","*DGI*","*GT*","*CS*","*PWU*","*DBI*","*SWU*"}))=0,P1441,IF(IFERROR(VALUE(SUBSTITUTE(SUBSTITUTE(O1441,"W",""),"""","")),0)&gt;52,P1441&amp;"-OVRSIZE-",P1441))))</f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s="18" t="str">
        <v/>
      </c>
      <c r="O1441" s="15" t="str" cm="1">
        <f t="array" ref="O1441">IFERROR(_xlfn.LET(
_xlpm.clean,TRIM(SUBSTITUTE(SUBSTITUTE(P1441,CHAR(160),"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1" t="str">
        <f t="shared" si="23"/>
        <v/>
      </c>
    </row>
    <row r="1442" spans="3:19" ht="15.75" customHeight="1">
      <c r="C1442" s="15" t="str" cm="1">
        <f t="array" ref="C1442">IFERROR(_xlfn.TEXTJOIN("",TRUE,_xlfn._xlws.FILTER(MID(S1442,_xlfn.SEQUENCE(LEN(S1442)),1),ISNUMBER(SEARCH(MID(S1442,_xlfn.SEQUENCE(LEN(S1442)),1),"ABCDEFGHIJKLMNOPQRSTUVWXYZabcdefghijklmnopqrstuvwxyz0123456789,")))),"")</f>
        <v/>
      </c>
      <c r="G1442" s="20" t="str" cm="1">
        <f t="array" ref="G1442">IF(TRIM(P1442)="","",IF(SUM(COUNTIF(P1442,{"*NLGD*","*FWG*"}))&gt;0,P1442,IF(SUM(COUNTIF(P1442,{"*GL*","*DGB*","*DGI*","*GT*","*CS*","*PWU*","*DBI*","*SWU*"}))=0,P1442,IF(IFERROR(VALUE(SUBSTITUTE(SUBSTITUTE(O1442,"W",""),"""","")),0)&gt;52,P1442&amp;"-OVRSIZE-",P1442))))</f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s="18" t="str">
        <v/>
      </c>
      <c r="O1442" s="15" t="str" cm="1">
        <f t="array" ref="O1442">IFERROR(_xlfn.LET(
_xlpm.clean,TRIM(SUBSTITUTE(SUBSTITUTE(P1442,CHAR(160),"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2" t="str">
        <f t="shared" si="23"/>
        <v/>
      </c>
    </row>
    <row r="1443" spans="3:19" ht="15.75" customHeight="1">
      <c r="C1443" s="15" t="str" cm="1">
        <f t="array" ref="C1443">IFERROR(_xlfn.TEXTJOIN("",TRUE,_xlfn._xlws.FILTER(MID(S1443,_xlfn.SEQUENCE(LEN(S1443)),1),ISNUMBER(SEARCH(MID(S1443,_xlfn.SEQUENCE(LEN(S1443)),1),"ABCDEFGHIJKLMNOPQRSTUVWXYZabcdefghijklmnopqrstuvwxyz0123456789,")))),"")</f>
        <v/>
      </c>
      <c r="G1443" s="20" t="str" cm="1">
        <f t="array" ref="G1443">IF(TRIM(P1443)="","",IF(SUM(COUNTIF(P1443,{"*NLGD*","*FWG*"}))&gt;0,P1443,IF(SUM(COUNTIF(P1443,{"*GL*","*DGB*","*DGI*","*GT*","*CS*","*PWU*","*DBI*","*SWU*"}))=0,P1443,IF(IFERROR(VALUE(SUBSTITUTE(SUBSTITUTE(O1443,"W",""),"""","")),0)&gt;52,P1443&amp;"-OVRSIZE-",P1443))))</f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s="18" t="str">
        <v/>
      </c>
      <c r="O1443" s="15" t="str" cm="1">
        <f t="array" ref="O1443">IFERROR(_xlfn.LET(
_xlpm.clean,TRIM(SUBSTITUTE(SUBSTITUTE(P1443,CHAR(160),"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3" t="str">
        <f t="shared" si="23"/>
        <v/>
      </c>
    </row>
    <row r="1444" spans="3:19" ht="15.75" customHeight="1">
      <c r="C1444" s="15" t="str" cm="1">
        <f t="array" ref="C1444">IFERROR(_xlfn.TEXTJOIN("",TRUE,_xlfn._xlws.FILTER(MID(S1444,_xlfn.SEQUENCE(LEN(S1444)),1),ISNUMBER(SEARCH(MID(S1444,_xlfn.SEQUENCE(LEN(S1444)),1),"ABCDEFGHIJKLMNOPQRSTUVWXYZabcdefghijklmnopqrstuvwxyz0123456789,")))),"")</f>
        <v/>
      </c>
      <c r="G1444" s="20" t="str" cm="1">
        <f t="array" ref="G1444">IF(TRIM(P1444)="","",IF(SUM(COUNTIF(P1444,{"*NLGD*","*FWG*"}))&gt;0,P1444,IF(SUM(COUNTIF(P1444,{"*GL*","*DGB*","*DGI*","*GT*","*CS*","*PWU*","*DBI*","*SWU*"}))=0,P1444,IF(IFERROR(VALUE(SUBSTITUTE(SUBSTITUTE(O1444,"W",""),"""","")),0)&gt;52,P1444&amp;"-OVRSIZE-",P1444))))</f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s="18" t="str">
        <v/>
      </c>
      <c r="O1444" s="15" t="str" cm="1">
        <f t="array" ref="O1444">IFERROR(_xlfn.LET(
_xlpm.clean,TRIM(SUBSTITUTE(SUBSTITUTE(P1444,CHAR(160),"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4" t="str">
        <f t="shared" si="23"/>
        <v/>
      </c>
    </row>
    <row r="1445" spans="3:19" ht="15.75" customHeight="1">
      <c r="C1445" s="15" t="str" cm="1">
        <f t="array" ref="C1445">IFERROR(_xlfn.TEXTJOIN("",TRUE,_xlfn._xlws.FILTER(MID(S1445,_xlfn.SEQUENCE(LEN(S1445)),1),ISNUMBER(SEARCH(MID(S1445,_xlfn.SEQUENCE(LEN(S1445)),1),"ABCDEFGHIJKLMNOPQRSTUVWXYZabcdefghijklmnopqrstuvwxyz0123456789,")))),"")</f>
        <v/>
      </c>
      <c r="G1445" s="20" t="str" cm="1">
        <f t="array" ref="G1445">IF(TRIM(P1445)="","",IF(SUM(COUNTIF(P1445,{"*NLGD*","*FWG*"}))&gt;0,P1445,IF(SUM(COUNTIF(P1445,{"*GL*","*DGB*","*DGI*","*GT*","*CS*","*PWU*","*DBI*","*SWU*"}))=0,P1445,IF(IFERROR(VALUE(SUBSTITUTE(SUBSTITUTE(O1445,"W",""),"""","")),0)&gt;52,P1445&amp;"-OVRSIZE-",P1445))))</f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s="18" t="str">
        <v/>
      </c>
      <c r="O1445" s="15" t="str" cm="1">
        <f t="array" ref="O1445">IFERROR(_xlfn.LET(
_xlpm.clean,TRIM(SUBSTITUTE(SUBSTITUTE(P1445,CHAR(160),"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5" t="str">
        <f t="shared" si="23"/>
        <v/>
      </c>
    </row>
    <row r="1446" spans="3:19" ht="15.75" customHeight="1">
      <c r="C1446" s="15" t="str" cm="1">
        <f t="array" ref="C1446">IFERROR(_xlfn.TEXTJOIN("",TRUE,_xlfn._xlws.FILTER(MID(S1446,_xlfn.SEQUENCE(LEN(S1446)),1),ISNUMBER(SEARCH(MID(S1446,_xlfn.SEQUENCE(LEN(S1446)),1),"ABCDEFGHIJKLMNOPQRSTUVWXYZabcdefghijklmnopqrstuvwxyz0123456789,")))),"")</f>
        <v/>
      </c>
      <c r="G1446" s="20" t="str" cm="1">
        <f t="array" ref="G1446">IF(TRIM(P1446)="","",IF(SUM(COUNTIF(P1446,{"*NLGD*","*FWG*"}))&gt;0,P1446,IF(SUM(COUNTIF(P1446,{"*GL*","*DGB*","*DGI*","*GT*","*CS*","*PWU*","*DBI*","*SWU*"}))=0,P1446,IF(IFERROR(VALUE(SUBSTITUTE(SUBSTITUTE(O1446,"W",""),"""","")),0)&gt;52,P1446&amp;"-OVRSIZE-",P1446))))</f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s="18" t="str">
        <v/>
      </c>
      <c r="O1446" s="15" t="str" cm="1">
        <f t="array" ref="O1446">IFERROR(_xlfn.LET(
_xlpm.clean,TRIM(SUBSTITUTE(SUBSTITUTE(P1446,CHAR(160),"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6" t="str">
        <f t="shared" si="23"/>
        <v/>
      </c>
    </row>
    <row r="1447" spans="3:19" ht="15.75" customHeight="1">
      <c r="C1447" s="15" t="str" cm="1">
        <f t="array" ref="C1447">IFERROR(_xlfn.TEXTJOIN("",TRUE,_xlfn._xlws.FILTER(MID(S1447,_xlfn.SEQUENCE(LEN(S1447)),1),ISNUMBER(SEARCH(MID(S1447,_xlfn.SEQUENCE(LEN(S1447)),1),"ABCDEFGHIJKLMNOPQRSTUVWXYZabcdefghijklmnopqrstuvwxyz0123456789,")))),"")</f>
        <v/>
      </c>
      <c r="G1447" s="20" t="str" cm="1">
        <f t="array" ref="G1447">IF(TRIM(P1447)="","",IF(SUM(COUNTIF(P1447,{"*NLGD*","*FWG*"}))&gt;0,P1447,IF(SUM(COUNTIF(P1447,{"*GL*","*DGB*","*DGI*","*GT*","*CS*","*PWU*","*DBI*","*SWU*"}))=0,P1447,IF(IFERROR(VALUE(SUBSTITUTE(SUBSTITUTE(O1447,"W",""),"""","")),0)&gt;52,P1447&amp;"-OVRSIZE-",P1447))))</f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s="18" t="str">
        <v/>
      </c>
      <c r="O1447" s="15" t="str" cm="1">
        <f t="array" ref="O1447">IFERROR(_xlfn.LET(
_xlpm.clean,TRIM(SUBSTITUTE(SUBSTITUTE(P1447,CHAR(160),"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7" t="str">
        <f t="shared" si="23"/>
        <v/>
      </c>
    </row>
    <row r="1448" spans="3:19" ht="15.75" customHeight="1">
      <c r="C1448" s="15" t="str" cm="1">
        <f t="array" ref="C1448">IFERROR(_xlfn.TEXTJOIN("",TRUE,_xlfn._xlws.FILTER(MID(S1448,_xlfn.SEQUENCE(LEN(S1448)),1),ISNUMBER(SEARCH(MID(S1448,_xlfn.SEQUENCE(LEN(S1448)),1),"ABCDEFGHIJKLMNOPQRSTUVWXYZabcdefghijklmnopqrstuvwxyz0123456789,")))),"")</f>
        <v/>
      </c>
      <c r="G1448" s="20" t="str" cm="1">
        <f t="array" ref="G1448">IF(TRIM(P1448)="","",IF(SUM(COUNTIF(P1448,{"*NLGD*","*FWG*"}))&gt;0,P1448,IF(SUM(COUNTIF(P1448,{"*GL*","*DGB*","*DGI*","*GT*","*CS*","*PWU*","*DBI*","*SWU*"}))=0,P1448,IF(IFERROR(VALUE(SUBSTITUTE(SUBSTITUTE(O1448,"W",""),"""","")),0)&gt;52,P1448&amp;"-OVRSIZE-",P1448))))</f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s="18" t="str">
        <v/>
      </c>
      <c r="O1448" s="15" t="str" cm="1">
        <f t="array" ref="O1448">IFERROR(_xlfn.LET(
_xlpm.clean,TRIM(SUBSTITUTE(SUBSTITUTE(P1448,CHAR(160),"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8" t="str">
        <f t="shared" si="23"/>
        <v/>
      </c>
    </row>
    <row r="1449" spans="3:19" ht="15.75" customHeight="1">
      <c r="C1449" s="15" t="str" cm="1">
        <f t="array" ref="C1449">IFERROR(_xlfn.TEXTJOIN("",TRUE,_xlfn._xlws.FILTER(MID(S1449,_xlfn.SEQUENCE(LEN(S1449)),1),ISNUMBER(SEARCH(MID(S1449,_xlfn.SEQUENCE(LEN(S1449)),1),"ABCDEFGHIJKLMNOPQRSTUVWXYZabcdefghijklmnopqrstuvwxyz0123456789,")))),"")</f>
        <v/>
      </c>
      <c r="G1449" s="20" t="str" cm="1">
        <f t="array" ref="G1449">IF(TRIM(P1449)="","",IF(SUM(COUNTIF(P1449,{"*NLGD*","*FWG*"}))&gt;0,P1449,IF(SUM(COUNTIF(P1449,{"*GL*","*DGB*","*DGI*","*GT*","*CS*","*PWU*","*DBI*","*SWU*"}))=0,P1449,IF(IFERROR(VALUE(SUBSTITUTE(SUBSTITUTE(O1449,"W",""),"""","")),0)&gt;52,P1449&amp;"-OVRSIZE-",P1449))))</f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s="18" t="str">
        <v/>
      </c>
      <c r="O1449" s="15" t="str" cm="1">
        <f t="array" ref="O1449">IFERROR(_xlfn.LET(
_xlpm.clean,TRIM(SUBSTITUTE(SUBSTITUTE(P1449,CHAR(160),"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9" t="str">
        <f t="shared" si="23"/>
        <v/>
      </c>
    </row>
    <row r="1450" spans="3:19" ht="15.75" customHeight="1">
      <c r="C1450" s="15" t="str" cm="1">
        <f t="array" ref="C1450">IFERROR(_xlfn.TEXTJOIN("",TRUE,_xlfn._xlws.FILTER(MID(S1450,_xlfn.SEQUENCE(LEN(S1450)),1),ISNUMBER(SEARCH(MID(S1450,_xlfn.SEQUENCE(LEN(S1450)),1),"ABCDEFGHIJKLMNOPQRSTUVWXYZabcdefghijklmnopqrstuvwxyz0123456789,")))),"")</f>
        <v/>
      </c>
      <c r="G1450" s="20" t="str" cm="1">
        <f t="array" ref="G1450">IF(TRIM(P1450)="","",IF(SUM(COUNTIF(P1450,{"*NLGD*","*FWG*"}))&gt;0,P1450,IF(SUM(COUNTIF(P1450,{"*GL*","*DGB*","*DGI*","*GT*","*CS*","*PWU*","*DBI*","*SWU*"}))=0,P1450,IF(IFERROR(VALUE(SUBSTITUTE(SUBSTITUTE(O1450,"W",""),"""","")),0)&gt;52,P1450&amp;"-OVRSIZE-",P1450))))</f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s="18" t="str">
        <v/>
      </c>
      <c r="O1450" s="15" t="str" cm="1">
        <f t="array" ref="O1450">IFERROR(_xlfn.LET(
_xlpm.clean,TRIM(SUBSTITUTE(SUBSTITUTE(P1450,CHAR(160),"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0" t="str">
        <f t="shared" si="23"/>
        <v/>
      </c>
    </row>
    <row r="1451" spans="3:19" ht="15.75" customHeight="1">
      <c r="C1451" s="15" t="str" cm="1">
        <f t="array" ref="C1451">IFERROR(_xlfn.TEXTJOIN("",TRUE,_xlfn._xlws.FILTER(MID(S1451,_xlfn.SEQUENCE(LEN(S1451)),1),ISNUMBER(SEARCH(MID(S1451,_xlfn.SEQUENCE(LEN(S1451)),1),"ABCDEFGHIJKLMNOPQRSTUVWXYZabcdefghijklmnopqrstuvwxyz0123456789,")))),"")</f>
        <v/>
      </c>
      <c r="G1451" s="20" t="str" cm="1">
        <f t="array" ref="G1451">IF(TRIM(P1451)="","",IF(SUM(COUNTIF(P1451,{"*NLGD*","*FWG*"}))&gt;0,P1451,IF(SUM(COUNTIF(P1451,{"*GL*","*DGB*","*DGI*","*GT*","*CS*","*PWU*","*DBI*","*SWU*"}))=0,P1451,IF(IFERROR(VALUE(SUBSTITUTE(SUBSTITUTE(O1451,"W",""),"""","")),0)&gt;52,P1451&amp;"-OVRSIZE-",P1451))))</f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s="18" t="str">
        <v/>
      </c>
      <c r="O1451" s="15" t="str" cm="1">
        <f t="array" ref="O1451">IFERROR(_xlfn.LET(
_xlpm.clean,TRIM(SUBSTITUTE(SUBSTITUTE(P1451,CHAR(160),"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1" t="str">
        <f t="shared" si="23"/>
        <v/>
      </c>
    </row>
    <row r="1452" spans="3:19" ht="15.75" customHeight="1">
      <c r="C1452" s="15" t="str" cm="1">
        <f t="array" ref="C1452">IFERROR(_xlfn.TEXTJOIN("",TRUE,_xlfn._xlws.FILTER(MID(S1452,_xlfn.SEQUENCE(LEN(S1452)),1),ISNUMBER(SEARCH(MID(S1452,_xlfn.SEQUENCE(LEN(S1452)),1),"ABCDEFGHIJKLMNOPQRSTUVWXYZabcdefghijklmnopqrstuvwxyz0123456789,")))),"")</f>
        <v/>
      </c>
      <c r="G1452" s="20" t="str" cm="1">
        <f t="array" ref="G1452">IF(TRIM(P1452)="","",IF(SUM(COUNTIF(P1452,{"*NLGD*","*FWG*"}))&gt;0,P1452,IF(SUM(COUNTIF(P1452,{"*GL*","*DGB*","*DGI*","*GT*","*CS*","*PWU*","*DBI*","*SWU*"}))=0,P1452,IF(IFERROR(VALUE(SUBSTITUTE(SUBSTITUTE(O1452,"W",""),"""","")),0)&gt;52,P1452&amp;"-OVRSIZE-",P1452))))</f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s="18" t="str">
        <v/>
      </c>
      <c r="O1452" s="15" t="str" cm="1">
        <f t="array" ref="O1452">IFERROR(_xlfn.LET(
_xlpm.clean,TRIM(SUBSTITUTE(SUBSTITUTE(P1452,CHAR(160),"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2" t="str">
        <f t="shared" si="23"/>
        <v/>
      </c>
    </row>
    <row r="1453" spans="3:19" ht="15.75" customHeight="1">
      <c r="C1453" s="15" t="str" cm="1">
        <f t="array" ref="C1453">IFERROR(_xlfn.TEXTJOIN("",TRUE,_xlfn._xlws.FILTER(MID(S1453,_xlfn.SEQUENCE(LEN(S1453)),1),ISNUMBER(SEARCH(MID(S1453,_xlfn.SEQUENCE(LEN(S1453)),1),"ABCDEFGHIJKLMNOPQRSTUVWXYZabcdefghijklmnopqrstuvwxyz0123456789,")))),"")</f>
        <v/>
      </c>
      <c r="G1453" s="20" t="str" cm="1">
        <f t="array" ref="G1453">IF(TRIM(P1453)="","",IF(SUM(COUNTIF(P1453,{"*NLGD*","*FWG*"}))&gt;0,P1453,IF(SUM(COUNTIF(P1453,{"*GL*","*DGB*","*DGI*","*GT*","*CS*","*PWU*","*DBI*","*SWU*"}))=0,P1453,IF(IFERROR(VALUE(SUBSTITUTE(SUBSTITUTE(O1453,"W",""),"""","")),0)&gt;52,P1453&amp;"-OVRSIZE-",P1453))))</f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s="18" t="str">
        <v/>
      </c>
      <c r="O1453" s="15" t="str" cm="1">
        <f t="array" ref="O1453">IFERROR(_xlfn.LET(
_xlpm.clean,TRIM(SUBSTITUTE(SUBSTITUTE(P1453,CHAR(160),"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3" t="str">
        <f t="shared" si="23"/>
        <v/>
      </c>
    </row>
    <row r="1454" spans="3:19" ht="15.75" customHeight="1">
      <c r="C1454" s="15" t="str" cm="1">
        <f t="array" ref="C1454">IFERROR(_xlfn.TEXTJOIN("",TRUE,_xlfn._xlws.FILTER(MID(S1454,_xlfn.SEQUENCE(LEN(S1454)),1),ISNUMBER(SEARCH(MID(S1454,_xlfn.SEQUENCE(LEN(S1454)),1),"ABCDEFGHIJKLMNOPQRSTUVWXYZabcdefghijklmnopqrstuvwxyz0123456789,")))),"")</f>
        <v/>
      </c>
      <c r="G1454" s="20" t="str" cm="1">
        <f t="array" ref="G1454">IF(TRIM(P1454)="","",IF(SUM(COUNTIF(P1454,{"*NLGD*","*FWG*"}))&gt;0,P1454,IF(SUM(COUNTIF(P1454,{"*GL*","*DGB*","*DGI*","*GT*","*CS*","*PWU*","*DBI*","*SWU*"}))=0,P1454,IF(IFERROR(VALUE(SUBSTITUTE(SUBSTITUTE(O1454,"W",""),"""","")),0)&gt;52,P1454&amp;"-OVRSIZE-",P1454))))</f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s="18" t="str">
        <v/>
      </c>
      <c r="O1454" s="15" t="str" cm="1">
        <f t="array" ref="O1454">IFERROR(_xlfn.LET(
_xlpm.clean,TRIM(SUBSTITUTE(SUBSTITUTE(P1454,CHAR(160),"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4" t="str">
        <f t="shared" si="23"/>
        <v/>
      </c>
    </row>
    <row r="1455" spans="3:19" ht="15.75" customHeight="1">
      <c r="C1455" s="15" t="str" cm="1">
        <f t="array" ref="C1455">IFERROR(_xlfn.TEXTJOIN("",TRUE,_xlfn._xlws.FILTER(MID(S1455,_xlfn.SEQUENCE(LEN(S1455)),1),ISNUMBER(SEARCH(MID(S1455,_xlfn.SEQUENCE(LEN(S1455)),1),"ABCDEFGHIJKLMNOPQRSTUVWXYZabcdefghijklmnopqrstuvwxyz0123456789,")))),"")</f>
        <v/>
      </c>
      <c r="G1455" s="20" t="str" cm="1">
        <f t="array" ref="G1455">IF(TRIM(P1455)="","",IF(SUM(COUNTIF(P1455,{"*NLGD*","*FWG*"}))&gt;0,P1455,IF(SUM(COUNTIF(P1455,{"*GL*","*DGB*","*DGI*","*GT*","*CS*","*PWU*","*DBI*","*SWU*"}))=0,P1455,IF(IFERROR(VALUE(SUBSTITUTE(SUBSTITUTE(O1455,"W",""),"""","")),0)&gt;52,P1455&amp;"-OVRSIZE-",P1455))))</f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s="18" t="str">
        <v/>
      </c>
      <c r="O1455" s="15" t="str" cm="1">
        <f t="array" ref="O1455">IFERROR(_xlfn.LET(
_xlpm.clean,TRIM(SUBSTITUTE(SUBSTITUTE(P1455,CHAR(160),"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5" t="str">
        <f t="shared" si="23"/>
        <v/>
      </c>
    </row>
    <row r="1456" spans="3:19" ht="15.75" customHeight="1">
      <c r="C1456" s="15" t="str" cm="1">
        <f t="array" ref="C1456">IFERROR(_xlfn.TEXTJOIN("",TRUE,_xlfn._xlws.FILTER(MID(S1456,_xlfn.SEQUENCE(LEN(S1456)),1),ISNUMBER(SEARCH(MID(S1456,_xlfn.SEQUENCE(LEN(S1456)),1),"ABCDEFGHIJKLMNOPQRSTUVWXYZabcdefghijklmnopqrstuvwxyz0123456789,")))),"")</f>
        <v/>
      </c>
      <c r="G1456" s="20" t="str" cm="1">
        <f t="array" ref="G1456">IF(TRIM(P1456)="","",IF(SUM(COUNTIF(P1456,{"*NLGD*","*FWG*"}))&gt;0,P1456,IF(SUM(COUNTIF(P1456,{"*GL*","*DGB*","*DGI*","*GT*","*CS*","*PWU*","*DBI*","*SWU*"}))=0,P1456,IF(IFERROR(VALUE(SUBSTITUTE(SUBSTITUTE(O1456,"W",""),"""","")),0)&gt;52,P1456&amp;"-OVRSIZE-",P1456))))</f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s="18" t="str">
        <v/>
      </c>
      <c r="O1456" s="15" t="str" cm="1">
        <f t="array" ref="O1456">IFERROR(_xlfn.LET(
_xlpm.clean,TRIM(SUBSTITUTE(SUBSTITUTE(P1456,CHAR(160),"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6" t="str">
        <f t="shared" si="23"/>
        <v/>
      </c>
    </row>
    <row r="1457" spans="3:19" ht="15.75" customHeight="1">
      <c r="C1457" s="15" t="str" cm="1">
        <f t="array" ref="C1457">IFERROR(_xlfn.TEXTJOIN("",TRUE,_xlfn._xlws.FILTER(MID(S1457,_xlfn.SEQUENCE(LEN(S1457)),1),ISNUMBER(SEARCH(MID(S1457,_xlfn.SEQUENCE(LEN(S1457)),1),"ABCDEFGHIJKLMNOPQRSTUVWXYZabcdefghijklmnopqrstuvwxyz0123456789,")))),"")</f>
        <v/>
      </c>
      <c r="G1457" s="20" t="str" cm="1">
        <f t="array" ref="G1457">IF(TRIM(P1457)="","",IF(SUM(COUNTIF(P1457,{"*NLGD*","*FWG*"}))&gt;0,P1457,IF(SUM(COUNTIF(P1457,{"*GL*","*DGB*","*DGI*","*GT*","*CS*","*PWU*","*DBI*","*SWU*"}))=0,P1457,IF(IFERROR(VALUE(SUBSTITUTE(SUBSTITUTE(O1457,"W",""),"""","")),0)&gt;52,P1457&amp;"-OVRSIZE-",P1457))))</f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s="18" t="str">
        <v/>
      </c>
      <c r="O1457" s="15" t="str" cm="1">
        <f t="array" ref="O1457">IFERROR(_xlfn.LET(
_xlpm.clean,TRIM(SUBSTITUTE(SUBSTITUTE(P1457,CHAR(160),"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7" t="str">
        <f t="shared" si="23"/>
        <v/>
      </c>
    </row>
    <row r="1458" spans="3:19" ht="15.75" customHeight="1">
      <c r="C1458" s="15" t="str" cm="1">
        <f t="array" ref="C1458">IFERROR(_xlfn.TEXTJOIN("",TRUE,_xlfn._xlws.FILTER(MID(S1458,_xlfn.SEQUENCE(LEN(S1458)),1),ISNUMBER(SEARCH(MID(S1458,_xlfn.SEQUENCE(LEN(S1458)),1),"ABCDEFGHIJKLMNOPQRSTUVWXYZabcdefghijklmnopqrstuvwxyz0123456789,")))),"")</f>
        <v/>
      </c>
      <c r="G1458" s="20" t="str" cm="1">
        <f t="array" ref="G1458">IF(TRIM(P1458)="","",IF(SUM(COUNTIF(P1458,{"*NLGD*","*FWG*"}))&gt;0,P1458,IF(SUM(COUNTIF(P1458,{"*GL*","*DGB*","*DGI*","*GT*","*CS*","*PWU*","*DBI*","*SWU*"}))=0,P1458,IF(IFERROR(VALUE(SUBSTITUTE(SUBSTITUTE(O1458,"W",""),"""","")),0)&gt;52,P1458&amp;"-OVRSIZE-",P1458))))</f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s="18" t="str">
        <v/>
      </c>
      <c r="O1458" s="15" t="str" cm="1">
        <f t="array" ref="O1458">IFERROR(_xlfn.LET(
_xlpm.clean,TRIM(SUBSTITUTE(SUBSTITUTE(P1458,CHAR(160),"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8" t="str">
        <f t="shared" si="23"/>
        <v/>
      </c>
    </row>
    <row r="1459" spans="3:19" ht="15.75" customHeight="1">
      <c r="C1459" s="15" t="str" cm="1">
        <f t="array" ref="C1459">IFERROR(_xlfn.TEXTJOIN("",TRUE,_xlfn._xlws.FILTER(MID(S1459,_xlfn.SEQUENCE(LEN(S1459)),1),ISNUMBER(SEARCH(MID(S1459,_xlfn.SEQUENCE(LEN(S1459)),1),"ABCDEFGHIJKLMNOPQRSTUVWXYZabcdefghijklmnopqrstuvwxyz0123456789,")))),"")</f>
        <v/>
      </c>
      <c r="G1459" s="20" t="str" cm="1">
        <f t="array" ref="G1459">IF(TRIM(P1459)="","",IF(SUM(COUNTIF(P1459,{"*NLGD*","*FWG*"}))&gt;0,P1459,IF(SUM(COUNTIF(P1459,{"*GL*","*DGB*","*DGI*","*GT*","*CS*","*PWU*","*DBI*","*SWU*"}))=0,P1459,IF(IFERROR(VALUE(SUBSTITUTE(SUBSTITUTE(O1459,"W",""),"""","")),0)&gt;52,P1459&amp;"-OVRSIZE-",P1459))))</f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s="18" t="str">
        <v/>
      </c>
      <c r="O1459" s="15" t="str" cm="1">
        <f t="array" ref="O1459">IFERROR(_xlfn.LET(
_xlpm.clean,TRIM(SUBSTITUTE(SUBSTITUTE(P1459,CHAR(160),"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9" t="str">
        <f t="shared" si="23"/>
        <v/>
      </c>
    </row>
    <row r="1460" spans="3:19" ht="15.75" customHeight="1">
      <c r="C1460" s="15" t="str" cm="1">
        <f t="array" ref="C1460">IFERROR(_xlfn.TEXTJOIN("",TRUE,_xlfn._xlws.FILTER(MID(S1460,_xlfn.SEQUENCE(LEN(S1460)),1),ISNUMBER(SEARCH(MID(S1460,_xlfn.SEQUENCE(LEN(S1460)),1),"ABCDEFGHIJKLMNOPQRSTUVWXYZabcdefghijklmnopqrstuvwxyz0123456789,")))),"")</f>
        <v/>
      </c>
      <c r="G1460" s="20" t="str" cm="1">
        <f t="array" ref="G1460">IF(TRIM(P1460)="","",IF(SUM(COUNTIF(P1460,{"*NLGD*","*FWG*"}))&gt;0,P1460,IF(SUM(COUNTIF(P1460,{"*GL*","*DGB*","*DGI*","*GT*","*CS*","*PWU*","*DBI*","*SWU*"}))=0,P1460,IF(IFERROR(VALUE(SUBSTITUTE(SUBSTITUTE(O1460,"W",""),"""","")),0)&gt;52,P1460&amp;"-OVRSIZE-",P1460))))</f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s="18" t="str">
        <v/>
      </c>
      <c r="O1460" s="15" t="str" cm="1">
        <f t="array" ref="O1460">IFERROR(_xlfn.LET(
_xlpm.clean,TRIM(SUBSTITUTE(SUBSTITUTE(P1460,CHAR(160),"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0" t="str">
        <f t="shared" si="23"/>
        <v/>
      </c>
    </row>
    <row r="1461" spans="3:19" ht="15.75" customHeight="1">
      <c r="C1461" s="15" t="str" cm="1">
        <f t="array" ref="C1461">IFERROR(_xlfn.TEXTJOIN("",TRUE,_xlfn._xlws.FILTER(MID(S1461,_xlfn.SEQUENCE(LEN(S1461)),1),ISNUMBER(SEARCH(MID(S1461,_xlfn.SEQUENCE(LEN(S1461)),1),"ABCDEFGHIJKLMNOPQRSTUVWXYZabcdefghijklmnopqrstuvwxyz0123456789,")))),"")</f>
        <v/>
      </c>
      <c r="G1461" s="20" t="str" cm="1">
        <f t="array" ref="G1461">IF(TRIM(P1461)="","",IF(SUM(COUNTIF(P1461,{"*NLGD*","*FWG*"}))&gt;0,P1461,IF(SUM(COUNTIF(P1461,{"*GL*","*DGB*","*DGI*","*GT*","*CS*","*PWU*","*DBI*","*SWU*"}))=0,P1461,IF(IFERROR(VALUE(SUBSTITUTE(SUBSTITUTE(O1461,"W",""),"""","")),0)&gt;52,P1461&amp;"-OVRSIZE-",P1461))))</f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s="18" t="str">
        <v/>
      </c>
      <c r="O1461" s="15" t="str" cm="1">
        <f t="array" ref="O1461">IFERROR(_xlfn.LET(
_xlpm.clean,TRIM(SUBSTITUTE(SUBSTITUTE(P1461,CHAR(160),"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1" t="str">
        <f t="shared" si="23"/>
        <v/>
      </c>
    </row>
    <row r="1462" spans="3:19" ht="15.75" customHeight="1">
      <c r="C1462" s="15" t="str" cm="1">
        <f t="array" ref="C1462">IFERROR(_xlfn.TEXTJOIN("",TRUE,_xlfn._xlws.FILTER(MID(S1462,_xlfn.SEQUENCE(LEN(S1462)),1),ISNUMBER(SEARCH(MID(S1462,_xlfn.SEQUENCE(LEN(S1462)),1),"ABCDEFGHIJKLMNOPQRSTUVWXYZabcdefghijklmnopqrstuvwxyz0123456789,")))),"")</f>
        <v/>
      </c>
      <c r="G1462" s="20" t="str" cm="1">
        <f t="array" ref="G1462">IF(TRIM(P1462)="","",IF(SUM(COUNTIF(P1462,{"*NLGD*","*FWG*"}))&gt;0,P1462,IF(SUM(COUNTIF(P1462,{"*GL*","*DGB*","*DGI*","*GT*","*CS*","*PWU*","*DBI*","*SWU*"}))=0,P1462,IF(IFERROR(VALUE(SUBSTITUTE(SUBSTITUTE(O1462,"W",""),"""","")),0)&gt;52,P1462&amp;"-OVRSIZE-",P1462))))</f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s="18" t="str">
        <v/>
      </c>
      <c r="O1462" s="15" t="str" cm="1">
        <f t="array" ref="O1462">IFERROR(_xlfn.LET(
_xlpm.clean,TRIM(SUBSTITUTE(SUBSTITUTE(P1462,CHAR(160),"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2" t="str">
        <f t="shared" si="23"/>
        <v/>
      </c>
    </row>
    <row r="1463" spans="3:19" ht="15.75" customHeight="1">
      <c r="C1463" s="15" t="str" cm="1">
        <f t="array" ref="C1463">IFERROR(_xlfn.TEXTJOIN("",TRUE,_xlfn._xlws.FILTER(MID(S1463,_xlfn.SEQUENCE(LEN(S1463)),1),ISNUMBER(SEARCH(MID(S1463,_xlfn.SEQUENCE(LEN(S1463)),1),"ABCDEFGHIJKLMNOPQRSTUVWXYZabcdefghijklmnopqrstuvwxyz0123456789,")))),"")</f>
        <v/>
      </c>
      <c r="G1463" s="20" t="str" cm="1">
        <f t="array" ref="G1463">IF(TRIM(P1463)="","",IF(SUM(COUNTIF(P1463,{"*NLGD*","*FWG*"}))&gt;0,P1463,IF(SUM(COUNTIF(P1463,{"*GL*","*DGB*","*DGI*","*GT*","*CS*","*PWU*","*DBI*","*SWU*"}))=0,P1463,IF(IFERROR(VALUE(SUBSTITUTE(SUBSTITUTE(O1463,"W",""),"""","")),0)&gt;52,P1463&amp;"-OVRSIZE-",P1463))))</f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s="18" t="str">
        <v/>
      </c>
      <c r="O1463" s="15" t="str" cm="1">
        <f t="array" ref="O1463">IFERROR(_xlfn.LET(
_xlpm.clean,TRIM(SUBSTITUTE(SUBSTITUTE(P1463,CHAR(160),"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3" t="str">
        <f t="shared" si="23"/>
        <v/>
      </c>
    </row>
    <row r="1464" spans="3:19" ht="15.75" customHeight="1">
      <c r="C1464" s="15" t="str" cm="1">
        <f t="array" ref="C1464">IFERROR(_xlfn.TEXTJOIN("",TRUE,_xlfn._xlws.FILTER(MID(S1464,_xlfn.SEQUENCE(LEN(S1464)),1),ISNUMBER(SEARCH(MID(S1464,_xlfn.SEQUENCE(LEN(S1464)),1),"ABCDEFGHIJKLMNOPQRSTUVWXYZabcdefghijklmnopqrstuvwxyz0123456789,")))),"")</f>
        <v/>
      </c>
      <c r="G1464" s="20" t="str" cm="1">
        <f t="array" ref="G1464">IF(TRIM(P1464)="","",IF(SUM(COUNTIF(P1464,{"*NLGD*","*FWG*"}))&gt;0,P1464,IF(SUM(COUNTIF(P1464,{"*GL*","*DGB*","*DGI*","*GT*","*CS*","*PWU*","*DBI*","*SWU*"}))=0,P1464,IF(IFERROR(VALUE(SUBSTITUTE(SUBSTITUTE(O1464,"W",""),"""","")),0)&gt;52,P1464&amp;"-OVRSIZE-",P1464))))</f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s="18" t="str">
        <v/>
      </c>
      <c r="O1464" s="15" t="str" cm="1">
        <f t="array" ref="O1464">IFERROR(_xlfn.LET(
_xlpm.clean,TRIM(SUBSTITUTE(SUBSTITUTE(P1464,CHAR(160),"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4" t="str">
        <f t="shared" si="23"/>
        <v/>
      </c>
    </row>
    <row r="1465" spans="3:19" ht="15.75" customHeight="1">
      <c r="C1465" s="15" t="str" cm="1">
        <f t="array" ref="C1465">IFERROR(_xlfn.TEXTJOIN("",TRUE,_xlfn._xlws.FILTER(MID(S1465,_xlfn.SEQUENCE(LEN(S1465)),1),ISNUMBER(SEARCH(MID(S1465,_xlfn.SEQUENCE(LEN(S1465)),1),"ABCDEFGHIJKLMNOPQRSTUVWXYZabcdefghijklmnopqrstuvwxyz0123456789,")))),"")</f>
        <v/>
      </c>
      <c r="G1465" s="20" t="str" cm="1">
        <f t="array" ref="G1465">IF(TRIM(P1465)="","",IF(SUM(COUNTIF(P1465,{"*NLGD*","*FWG*"}))&gt;0,P1465,IF(SUM(COUNTIF(P1465,{"*GL*","*DGB*","*DGI*","*GT*","*CS*","*PWU*","*DBI*","*SWU*"}))=0,P1465,IF(IFERROR(VALUE(SUBSTITUTE(SUBSTITUTE(O1465,"W",""),"""","")),0)&gt;52,P1465&amp;"-OVRSIZE-",P1465))))</f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s="18" t="str">
        <v/>
      </c>
      <c r="O1465" s="15" t="str" cm="1">
        <f t="array" ref="O1465">IFERROR(_xlfn.LET(
_xlpm.clean,TRIM(SUBSTITUTE(SUBSTITUTE(P1465,CHAR(160),"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5" t="str">
        <f t="shared" si="23"/>
        <v/>
      </c>
    </row>
    <row r="1466" spans="3:19" ht="15.75" customHeight="1">
      <c r="C1466" s="15" t="str" cm="1">
        <f t="array" ref="C1466">IFERROR(_xlfn.TEXTJOIN("",TRUE,_xlfn._xlws.FILTER(MID(S1466,_xlfn.SEQUENCE(LEN(S1466)),1),ISNUMBER(SEARCH(MID(S1466,_xlfn.SEQUENCE(LEN(S1466)),1),"ABCDEFGHIJKLMNOPQRSTUVWXYZabcdefghijklmnopqrstuvwxyz0123456789,")))),"")</f>
        <v/>
      </c>
      <c r="G1466" s="20" t="str" cm="1">
        <f t="array" ref="G1466">IF(TRIM(P1466)="","",IF(SUM(COUNTIF(P1466,{"*NLGD*","*FWG*"}))&gt;0,P1466,IF(SUM(COUNTIF(P1466,{"*GL*","*DGB*","*DGI*","*GT*","*CS*","*PWU*","*DBI*","*SWU*"}))=0,P1466,IF(IFERROR(VALUE(SUBSTITUTE(SUBSTITUTE(O1466,"W",""),"""","")),0)&gt;52,P1466&amp;"-OVRSIZE-",P1466))))</f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s="18" t="str">
        <v/>
      </c>
      <c r="O1466" s="15" t="str" cm="1">
        <f t="array" ref="O1466">IFERROR(_xlfn.LET(
_xlpm.clean,TRIM(SUBSTITUTE(SUBSTITUTE(P1466,CHAR(160),"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6" t="str">
        <f t="shared" si="23"/>
        <v/>
      </c>
    </row>
    <row r="1467" spans="3:19" ht="15.75" customHeight="1">
      <c r="C1467" s="15" t="str" cm="1">
        <f t="array" ref="C1467">IFERROR(_xlfn.TEXTJOIN("",TRUE,_xlfn._xlws.FILTER(MID(S1467,_xlfn.SEQUENCE(LEN(S1467)),1),ISNUMBER(SEARCH(MID(S1467,_xlfn.SEQUENCE(LEN(S1467)),1),"ABCDEFGHIJKLMNOPQRSTUVWXYZabcdefghijklmnopqrstuvwxyz0123456789,")))),"")</f>
        <v/>
      </c>
      <c r="G1467" s="20" t="str" cm="1">
        <f t="array" ref="G1467">IF(TRIM(P1467)="","",IF(SUM(COUNTIF(P1467,{"*NLGD*","*FWG*"}))&gt;0,P1467,IF(SUM(COUNTIF(P1467,{"*GL*","*DGB*","*DGI*","*GT*","*CS*","*PWU*","*DBI*","*SWU*"}))=0,P1467,IF(IFERROR(VALUE(SUBSTITUTE(SUBSTITUTE(O1467,"W",""),"""","")),0)&gt;52,P1467&amp;"-OVRSIZE-",P1467))))</f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s="18" t="str">
        <v/>
      </c>
      <c r="O1467" s="15" t="str" cm="1">
        <f t="array" ref="O1467">IFERROR(_xlfn.LET(
_xlpm.clean,TRIM(SUBSTITUTE(SUBSTITUTE(P1467,CHAR(160),"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7" t="str">
        <f t="shared" si="23"/>
        <v/>
      </c>
    </row>
    <row r="1468" spans="3:19" ht="15.75" customHeight="1">
      <c r="C1468" s="15" t="str" cm="1">
        <f t="array" ref="C1468">IFERROR(_xlfn.TEXTJOIN("",TRUE,_xlfn._xlws.FILTER(MID(S1468,_xlfn.SEQUENCE(LEN(S1468)),1),ISNUMBER(SEARCH(MID(S1468,_xlfn.SEQUENCE(LEN(S1468)),1),"ABCDEFGHIJKLMNOPQRSTUVWXYZabcdefghijklmnopqrstuvwxyz0123456789,")))),"")</f>
        <v/>
      </c>
      <c r="G1468" s="20" t="str" cm="1">
        <f t="array" ref="G1468">IF(TRIM(P1468)="","",IF(SUM(COUNTIF(P1468,{"*NLGD*","*FWG*"}))&gt;0,P1468,IF(SUM(COUNTIF(P1468,{"*GL*","*DGB*","*DGI*","*GT*","*CS*","*PWU*","*DBI*","*SWU*"}))=0,P1468,IF(IFERROR(VALUE(SUBSTITUTE(SUBSTITUTE(O1468,"W",""),"""","")),0)&gt;52,P1468&amp;"-OVRSIZE-",P1468))))</f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s="18" t="str">
        <v/>
      </c>
      <c r="O1468" s="15" t="str" cm="1">
        <f t="array" ref="O1468">IFERROR(_xlfn.LET(
_xlpm.clean,TRIM(SUBSTITUTE(SUBSTITUTE(P1468,CHAR(160),"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8" t="str">
        <f t="shared" si="23"/>
        <v/>
      </c>
    </row>
    <row r="1469" spans="3:19" ht="15.75" customHeight="1">
      <c r="C1469" s="15" t="str" cm="1">
        <f t="array" ref="C1469">IFERROR(_xlfn.TEXTJOIN("",TRUE,_xlfn._xlws.FILTER(MID(S1469,_xlfn.SEQUENCE(LEN(S1469)),1),ISNUMBER(SEARCH(MID(S1469,_xlfn.SEQUENCE(LEN(S1469)),1),"ABCDEFGHIJKLMNOPQRSTUVWXYZabcdefghijklmnopqrstuvwxyz0123456789,")))),"")</f>
        <v/>
      </c>
      <c r="G1469" s="20" t="str" cm="1">
        <f t="array" ref="G1469">IF(TRIM(P1469)="","",IF(SUM(COUNTIF(P1469,{"*NLGD*","*FWG*"}))&gt;0,P1469,IF(SUM(COUNTIF(P1469,{"*GL*","*DGB*","*DGI*","*GT*","*CS*","*PWU*","*DBI*","*SWU*"}))=0,P1469,IF(IFERROR(VALUE(SUBSTITUTE(SUBSTITUTE(O1469,"W",""),"""","")),0)&gt;52,P1469&amp;"-OVRSIZE-",P1469))))</f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s="18" t="str">
        <v/>
      </c>
      <c r="O1469" s="15" t="str" cm="1">
        <f t="array" ref="O1469">IFERROR(_xlfn.LET(
_xlpm.clean,TRIM(SUBSTITUTE(SUBSTITUTE(P1469,CHAR(160),"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9" t="str">
        <f t="shared" si="23"/>
        <v/>
      </c>
    </row>
    <row r="1470" spans="3:19" ht="15.75" customHeight="1">
      <c r="C1470" s="15" t="str" cm="1">
        <f t="array" ref="C1470">IFERROR(_xlfn.TEXTJOIN("",TRUE,_xlfn._xlws.FILTER(MID(S1470,_xlfn.SEQUENCE(LEN(S1470)),1),ISNUMBER(SEARCH(MID(S1470,_xlfn.SEQUENCE(LEN(S1470)),1),"ABCDEFGHIJKLMNOPQRSTUVWXYZabcdefghijklmnopqrstuvwxyz0123456789,")))),"")</f>
        <v/>
      </c>
      <c r="G1470" s="20" t="str" cm="1">
        <f t="array" ref="G1470">IF(TRIM(P1470)="","",IF(SUM(COUNTIF(P1470,{"*NLGD*","*FWG*"}))&gt;0,P1470,IF(SUM(COUNTIF(P1470,{"*GL*","*DGB*","*DGI*","*GT*","*CS*","*PWU*","*DBI*","*SWU*"}))=0,P1470,IF(IFERROR(VALUE(SUBSTITUTE(SUBSTITUTE(O1470,"W",""),"""","")),0)&gt;52,P1470&amp;"-OVRSIZE-",P1470))))</f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s="18" t="str">
        <v/>
      </c>
      <c r="O1470" s="15" t="str" cm="1">
        <f t="array" ref="O1470">IFERROR(_xlfn.LET(
_xlpm.clean,TRIM(SUBSTITUTE(SUBSTITUTE(P1470,CHAR(160),"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0" t="str">
        <f t="shared" si="23"/>
        <v/>
      </c>
    </row>
    <row r="1471" spans="3:19" ht="15.75" customHeight="1">
      <c r="C1471" s="15" t="str" cm="1">
        <f t="array" ref="C1471">IFERROR(_xlfn.TEXTJOIN("",TRUE,_xlfn._xlws.FILTER(MID(S1471,_xlfn.SEQUENCE(LEN(S1471)),1),ISNUMBER(SEARCH(MID(S1471,_xlfn.SEQUENCE(LEN(S1471)),1),"ABCDEFGHIJKLMNOPQRSTUVWXYZabcdefghijklmnopqrstuvwxyz0123456789,")))),"")</f>
        <v/>
      </c>
      <c r="G1471" s="20" t="str" cm="1">
        <f t="array" ref="G1471">IF(TRIM(P1471)="","",IF(SUM(COUNTIF(P1471,{"*NLGD*","*FWG*"}))&gt;0,P1471,IF(SUM(COUNTIF(P1471,{"*GL*","*DGB*","*DGI*","*GT*","*CS*","*PWU*","*DBI*","*SWU*"}))=0,P1471,IF(IFERROR(VALUE(SUBSTITUTE(SUBSTITUTE(O1471,"W",""),"""","")),0)&gt;52,P1471&amp;"-OVRSIZE-",P1471))))</f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s="18" t="str">
        <v/>
      </c>
      <c r="O1471" s="15" t="str" cm="1">
        <f t="array" ref="O1471">IFERROR(_xlfn.LET(
_xlpm.clean,TRIM(SUBSTITUTE(SUBSTITUTE(P1471,CHAR(160),"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1" t="str">
        <f t="shared" si="23"/>
        <v/>
      </c>
    </row>
    <row r="1472" spans="3:19" ht="15.75" customHeight="1">
      <c r="C1472" s="15" t="str" cm="1">
        <f t="array" ref="C1472">IFERROR(_xlfn.TEXTJOIN("",TRUE,_xlfn._xlws.FILTER(MID(S1472,_xlfn.SEQUENCE(LEN(S1472)),1),ISNUMBER(SEARCH(MID(S1472,_xlfn.SEQUENCE(LEN(S1472)),1),"ABCDEFGHIJKLMNOPQRSTUVWXYZabcdefghijklmnopqrstuvwxyz0123456789,")))),"")</f>
        <v/>
      </c>
      <c r="G1472" s="20" t="str" cm="1">
        <f t="array" ref="G1472">IF(TRIM(P1472)="","",IF(SUM(COUNTIF(P1472,{"*NLGD*","*FWG*"}))&gt;0,P1472,IF(SUM(COUNTIF(P1472,{"*GL*","*DGB*","*DGI*","*GT*","*CS*","*PWU*","*DBI*","*SWU*"}))=0,P1472,IF(IFERROR(VALUE(SUBSTITUTE(SUBSTITUTE(O1472,"W",""),"""","")),0)&gt;52,P1472&amp;"-OVRSIZE-",P1472))))</f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s="18" t="str">
        <v/>
      </c>
      <c r="O1472" s="15" t="str" cm="1">
        <f t="array" ref="O1472">IFERROR(_xlfn.LET(
_xlpm.clean,TRIM(SUBSTITUTE(SUBSTITUTE(P1472,CHAR(160),"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2" t="str">
        <f t="shared" si="23"/>
        <v/>
      </c>
    </row>
    <row r="1473" spans="3:19" ht="15.75" customHeight="1">
      <c r="C1473" s="15" t="str" cm="1">
        <f t="array" ref="C1473">IFERROR(_xlfn.TEXTJOIN("",TRUE,_xlfn._xlws.FILTER(MID(S1473,_xlfn.SEQUENCE(LEN(S1473)),1),ISNUMBER(SEARCH(MID(S1473,_xlfn.SEQUENCE(LEN(S1473)),1),"ABCDEFGHIJKLMNOPQRSTUVWXYZabcdefghijklmnopqrstuvwxyz0123456789,")))),"")</f>
        <v/>
      </c>
      <c r="G1473" s="20" t="str" cm="1">
        <f t="array" ref="G1473">IF(TRIM(P1473)="","",IF(SUM(COUNTIF(P1473,{"*NLGD*","*FWG*"}))&gt;0,P1473,IF(SUM(COUNTIF(P1473,{"*GL*","*DGB*","*DGI*","*GT*","*CS*","*PWU*","*DBI*","*SWU*"}))=0,P1473,IF(IFERROR(VALUE(SUBSTITUTE(SUBSTITUTE(O1473,"W",""),"""","")),0)&gt;52,P1473&amp;"-OVRSIZE-",P1473))))</f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s="18" t="str">
        <v/>
      </c>
      <c r="O1473" s="15" t="str" cm="1">
        <f t="array" ref="O1473">IFERROR(_xlfn.LET(
_xlpm.clean,TRIM(SUBSTITUTE(SUBSTITUTE(P1473,CHAR(160),"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3" t="str">
        <f t="shared" si="23"/>
        <v/>
      </c>
    </row>
    <row r="1474" spans="3:19" ht="15.75" customHeight="1">
      <c r="C1474" s="15" t="str" cm="1">
        <f t="array" ref="C1474">IFERROR(_xlfn.TEXTJOIN("",TRUE,_xlfn._xlws.FILTER(MID(S1474,_xlfn.SEQUENCE(LEN(S1474)),1),ISNUMBER(SEARCH(MID(S1474,_xlfn.SEQUENCE(LEN(S1474)),1),"ABCDEFGHIJKLMNOPQRSTUVWXYZabcdefghijklmnopqrstuvwxyz0123456789,")))),"")</f>
        <v/>
      </c>
      <c r="G1474" s="20" t="str" cm="1">
        <f t="array" ref="G1474">IF(TRIM(P1474)="","",IF(SUM(COUNTIF(P1474,{"*NLGD*","*FWG*"}))&gt;0,P1474,IF(SUM(COUNTIF(P1474,{"*GL*","*DGB*","*DGI*","*GT*","*CS*","*PWU*","*DBI*","*SWU*"}))=0,P1474,IF(IFERROR(VALUE(SUBSTITUTE(SUBSTITUTE(O1474,"W",""),"""","")),0)&gt;52,P1474&amp;"-OVRSIZE-",P1474))))</f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s="18" t="str">
        <v/>
      </c>
      <c r="O1474" s="15" t="str" cm="1">
        <f t="array" ref="O1474">IFERROR(_xlfn.LET(
_xlpm.clean,TRIM(SUBSTITUTE(SUBSTITUTE(P1474,CHAR(160),"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4" t="str">
        <f t="shared" si="23"/>
        <v/>
      </c>
    </row>
    <row r="1475" spans="3:19" ht="15.75" customHeight="1">
      <c r="C1475" s="15" t="str" cm="1">
        <f t="array" ref="C1475">IFERROR(_xlfn.TEXTJOIN("",TRUE,_xlfn._xlws.FILTER(MID(S1475,_xlfn.SEQUENCE(LEN(S1475)),1),ISNUMBER(SEARCH(MID(S1475,_xlfn.SEQUENCE(LEN(S1475)),1),"ABCDEFGHIJKLMNOPQRSTUVWXYZabcdefghijklmnopqrstuvwxyz0123456789,")))),"")</f>
        <v/>
      </c>
      <c r="G1475" s="20" t="str" cm="1">
        <f t="array" ref="G1475">IF(TRIM(P1475)="","",IF(SUM(COUNTIF(P1475,{"*NLGD*","*FWG*"}))&gt;0,P1475,IF(SUM(COUNTIF(P1475,{"*GL*","*DGB*","*DGI*","*GT*","*CS*","*PWU*","*DBI*","*SWU*"}))=0,P1475,IF(IFERROR(VALUE(SUBSTITUTE(SUBSTITUTE(O1475,"W",""),"""","")),0)&gt;52,P1475&amp;"-OVRSIZE-",P1475))))</f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s="18" t="str">
        <v/>
      </c>
      <c r="O1475" s="15" t="str" cm="1">
        <f t="array" ref="O1475">IFERROR(_xlfn.LET(
_xlpm.clean,TRIM(SUBSTITUTE(SUBSTITUTE(P1475,CHAR(160),"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5" t="str">
        <f t="shared" si="23"/>
        <v/>
      </c>
    </row>
    <row r="1476" spans="3:19" ht="15.75" customHeight="1">
      <c r="C1476" s="15" t="str" cm="1">
        <f t="array" ref="C1476">IFERROR(_xlfn.TEXTJOIN("",TRUE,_xlfn._xlws.FILTER(MID(S1476,_xlfn.SEQUENCE(LEN(S1476)),1),ISNUMBER(SEARCH(MID(S1476,_xlfn.SEQUENCE(LEN(S1476)),1),"ABCDEFGHIJKLMNOPQRSTUVWXYZabcdefghijklmnopqrstuvwxyz0123456789,")))),"")</f>
        <v/>
      </c>
      <c r="G1476" s="20" t="str" cm="1">
        <f t="array" ref="G1476">IF(TRIM(P1476)="","",IF(SUM(COUNTIF(P1476,{"*NLGD*","*FWG*"}))&gt;0,P1476,IF(SUM(COUNTIF(P1476,{"*GL*","*DGB*","*DGI*","*GT*","*CS*","*PWU*","*DBI*","*SWU*"}))=0,P1476,IF(IFERROR(VALUE(SUBSTITUTE(SUBSTITUTE(O1476,"W",""),"""","")),0)&gt;52,P1476&amp;"-OVRSIZE-",P1476))))</f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s="18" t="str">
        <v/>
      </c>
      <c r="O1476" s="15" t="str" cm="1">
        <f t="array" ref="O1476">IFERROR(_xlfn.LET(
_xlpm.clean,TRIM(SUBSTITUTE(SUBSTITUTE(P1476,CHAR(160),"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6" t="str">
        <f t="shared" si="23"/>
        <v/>
      </c>
    </row>
    <row r="1477" spans="3:19" ht="15.75" customHeight="1">
      <c r="C1477" s="15" t="str" cm="1">
        <f t="array" ref="C1477">IFERROR(_xlfn.TEXTJOIN("",TRUE,_xlfn._xlws.FILTER(MID(S1477,_xlfn.SEQUENCE(LEN(S1477)),1),ISNUMBER(SEARCH(MID(S1477,_xlfn.SEQUENCE(LEN(S1477)),1),"ABCDEFGHIJKLMNOPQRSTUVWXYZabcdefghijklmnopqrstuvwxyz0123456789,")))),"")</f>
        <v/>
      </c>
      <c r="G1477" s="20" t="str" cm="1">
        <f t="array" ref="G1477">IF(TRIM(P1477)="","",IF(SUM(COUNTIF(P1477,{"*NLGD*","*FWG*"}))&gt;0,P1477,IF(SUM(COUNTIF(P1477,{"*GL*","*DGB*","*DGI*","*GT*","*CS*","*PWU*","*DBI*","*SWU*"}))=0,P1477,IF(IFERROR(VALUE(SUBSTITUTE(SUBSTITUTE(O1477,"W",""),"""","")),0)&gt;52,P1477&amp;"-OVRSIZE-",P1477))))</f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s="18" t="str">
        <v/>
      </c>
      <c r="O1477" s="15" t="str" cm="1">
        <f t="array" ref="O1477">IFERROR(_xlfn.LET(
_xlpm.clean,TRIM(SUBSTITUTE(SUBSTITUTE(P1477,CHAR(160),"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7" t="str">
        <f t="shared" si="23"/>
        <v/>
      </c>
    </row>
    <row r="1478" spans="3:19" ht="15.75" customHeight="1">
      <c r="C1478" s="15" t="str" cm="1">
        <f t="array" ref="C1478">IFERROR(_xlfn.TEXTJOIN("",TRUE,_xlfn._xlws.FILTER(MID(S1478,_xlfn.SEQUENCE(LEN(S1478)),1),ISNUMBER(SEARCH(MID(S1478,_xlfn.SEQUENCE(LEN(S1478)),1),"ABCDEFGHIJKLMNOPQRSTUVWXYZabcdefghijklmnopqrstuvwxyz0123456789,")))),"")</f>
        <v/>
      </c>
      <c r="G1478" s="20" t="str" cm="1">
        <f t="array" ref="G1478">IF(TRIM(P1478)="","",IF(SUM(COUNTIF(P1478,{"*NLGD*","*FWG*"}))&gt;0,P1478,IF(SUM(COUNTIF(P1478,{"*GL*","*DGB*","*DGI*","*GT*","*CS*","*PWU*","*DBI*","*SWU*"}))=0,P1478,IF(IFERROR(VALUE(SUBSTITUTE(SUBSTITUTE(O1478,"W",""),"""","")),0)&gt;52,P1478&amp;"-OVRSIZE-",P1478))))</f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s="18" t="str">
        <v/>
      </c>
      <c r="O1478" s="15" t="str" cm="1">
        <f t="array" ref="O1478">IFERROR(_xlfn.LET(
_xlpm.clean,TRIM(SUBSTITUTE(SUBSTITUTE(P1478,CHAR(160),"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8" t="str">
        <f t="shared" si="23"/>
        <v/>
      </c>
    </row>
    <row r="1479" spans="3:19" ht="15.75" customHeight="1">
      <c r="C1479" s="15" t="str" cm="1">
        <f t="array" ref="C1479">IFERROR(_xlfn.TEXTJOIN("",TRUE,_xlfn._xlws.FILTER(MID(S1479,_xlfn.SEQUENCE(LEN(S1479)),1),ISNUMBER(SEARCH(MID(S1479,_xlfn.SEQUENCE(LEN(S1479)),1),"ABCDEFGHIJKLMNOPQRSTUVWXYZabcdefghijklmnopqrstuvwxyz0123456789,")))),"")</f>
        <v/>
      </c>
      <c r="G1479" s="20" t="str" cm="1">
        <f t="array" ref="G1479">IF(TRIM(P1479)="","",IF(SUM(COUNTIF(P1479,{"*NLGD*","*FWG*"}))&gt;0,P1479,IF(SUM(COUNTIF(P1479,{"*GL*","*DGB*","*DGI*","*GT*","*CS*","*PWU*","*DBI*","*SWU*"}))=0,P1479,IF(IFERROR(VALUE(SUBSTITUTE(SUBSTITUTE(O1479,"W",""),"""","")),0)&gt;52,P1479&amp;"-OVRSIZE-",P1479))))</f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s="18" t="str">
        <v/>
      </c>
      <c r="O1479" s="15" t="str" cm="1">
        <f t="array" ref="O1479">IFERROR(_xlfn.LET(
_xlpm.clean,TRIM(SUBSTITUTE(SUBSTITUTE(P1479,CHAR(160),"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9" t="str">
        <f t="shared" si="23"/>
        <v/>
      </c>
    </row>
    <row r="1480" spans="3:19" ht="15.75" customHeight="1">
      <c r="C1480" s="15" t="str" cm="1">
        <f t="array" ref="C1480">IFERROR(_xlfn.TEXTJOIN("",TRUE,_xlfn._xlws.FILTER(MID(S1480,_xlfn.SEQUENCE(LEN(S1480)),1),ISNUMBER(SEARCH(MID(S1480,_xlfn.SEQUENCE(LEN(S1480)),1),"ABCDEFGHIJKLMNOPQRSTUVWXYZabcdefghijklmnopqrstuvwxyz0123456789,")))),"")</f>
        <v/>
      </c>
      <c r="G1480" s="20" t="str" cm="1">
        <f t="array" ref="G1480">IF(TRIM(P1480)="","",IF(SUM(COUNTIF(P1480,{"*NLGD*","*FWG*"}))&gt;0,P1480,IF(SUM(COUNTIF(P1480,{"*GL*","*DGB*","*DGI*","*GT*","*CS*","*PWU*","*DBI*","*SWU*"}))=0,P1480,IF(IFERROR(VALUE(SUBSTITUTE(SUBSTITUTE(O1480,"W",""),"""","")),0)&gt;52,P1480&amp;"-OVRSIZE-",P1480))))</f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s="18" t="str">
        <v/>
      </c>
      <c r="O1480" s="15" t="str" cm="1">
        <f t="array" ref="O1480">IFERROR(_xlfn.LET(
_xlpm.clean,TRIM(SUBSTITUTE(SUBSTITUTE(P1480,CHAR(160),"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0" t="str">
        <f t="shared" ref="S1480:S1543" si="24">IF(R1480="","",_xlfn.LET(
_xlpm.x,TRIM(SUBSTITUTE(SUBSTITUTE(SUBSTITUTE(SUBSTITUTE(R1480,":","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481" spans="3:19" ht="15.75" customHeight="1">
      <c r="C1481" s="15" t="str" cm="1">
        <f t="array" ref="C1481">IFERROR(_xlfn.TEXTJOIN("",TRUE,_xlfn._xlws.FILTER(MID(S1481,_xlfn.SEQUENCE(LEN(S1481)),1),ISNUMBER(SEARCH(MID(S1481,_xlfn.SEQUENCE(LEN(S1481)),1),"ABCDEFGHIJKLMNOPQRSTUVWXYZabcdefghijklmnopqrstuvwxyz0123456789,")))),"")</f>
        <v/>
      </c>
      <c r="G1481" s="20" t="str" cm="1">
        <f t="array" ref="G1481">IF(TRIM(P1481)="","",IF(SUM(COUNTIF(P1481,{"*NLGD*","*FWG*"}))&gt;0,P1481,IF(SUM(COUNTIF(P1481,{"*GL*","*DGB*","*DGI*","*GT*","*CS*","*PWU*","*DBI*","*SWU*"}))=0,P1481,IF(IFERROR(VALUE(SUBSTITUTE(SUBSTITUTE(O1481,"W",""),"""","")),0)&gt;52,P1481&amp;"-OVRSIZE-",P1481))))</f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s="18" t="str">
        <v/>
      </c>
      <c r="O1481" s="15" t="str" cm="1">
        <f t="array" ref="O1481">IFERROR(_xlfn.LET(
_xlpm.clean,TRIM(SUBSTITUTE(SUBSTITUTE(P1481,CHAR(160),"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1" t="str">
        <f t="shared" si="24"/>
        <v/>
      </c>
    </row>
    <row r="1482" spans="3:19" ht="15.75" customHeight="1">
      <c r="C1482" s="15" t="str" cm="1">
        <f t="array" ref="C1482">IFERROR(_xlfn.TEXTJOIN("",TRUE,_xlfn._xlws.FILTER(MID(S1482,_xlfn.SEQUENCE(LEN(S1482)),1),ISNUMBER(SEARCH(MID(S1482,_xlfn.SEQUENCE(LEN(S1482)),1),"ABCDEFGHIJKLMNOPQRSTUVWXYZabcdefghijklmnopqrstuvwxyz0123456789,")))),"")</f>
        <v/>
      </c>
      <c r="G1482" s="20" t="str" cm="1">
        <f t="array" ref="G1482">IF(TRIM(P1482)="","",IF(SUM(COUNTIF(P1482,{"*NLGD*","*FWG*"}))&gt;0,P1482,IF(SUM(COUNTIF(P1482,{"*GL*","*DGB*","*DGI*","*GT*","*CS*","*PWU*","*DBI*","*SWU*"}))=0,P1482,IF(IFERROR(VALUE(SUBSTITUTE(SUBSTITUTE(O1482,"W",""),"""","")),0)&gt;52,P1482&amp;"-OVRSIZE-",P1482))))</f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s="18" t="str">
        <v/>
      </c>
      <c r="O1482" s="15" t="str" cm="1">
        <f t="array" ref="O1482">IFERROR(_xlfn.LET(
_xlpm.clean,TRIM(SUBSTITUTE(SUBSTITUTE(P1482,CHAR(160),"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2" t="str">
        <f t="shared" si="24"/>
        <v/>
      </c>
    </row>
    <row r="1483" spans="3:19" ht="15.75" customHeight="1">
      <c r="C1483" s="15" t="str" cm="1">
        <f t="array" ref="C1483">IFERROR(_xlfn.TEXTJOIN("",TRUE,_xlfn._xlws.FILTER(MID(S1483,_xlfn.SEQUENCE(LEN(S1483)),1),ISNUMBER(SEARCH(MID(S1483,_xlfn.SEQUENCE(LEN(S1483)),1),"ABCDEFGHIJKLMNOPQRSTUVWXYZabcdefghijklmnopqrstuvwxyz0123456789,")))),"")</f>
        <v/>
      </c>
      <c r="G1483" s="20" t="str" cm="1">
        <f t="array" ref="G1483">IF(TRIM(P1483)="","",IF(SUM(COUNTIF(P1483,{"*NLGD*","*FWG*"}))&gt;0,P1483,IF(SUM(COUNTIF(P1483,{"*GL*","*DGB*","*DGI*","*GT*","*CS*","*PWU*","*DBI*","*SWU*"}))=0,P1483,IF(IFERROR(VALUE(SUBSTITUTE(SUBSTITUTE(O1483,"W",""),"""","")),0)&gt;52,P1483&amp;"-OVRSIZE-",P1483))))</f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s="18" t="str">
        <v/>
      </c>
      <c r="O1483" s="15" t="str" cm="1">
        <f t="array" ref="O1483">IFERROR(_xlfn.LET(
_xlpm.clean,TRIM(SUBSTITUTE(SUBSTITUTE(P1483,CHAR(160),"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3" t="str">
        <f t="shared" si="24"/>
        <v/>
      </c>
    </row>
    <row r="1484" spans="3:19" ht="15.75" customHeight="1">
      <c r="C1484" s="15" t="str" cm="1">
        <f t="array" ref="C1484">IFERROR(_xlfn.TEXTJOIN("",TRUE,_xlfn._xlws.FILTER(MID(S1484,_xlfn.SEQUENCE(LEN(S1484)),1),ISNUMBER(SEARCH(MID(S1484,_xlfn.SEQUENCE(LEN(S1484)),1),"ABCDEFGHIJKLMNOPQRSTUVWXYZabcdefghijklmnopqrstuvwxyz0123456789,")))),"")</f>
        <v/>
      </c>
      <c r="G1484" s="20" t="str" cm="1">
        <f t="array" ref="G1484">IF(TRIM(P1484)="","",IF(SUM(COUNTIF(P1484,{"*NLGD*","*FWG*"}))&gt;0,P1484,IF(SUM(COUNTIF(P1484,{"*GL*","*DGB*","*DGI*","*GT*","*CS*","*PWU*","*DBI*","*SWU*"}))=0,P1484,IF(IFERROR(VALUE(SUBSTITUTE(SUBSTITUTE(O1484,"W",""),"""","")),0)&gt;52,P1484&amp;"-OVRSIZE-",P1484))))</f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s="18" t="str">
        <v/>
      </c>
      <c r="O1484" s="15" t="str" cm="1">
        <f t="array" ref="O1484">IFERROR(_xlfn.LET(
_xlpm.clean,TRIM(SUBSTITUTE(SUBSTITUTE(P1484,CHAR(160),"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4" t="str">
        <f t="shared" si="24"/>
        <v/>
      </c>
    </row>
    <row r="1485" spans="3:19" ht="15.75" customHeight="1">
      <c r="C1485" s="15" t="str" cm="1">
        <f t="array" ref="C1485">IFERROR(_xlfn.TEXTJOIN("",TRUE,_xlfn._xlws.FILTER(MID(S1485,_xlfn.SEQUENCE(LEN(S1485)),1),ISNUMBER(SEARCH(MID(S1485,_xlfn.SEQUENCE(LEN(S1485)),1),"ABCDEFGHIJKLMNOPQRSTUVWXYZabcdefghijklmnopqrstuvwxyz0123456789,")))),"")</f>
        <v/>
      </c>
      <c r="G1485" s="20" t="str" cm="1">
        <f t="array" ref="G1485">IF(TRIM(P1485)="","",IF(SUM(COUNTIF(P1485,{"*NLGD*","*FWG*"}))&gt;0,P1485,IF(SUM(COUNTIF(P1485,{"*GL*","*DGB*","*DGI*","*GT*","*CS*","*PWU*","*DBI*","*SWU*"}))=0,P1485,IF(IFERROR(VALUE(SUBSTITUTE(SUBSTITUTE(O1485,"W",""),"""","")),0)&gt;52,P1485&amp;"-OVRSIZE-",P1485))))</f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s="18" t="str">
        <v/>
      </c>
      <c r="O1485" s="15" t="str" cm="1">
        <f t="array" ref="O1485">IFERROR(_xlfn.LET(
_xlpm.clean,TRIM(SUBSTITUTE(SUBSTITUTE(P1485,CHAR(160),"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5" t="str">
        <f t="shared" si="24"/>
        <v/>
      </c>
    </row>
    <row r="1486" spans="3:19" ht="15.75" customHeight="1">
      <c r="C1486" s="15" t="str" cm="1">
        <f t="array" ref="C1486">IFERROR(_xlfn.TEXTJOIN("",TRUE,_xlfn._xlws.FILTER(MID(S1486,_xlfn.SEQUENCE(LEN(S1486)),1),ISNUMBER(SEARCH(MID(S1486,_xlfn.SEQUENCE(LEN(S1486)),1),"ABCDEFGHIJKLMNOPQRSTUVWXYZabcdefghijklmnopqrstuvwxyz0123456789,")))),"")</f>
        <v/>
      </c>
      <c r="G1486" s="20" t="str" cm="1">
        <f t="array" ref="G1486">IF(TRIM(P1486)="","",IF(SUM(COUNTIF(P1486,{"*NLGD*","*FWG*"}))&gt;0,P1486,IF(SUM(COUNTIF(P1486,{"*GL*","*DGB*","*DGI*","*GT*","*CS*","*PWU*","*DBI*","*SWU*"}))=0,P1486,IF(IFERROR(VALUE(SUBSTITUTE(SUBSTITUTE(O1486,"W",""),"""","")),0)&gt;52,P1486&amp;"-OVRSIZE-",P1486))))</f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s="18" t="str">
        <v/>
      </c>
      <c r="O1486" s="15" t="str" cm="1">
        <f t="array" ref="O1486">IFERROR(_xlfn.LET(
_xlpm.clean,TRIM(SUBSTITUTE(SUBSTITUTE(P1486,CHAR(160),"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6" t="str">
        <f t="shared" si="24"/>
        <v/>
      </c>
    </row>
    <row r="1487" spans="3:19" ht="15.75" customHeight="1">
      <c r="C1487" s="15" t="str" cm="1">
        <f t="array" ref="C1487">IFERROR(_xlfn.TEXTJOIN("",TRUE,_xlfn._xlws.FILTER(MID(S1487,_xlfn.SEQUENCE(LEN(S1487)),1),ISNUMBER(SEARCH(MID(S1487,_xlfn.SEQUENCE(LEN(S1487)),1),"ABCDEFGHIJKLMNOPQRSTUVWXYZabcdefghijklmnopqrstuvwxyz0123456789,")))),"")</f>
        <v/>
      </c>
      <c r="G1487" s="20" t="str" cm="1">
        <f t="array" ref="G1487">IF(TRIM(P1487)="","",IF(SUM(COUNTIF(P1487,{"*NLGD*","*FWG*"}))&gt;0,P1487,IF(SUM(COUNTIF(P1487,{"*GL*","*DGB*","*DGI*","*GT*","*CS*","*PWU*","*DBI*","*SWU*"}))=0,P1487,IF(IFERROR(VALUE(SUBSTITUTE(SUBSTITUTE(O1487,"W",""),"""","")),0)&gt;52,P1487&amp;"-OVRSIZE-",P1487))))</f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s="18" t="str">
        <v/>
      </c>
      <c r="O1487" s="15" t="str" cm="1">
        <f t="array" ref="O1487">IFERROR(_xlfn.LET(
_xlpm.clean,TRIM(SUBSTITUTE(SUBSTITUTE(P1487,CHAR(160),"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7" t="str">
        <f t="shared" si="24"/>
        <v/>
      </c>
    </row>
    <row r="1488" spans="3:19" ht="15.75" customHeight="1">
      <c r="C1488" s="15" t="str" cm="1">
        <f t="array" ref="C1488">IFERROR(_xlfn.TEXTJOIN("",TRUE,_xlfn._xlws.FILTER(MID(S1488,_xlfn.SEQUENCE(LEN(S1488)),1),ISNUMBER(SEARCH(MID(S1488,_xlfn.SEQUENCE(LEN(S1488)),1),"ABCDEFGHIJKLMNOPQRSTUVWXYZabcdefghijklmnopqrstuvwxyz0123456789,")))),"")</f>
        <v/>
      </c>
      <c r="G1488" s="20" t="str" cm="1">
        <f t="array" ref="G1488">IF(TRIM(P1488)="","",IF(SUM(COUNTIF(P1488,{"*NLGD*","*FWG*"}))&gt;0,P1488,IF(SUM(COUNTIF(P1488,{"*GL*","*DGB*","*DGI*","*GT*","*CS*","*PWU*","*DBI*","*SWU*"}))=0,P1488,IF(IFERROR(VALUE(SUBSTITUTE(SUBSTITUTE(O1488,"W",""),"""","")),0)&gt;52,P1488&amp;"-OVRSIZE-",P1488))))</f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s="18" t="str">
        <v/>
      </c>
      <c r="O1488" s="15" t="str" cm="1">
        <f t="array" ref="O1488">IFERROR(_xlfn.LET(
_xlpm.clean,TRIM(SUBSTITUTE(SUBSTITUTE(P1488,CHAR(160),"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8" t="str">
        <f t="shared" si="24"/>
        <v/>
      </c>
    </row>
    <row r="1489" spans="3:19" ht="15.75" customHeight="1">
      <c r="C1489" s="15" t="str" cm="1">
        <f t="array" ref="C1489">IFERROR(_xlfn.TEXTJOIN("",TRUE,_xlfn._xlws.FILTER(MID(S1489,_xlfn.SEQUENCE(LEN(S1489)),1),ISNUMBER(SEARCH(MID(S1489,_xlfn.SEQUENCE(LEN(S1489)),1),"ABCDEFGHIJKLMNOPQRSTUVWXYZabcdefghijklmnopqrstuvwxyz0123456789,")))),"")</f>
        <v/>
      </c>
      <c r="G1489" s="20" t="str" cm="1">
        <f t="array" ref="G1489">IF(TRIM(P1489)="","",IF(SUM(COUNTIF(P1489,{"*NLGD*","*FWG*"}))&gt;0,P1489,IF(SUM(COUNTIF(P1489,{"*GL*","*DGB*","*DGI*","*GT*","*CS*","*PWU*","*DBI*","*SWU*"}))=0,P1489,IF(IFERROR(VALUE(SUBSTITUTE(SUBSTITUTE(O1489,"W",""),"""","")),0)&gt;52,P1489&amp;"-OVRSIZE-",P1489))))</f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s="18" t="str">
        <v/>
      </c>
      <c r="O1489" s="15" t="str" cm="1">
        <f t="array" ref="O1489">IFERROR(_xlfn.LET(
_xlpm.clean,TRIM(SUBSTITUTE(SUBSTITUTE(P1489,CHAR(160),"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9" t="str">
        <f t="shared" si="24"/>
        <v/>
      </c>
    </row>
    <row r="1490" spans="3:19" ht="15.75" customHeight="1">
      <c r="C1490" s="15" t="str" cm="1">
        <f t="array" ref="C1490">IFERROR(_xlfn.TEXTJOIN("",TRUE,_xlfn._xlws.FILTER(MID(S1490,_xlfn.SEQUENCE(LEN(S1490)),1),ISNUMBER(SEARCH(MID(S1490,_xlfn.SEQUENCE(LEN(S1490)),1),"ABCDEFGHIJKLMNOPQRSTUVWXYZabcdefghijklmnopqrstuvwxyz0123456789,")))),"")</f>
        <v/>
      </c>
      <c r="G1490" s="20" t="str" cm="1">
        <f t="array" ref="G1490">IF(TRIM(P1490)="","",IF(SUM(COUNTIF(P1490,{"*NLGD*","*FWG*"}))&gt;0,P1490,IF(SUM(COUNTIF(P1490,{"*GL*","*DGB*","*DGI*","*GT*","*CS*","*PWU*","*DBI*","*SWU*"}))=0,P1490,IF(IFERROR(VALUE(SUBSTITUTE(SUBSTITUTE(O1490,"W",""),"""","")),0)&gt;52,P1490&amp;"-OVRSIZE-",P1490))))</f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s="18" t="str">
        <v/>
      </c>
      <c r="O1490" s="15" t="str" cm="1">
        <f t="array" ref="O1490">IFERROR(_xlfn.LET(
_xlpm.clean,TRIM(SUBSTITUTE(SUBSTITUTE(P1490,CHAR(160),"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0" t="str">
        <f t="shared" si="24"/>
        <v/>
      </c>
    </row>
    <row r="1491" spans="3:19" ht="15.75" customHeight="1">
      <c r="C1491" s="15" t="str" cm="1">
        <f t="array" ref="C1491">IFERROR(_xlfn.TEXTJOIN("",TRUE,_xlfn._xlws.FILTER(MID(S1491,_xlfn.SEQUENCE(LEN(S1491)),1),ISNUMBER(SEARCH(MID(S1491,_xlfn.SEQUENCE(LEN(S1491)),1),"ABCDEFGHIJKLMNOPQRSTUVWXYZabcdefghijklmnopqrstuvwxyz0123456789,")))),"")</f>
        <v/>
      </c>
      <c r="G1491" s="20" t="str" cm="1">
        <f t="array" ref="G1491">IF(TRIM(P1491)="","",IF(SUM(COUNTIF(P1491,{"*NLGD*","*FWG*"}))&gt;0,P1491,IF(SUM(COUNTIF(P1491,{"*GL*","*DGB*","*DGI*","*GT*","*CS*","*PWU*","*DBI*","*SWU*"}))=0,P1491,IF(IFERROR(VALUE(SUBSTITUTE(SUBSTITUTE(O1491,"W",""),"""","")),0)&gt;52,P1491&amp;"-OVRSIZE-",P1491))))</f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s="18" t="str">
        <v/>
      </c>
      <c r="O1491" s="15" t="str" cm="1">
        <f t="array" ref="O1491">IFERROR(_xlfn.LET(
_xlpm.clean,TRIM(SUBSTITUTE(SUBSTITUTE(P1491,CHAR(160),"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1" t="str">
        <f t="shared" si="24"/>
        <v/>
      </c>
    </row>
    <row r="1492" spans="3:19" ht="15.75" customHeight="1">
      <c r="C1492" s="15" t="str" cm="1">
        <f t="array" ref="C1492">IFERROR(_xlfn.TEXTJOIN("",TRUE,_xlfn._xlws.FILTER(MID(S1492,_xlfn.SEQUENCE(LEN(S1492)),1),ISNUMBER(SEARCH(MID(S1492,_xlfn.SEQUENCE(LEN(S1492)),1),"ABCDEFGHIJKLMNOPQRSTUVWXYZabcdefghijklmnopqrstuvwxyz0123456789,")))),"")</f>
        <v/>
      </c>
      <c r="G1492" s="20" t="str" cm="1">
        <f t="array" ref="G1492">IF(TRIM(P1492)="","",IF(SUM(COUNTIF(P1492,{"*NLGD*","*FWG*"}))&gt;0,P1492,IF(SUM(COUNTIF(P1492,{"*GL*","*DGB*","*DGI*","*GT*","*CS*","*PWU*","*DBI*","*SWU*"}))=0,P1492,IF(IFERROR(VALUE(SUBSTITUTE(SUBSTITUTE(O1492,"W",""),"""","")),0)&gt;52,P1492&amp;"-OVRSIZE-",P1492))))</f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s="18" t="str">
        <v/>
      </c>
      <c r="O1492" s="15" t="str" cm="1">
        <f t="array" ref="O1492">IFERROR(_xlfn.LET(
_xlpm.clean,TRIM(SUBSTITUTE(SUBSTITUTE(P1492,CHAR(160),"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2" t="str">
        <f t="shared" si="24"/>
        <v/>
      </c>
    </row>
    <row r="1493" spans="3:19" ht="15.75" customHeight="1">
      <c r="C1493" s="15" t="str" cm="1">
        <f t="array" ref="C1493">IFERROR(_xlfn.TEXTJOIN("",TRUE,_xlfn._xlws.FILTER(MID(S1493,_xlfn.SEQUENCE(LEN(S1493)),1),ISNUMBER(SEARCH(MID(S1493,_xlfn.SEQUENCE(LEN(S1493)),1),"ABCDEFGHIJKLMNOPQRSTUVWXYZabcdefghijklmnopqrstuvwxyz0123456789,")))),"")</f>
        <v/>
      </c>
      <c r="G1493" s="20" t="str" cm="1">
        <f t="array" ref="G1493">IF(TRIM(P1493)="","",IF(SUM(COUNTIF(P1493,{"*NLGD*","*FWG*"}))&gt;0,P1493,IF(SUM(COUNTIF(P1493,{"*GL*","*DGB*","*DGI*","*GT*","*CS*","*PWU*","*DBI*","*SWU*"}))=0,P1493,IF(IFERROR(VALUE(SUBSTITUTE(SUBSTITUTE(O1493,"W",""),"""","")),0)&gt;52,P1493&amp;"-OVRSIZE-",P1493))))</f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s="18" t="str">
        <v/>
      </c>
      <c r="O1493" s="15" t="str" cm="1">
        <f t="array" ref="O1493">IFERROR(_xlfn.LET(
_xlpm.clean,TRIM(SUBSTITUTE(SUBSTITUTE(P1493,CHAR(160),"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3" t="str">
        <f t="shared" si="24"/>
        <v/>
      </c>
    </row>
    <row r="1494" spans="3:19" ht="15.75" customHeight="1">
      <c r="C1494" s="15" t="str" cm="1">
        <f t="array" ref="C1494">IFERROR(_xlfn.TEXTJOIN("",TRUE,_xlfn._xlws.FILTER(MID(S1494,_xlfn.SEQUENCE(LEN(S1494)),1),ISNUMBER(SEARCH(MID(S1494,_xlfn.SEQUENCE(LEN(S1494)),1),"ABCDEFGHIJKLMNOPQRSTUVWXYZabcdefghijklmnopqrstuvwxyz0123456789,")))),"")</f>
        <v/>
      </c>
      <c r="G1494" s="20" t="str" cm="1">
        <f t="array" ref="G1494">IF(TRIM(P1494)="","",IF(SUM(COUNTIF(P1494,{"*NLGD*","*FWG*"}))&gt;0,P1494,IF(SUM(COUNTIF(P1494,{"*GL*","*DGB*","*DGI*","*GT*","*CS*","*PWU*","*DBI*","*SWU*"}))=0,P1494,IF(IFERROR(VALUE(SUBSTITUTE(SUBSTITUTE(O1494,"W",""),"""","")),0)&gt;52,P1494&amp;"-OVRSIZE-",P1494))))</f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s="18" t="str">
        <v/>
      </c>
      <c r="O1494" s="15" t="str" cm="1">
        <f t="array" ref="O1494">IFERROR(_xlfn.LET(
_xlpm.clean,TRIM(SUBSTITUTE(SUBSTITUTE(P1494,CHAR(160),"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4" t="str">
        <f t="shared" si="24"/>
        <v/>
      </c>
    </row>
    <row r="1495" spans="3:19" ht="15.75" customHeight="1">
      <c r="C1495" s="15" t="str" cm="1">
        <f t="array" ref="C1495">IFERROR(_xlfn.TEXTJOIN("",TRUE,_xlfn._xlws.FILTER(MID(S1495,_xlfn.SEQUENCE(LEN(S1495)),1),ISNUMBER(SEARCH(MID(S1495,_xlfn.SEQUENCE(LEN(S1495)),1),"ABCDEFGHIJKLMNOPQRSTUVWXYZabcdefghijklmnopqrstuvwxyz0123456789,")))),"")</f>
        <v/>
      </c>
      <c r="G1495" s="20" t="str" cm="1">
        <f t="array" ref="G1495">IF(TRIM(P1495)="","",IF(SUM(COUNTIF(P1495,{"*NLGD*","*FWG*"}))&gt;0,P1495,IF(SUM(COUNTIF(P1495,{"*GL*","*DGB*","*DGI*","*GT*","*CS*","*PWU*","*DBI*","*SWU*"}))=0,P1495,IF(IFERROR(VALUE(SUBSTITUTE(SUBSTITUTE(O1495,"W",""),"""","")),0)&gt;52,P1495&amp;"-OVRSIZE-",P1495))))</f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s="18" t="str">
        <v/>
      </c>
      <c r="O1495" s="15" t="str" cm="1">
        <f t="array" ref="O1495">IFERROR(_xlfn.LET(
_xlpm.clean,TRIM(SUBSTITUTE(SUBSTITUTE(P1495,CHAR(160),"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5" t="str">
        <f t="shared" si="24"/>
        <v/>
      </c>
    </row>
    <row r="1496" spans="3:19" ht="15.75" customHeight="1">
      <c r="C1496" s="15" t="str" cm="1">
        <f t="array" ref="C1496">IFERROR(_xlfn.TEXTJOIN("",TRUE,_xlfn._xlws.FILTER(MID(S1496,_xlfn.SEQUENCE(LEN(S1496)),1),ISNUMBER(SEARCH(MID(S1496,_xlfn.SEQUENCE(LEN(S1496)),1),"ABCDEFGHIJKLMNOPQRSTUVWXYZabcdefghijklmnopqrstuvwxyz0123456789,")))),"")</f>
        <v/>
      </c>
      <c r="G1496" s="20" t="str" cm="1">
        <f t="array" ref="G1496">IF(TRIM(P1496)="","",IF(SUM(COUNTIF(P1496,{"*NLGD*","*FWG*"}))&gt;0,P1496,IF(SUM(COUNTIF(P1496,{"*GL*","*DGB*","*DGI*","*GT*","*CS*","*PWU*","*DBI*","*SWU*"}))=0,P1496,IF(IFERROR(VALUE(SUBSTITUTE(SUBSTITUTE(O1496,"W",""),"""","")),0)&gt;52,P1496&amp;"-OVRSIZE-",P1496))))</f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s="18" t="str">
        <v/>
      </c>
      <c r="O1496" s="15" t="str" cm="1">
        <f t="array" ref="O1496">IFERROR(_xlfn.LET(
_xlpm.clean,TRIM(SUBSTITUTE(SUBSTITUTE(P1496,CHAR(160),"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6" t="str">
        <f t="shared" si="24"/>
        <v/>
      </c>
    </row>
    <row r="1497" spans="3:19" ht="15.75" customHeight="1">
      <c r="C1497" s="15" t="str" cm="1">
        <f t="array" ref="C1497">IFERROR(_xlfn.TEXTJOIN("",TRUE,_xlfn._xlws.FILTER(MID(S1497,_xlfn.SEQUENCE(LEN(S1497)),1),ISNUMBER(SEARCH(MID(S1497,_xlfn.SEQUENCE(LEN(S1497)),1),"ABCDEFGHIJKLMNOPQRSTUVWXYZabcdefghijklmnopqrstuvwxyz0123456789,")))),"")</f>
        <v/>
      </c>
      <c r="G1497" s="20" t="str" cm="1">
        <f t="array" ref="G1497">IF(TRIM(P1497)="","",IF(SUM(COUNTIF(P1497,{"*NLGD*","*FWG*"}))&gt;0,P1497,IF(SUM(COUNTIF(P1497,{"*GL*","*DGB*","*DGI*","*GT*","*CS*","*PWU*","*DBI*","*SWU*"}))=0,P1497,IF(IFERROR(VALUE(SUBSTITUTE(SUBSTITUTE(O1497,"W",""),"""","")),0)&gt;52,P1497&amp;"-OVRSIZE-",P1497))))</f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s="18" t="str">
        <v/>
      </c>
      <c r="O1497" s="15" t="str" cm="1">
        <f t="array" ref="O1497">IFERROR(_xlfn.LET(
_xlpm.clean,TRIM(SUBSTITUTE(SUBSTITUTE(P1497,CHAR(160),"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7" t="str">
        <f t="shared" si="24"/>
        <v/>
      </c>
    </row>
    <row r="1498" spans="3:19" ht="15.75" customHeight="1">
      <c r="C1498" s="15" t="str" cm="1">
        <f t="array" ref="C1498">IFERROR(_xlfn.TEXTJOIN("",TRUE,_xlfn._xlws.FILTER(MID(S1498,_xlfn.SEQUENCE(LEN(S1498)),1),ISNUMBER(SEARCH(MID(S1498,_xlfn.SEQUENCE(LEN(S1498)),1),"ABCDEFGHIJKLMNOPQRSTUVWXYZabcdefghijklmnopqrstuvwxyz0123456789,")))),"")</f>
        <v/>
      </c>
      <c r="G1498" s="20" t="str" cm="1">
        <f t="array" ref="G1498">IF(TRIM(P1498)="","",IF(SUM(COUNTIF(P1498,{"*NLGD*","*FWG*"}))&gt;0,P1498,IF(SUM(COUNTIF(P1498,{"*GL*","*DGB*","*DGI*","*GT*","*CS*","*PWU*","*DBI*","*SWU*"}))=0,P1498,IF(IFERROR(VALUE(SUBSTITUTE(SUBSTITUTE(O1498,"W",""),"""","")),0)&gt;52,P1498&amp;"-OVRSIZE-",P1498))))</f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s="18" t="str">
        <v/>
      </c>
      <c r="O1498" s="15" t="str" cm="1">
        <f t="array" ref="O1498">IFERROR(_xlfn.LET(
_xlpm.clean,TRIM(SUBSTITUTE(SUBSTITUTE(P1498,CHAR(160),"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8" t="str">
        <f t="shared" si="24"/>
        <v/>
      </c>
    </row>
    <row r="1499" spans="3:19" ht="15.75" customHeight="1">
      <c r="C1499" s="15" t="str" cm="1">
        <f t="array" ref="C1499">IFERROR(_xlfn.TEXTJOIN("",TRUE,_xlfn._xlws.FILTER(MID(S1499,_xlfn.SEQUENCE(LEN(S1499)),1),ISNUMBER(SEARCH(MID(S1499,_xlfn.SEQUENCE(LEN(S1499)),1),"ABCDEFGHIJKLMNOPQRSTUVWXYZabcdefghijklmnopqrstuvwxyz0123456789,")))),"")</f>
        <v/>
      </c>
      <c r="G1499" s="20" t="str" cm="1">
        <f t="array" ref="G1499">IF(TRIM(P1499)="","",IF(SUM(COUNTIF(P1499,{"*NLGD*","*FWG*"}))&gt;0,P1499,IF(SUM(COUNTIF(P1499,{"*GL*","*DGB*","*DGI*","*GT*","*CS*","*PWU*","*DBI*","*SWU*"}))=0,P1499,IF(IFERROR(VALUE(SUBSTITUTE(SUBSTITUTE(O1499,"W",""),"""","")),0)&gt;52,P1499&amp;"-OVRSIZE-",P1499))))</f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s="18" t="str">
        <v/>
      </c>
      <c r="O1499" s="15" t="str" cm="1">
        <f t="array" ref="O1499">IFERROR(_xlfn.LET(
_xlpm.clean,TRIM(SUBSTITUTE(SUBSTITUTE(P1499,CHAR(160),"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9" t="str">
        <f t="shared" si="24"/>
        <v/>
      </c>
    </row>
    <row r="1500" spans="3:19" ht="15.75" customHeight="1">
      <c r="C1500" s="15" t="str" cm="1">
        <f t="array" ref="C1500">IFERROR(_xlfn.TEXTJOIN("",TRUE,_xlfn._xlws.FILTER(MID(S1500,_xlfn.SEQUENCE(LEN(S1500)),1),ISNUMBER(SEARCH(MID(S1500,_xlfn.SEQUENCE(LEN(S1500)),1),"ABCDEFGHIJKLMNOPQRSTUVWXYZabcdefghijklmnopqrstuvwxyz0123456789,")))),"")</f>
        <v/>
      </c>
      <c r="G1500" s="20" t="str" cm="1">
        <f t="array" ref="G1500">IF(TRIM(P1500)="","",IF(SUM(COUNTIF(P1500,{"*NLGD*","*FWG*"}))&gt;0,P1500,IF(SUM(COUNTIF(P1500,{"*GL*","*DGB*","*DGI*","*GT*","*CS*","*PWU*","*DBI*","*SWU*"}))=0,P1500,IF(IFERROR(VALUE(SUBSTITUTE(SUBSTITUTE(O1500,"W",""),"""","")),0)&gt;52,P1500&amp;"-OVRSIZE-",P1500))))</f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s="18" t="str">
        <v/>
      </c>
      <c r="O1500" s="15" t="str" cm="1">
        <f t="array" ref="O1500">IFERROR(_xlfn.LET(
_xlpm.clean,TRIM(SUBSTITUTE(SUBSTITUTE(P1500,CHAR(160),"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0" t="str">
        <f t="shared" si="24"/>
        <v/>
      </c>
    </row>
    <row r="1501" spans="3:19" ht="15.75" customHeight="1">
      <c r="C1501" s="15" t="str" cm="1">
        <f t="array" ref="C1501">IFERROR(_xlfn.TEXTJOIN("",TRUE,_xlfn._xlws.FILTER(MID(S1501,_xlfn.SEQUENCE(LEN(S1501)),1),ISNUMBER(SEARCH(MID(S1501,_xlfn.SEQUENCE(LEN(S1501)),1),"ABCDEFGHIJKLMNOPQRSTUVWXYZabcdefghijklmnopqrstuvwxyz0123456789,")))),"")</f>
        <v/>
      </c>
      <c r="G1501" s="20" t="str" cm="1">
        <f t="array" ref="G1501">IF(TRIM(P1501)="","",IF(SUM(COUNTIF(P1501,{"*NLGD*","*FWG*"}))&gt;0,P1501,IF(SUM(COUNTIF(P1501,{"*GL*","*DGB*","*DGI*","*GT*","*CS*","*PWU*","*DBI*","*SWU*"}))=0,P1501,IF(IFERROR(VALUE(SUBSTITUTE(SUBSTITUTE(O1501,"W",""),"""","")),0)&gt;52,P1501&amp;"-OVRSIZE-",P1501))))</f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s="18" t="str">
        <v/>
      </c>
      <c r="O1501" s="15" t="str" cm="1">
        <f t="array" ref="O1501">IFERROR(_xlfn.LET(
_xlpm.clean,TRIM(SUBSTITUTE(SUBSTITUTE(P1501,CHAR(160),"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1" t="str">
        <f t="shared" si="24"/>
        <v/>
      </c>
    </row>
    <row r="1502" spans="3:19" ht="15.75" customHeight="1">
      <c r="C1502" s="15" t="str" cm="1">
        <f t="array" ref="C1502">IFERROR(_xlfn.TEXTJOIN("",TRUE,_xlfn._xlws.FILTER(MID(S1502,_xlfn.SEQUENCE(LEN(S1502)),1),ISNUMBER(SEARCH(MID(S1502,_xlfn.SEQUENCE(LEN(S1502)),1),"ABCDEFGHIJKLMNOPQRSTUVWXYZabcdefghijklmnopqrstuvwxyz0123456789,")))),"")</f>
        <v/>
      </c>
      <c r="G1502" s="20" t="str" cm="1">
        <f t="array" ref="G1502">IF(TRIM(P1502)="","",IF(SUM(COUNTIF(P1502,{"*NLGD*","*FWG*"}))&gt;0,P1502,IF(SUM(COUNTIF(P1502,{"*GL*","*DGB*","*DGI*","*GT*","*CS*","*PWU*","*DBI*","*SWU*"}))=0,P1502,IF(IFERROR(VALUE(SUBSTITUTE(SUBSTITUTE(O1502,"W",""),"""","")),0)&gt;52,P1502&amp;"-OVRSIZE-",P1502))))</f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s="18" t="str">
        <v/>
      </c>
      <c r="O1502" s="15" t="str" cm="1">
        <f t="array" ref="O1502">IFERROR(_xlfn.LET(
_xlpm.clean,TRIM(SUBSTITUTE(SUBSTITUTE(P1502,CHAR(160),"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2" t="str">
        <f t="shared" si="24"/>
        <v/>
      </c>
    </row>
    <row r="1503" spans="3:19" ht="15.75" customHeight="1">
      <c r="C1503" s="15" t="str" cm="1">
        <f t="array" ref="C1503">IFERROR(_xlfn.TEXTJOIN("",TRUE,_xlfn._xlws.FILTER(MID(S1503,_xlfn.SEQUENCE(LEN(S1503)),1),ISNUMBER(SEARCH(MID(S1503,_xlfn.SEQUENCE(LEN(S1503)),1),"ABCDEFGHIJKLMNOPQRSTUVWXYZabcdefghijklmnopqrstuvwxyz0123456789,")))),"")</f>
        <v/>
      </c>
      <c r="G1503" s="20" t="str" cm="1">
        <f t="array" ref="G1503">IF(TRIM(P1503)="","",IF(SUM(COUNTIF(P1503,{"*NLGD*","*FWG*"}))&gt;0,P1503,IF(SUM(COUNTIF(P1503,{"*GL*","*DGB*","*DGI*","*GT*","*CS*","*PWU*","*DBI*","*SWU*"}))=0,P1503,IF(IFERROR(VALUE(SUBSTITUTE(SUBSTITUTE(O1503,"W",""),"""","")),0)&gt;52,P1503&amp;"-OVRSIZE-",P1503))))</f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s="18" t="str">
        <v/>
      </c>
      <c r="O1503" s="15" t="str" cm="1">
        <f t="array" ref="O1503">IFERROR(_xlfn.LET(
_xlpm.clean,TRIM(SUBSTITUTE(SUBSTITUTE(P1503,CHAR(160),"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3" t="str">
        <f t="shared" si="24"/>
        <v/>
      </c>
    </row>
    <row r="1504" spans="3:19" ht="15.75" customHeight="1">
      <c r="C1504" s="15" t="str" cm="1">
        <f t="array" ref="C1504">IFERROR(_xlfn.TEXTJOIN("",TRUE,_xlfn._xlws.FILTER(MID(S1504,_xlfn.SEQUENCE(LEN(S1504)),1),ISNUMBER(SEARCH(MID(S1504,_xlfn.SEQUENCE(LEN(S1504)),1),"ABCDEFGHIJKLMNOPQRSTUVWXYZabcdefghijklmnopqrstuvwxyz0123456789,")))),"")</f>
        <v/>
      </c>
      <c r="G1504" s="20" t="str" cm="1">
        <f t="array" ref="G1504">IF(TRIM(P1504)="","",IF(SUM(COUNTIF(P1504,{"*NLGD*","*FWG*"}))&gt;0,P1504,IF(SUM(COUNTIF(P1504,{"*GL*","*DGB*","*DGI*","*GT*","*CS*","*PWU*","*DBI*","*SWU*"}))=0,P1504,IF(IFERROR(VALUE(SUBSTITUTE(SUBSTITUTE(O1504,"W",""),"""","")),0)&gt;52,P1504&amp;"-OVRSIZE-",P1504))))</f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s="18" t="str">
        <v/>
      </c>
      <c r="O1504" s="15" t="str" cm="1">
        <f t="array" ref="O1504">IFERROR(_xlfn.LET(
_xlpm.clean,TRIM(SUBSTITUTE(SUBSTITUTE(P1504,CHAR(160),"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4" t="str">
        <f t="shared" si="24"/>
        <v/>
      </c>
    </row>
    <row r="1505" spans="3:19" ht="15.75" customHeight="1">
      <c r="C1505" s="15" t="str" cm="1">
        <f t="array" ref="C1505">IFERROR(_xlfn.TEXTJOIN("",TRUE,_xlfn._xlws.FILTER(MID(S1505,_xlfn.SEQUENCE(LEN(S1505)),1),ISNUMBER(SEARCH(MID(S1505,_xlfn.SEQUENCE(LEN(S1505)),1),"ABCDEFGHIJKLMNOPQRSTUVWXYZabcdefghijklmnopqrstuvwxyz0123456789,")))),"")</f>
        <v/>
      </c>
      <c r="G1505" s="20" t="str" cm="1">
        <f t="array" ref="G1505">IF(TRIM(P1505)="","",IF(SUM(COUNTIF(P1505,{"*NLGD*","*FWG*"}))&gt;0,P1505,IF(SUM(COUNTIF(P1505,{"*GL*","*DGB*","*DGI*","*GT*","*CS*","*PWU*","*DBI*","*SWU*"}))=0,P1505,IF(IFERROR(VALUE(SUBSTITUTE(SUBSTITUTE(O1505,"W",""),"""","")),0)&gt;52,P1505&amp;"-OVRSIZE-",P1505))))</f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s="18" t="str">
        <v/>
      </c>
      <c r="O1505" s="15" t="str" cm="1">
        <f t="array" ref="O1505">IFERROR(_xlfn.LET(
_xlpm.clean,TRIM(SUBSTITUTE(SUBSTITUTE(P1505,CHAR(160),"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5" t="str">
        <f t="shared" si="24"/>
        <v/>
      </c>
    </row>
    <row r="1506" spans="3:19" ht="15.75" customHeight="1">
      <c r="C1506" s="15" t="str" cm="1">
        <f t="array" ref="C1506">IFERROR(_xlfn.TEXTJOIN("",TRUE,_xlfn._xlws.FILTER(MID(S1506,_xlfn.SEQUENCE(LEN(S1506)),1),ISNUMBER(SEARCH(MID(S1506,_xlfn.SEQUENCE(LEN(S1506)),1),"ABCDEFGHIJKLMNOPQRSTUVWXYZabcdefghijklmnopqrstuvwxyz0123456789,")))),"")</f>
        <v/>
      </c>
      <c r="G1506" s="20" t="str" cm="1">
        <f t="array" ref="G1506">IF(TRIM(P1506)="","",IF(SUM(COUNTIF(P1506,{"*NLGD*","*FWG*"}))&gt;0,P1506,IF(SUM(COUNTIF(P1506,{"*GL*","*DGB*","*DGI*","*GT*","*CS*","*PWU*","*DBI*","*SWU*"}))=0,P1506,IF(IFERROR(VALUE(SUBSTITUTE(SUBSTITUTE(O1506,"W",""),"""","")),0)&gt;52,P1506&amp;"-OVRSIZE-",P1506))))</f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s="18" t="str">
        <v/>
      </c>
      <c r="O1506" s="15" t="str" cm="1">
        <f t="array" ref="O1506">IFERROR(_xlfn.LET(
_xlpm.clean,TRIM(SUBSTITUTE(SUBSTITUTE(P1506,CHAR(160),"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6" t="str">
        <f t="shared" si="24"/>
        <v/>
      </c>
    </row>
    <row r="1507" spans="3:19" ht="15.75" customHeight="1">
      <c r="C1507" s="15" t="str" cm="1">
        <f t="array" ref="C1507">IFERROR(_xlfn.TEXTJOIN("",TRUE,_xlfn._xlws.FILTER(MID(S1507,_xlfn.SEQUENCE(LEN(S1507)),1),ISNUMBER(SEARCH(MID(S1507,_xlfn.SEQUENCE(LEN(S1507)),1),"ABCDEFGHIJKLMNOPQRSTUVWXYZabcdefghijklmnopqrstuvwxyz0123456789,")))),"")</f>
        <v/>
      </c>
      <c r="G1507" s="20" t="str" cm="1">
        <f t="array" ref="G1507">IF(TRIM(P1507)="","",IF(SUM(COUNTIF(P1507,{"*NLGD*","*FWG*"}))&gt;0,P1507,IF(SUM(COUNTIF(P1507,{"*GL*","*DGB*","*DGI*","*GT*","*CS*","*PWU*","*DBI*","*SWU*"}))=0,P1507,IF(IFERROR(VALUE(SUBSTITUTE(SUBSTITUTE(O1507,"W",""),"""","")),0)&gt;52,P1507&amp;"-OVRSIZE-",P1507))))</f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s="18" t="str">
        <v/>
      </c>
      <c r="O1507" s="15" t="str" cm="1">
        <f t="array" ref="O1507">IFERROR(_xlfn.LET(
_xlpm.clean,TRIM(SUBSTITUTE(SUBSTITUTE(P1507,CHAR(160),"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7" t="str">
        <f t="shared" si="24"/>
        <v/>
      </c>
    </row>
    <row r="1508" spans="3:19" ht="15.75" customHeight="1">
      <c r="C1508" s="15" t="str" cm="1">
        <f t="array" ref="C1508">IFERROR(_xlfn.TEXTJOIN("",TRUE,_xlfn._xlws.FILTER(MID(S1508,_xlfn.SEQUENCE(LEN(S1508)),1),ISNUMBER(SEARCH(MID(S1508,_xlfn.SEQUENCE(LEN(S1508)),1),"ABCDEFGHIJKLMNOPQRSTUVWXYZabcdefghijklmnopqrstuvwxyz0123456789,")))),"")</f>
        <v/>
      </c>
      <c r="G1508" s="20" t="str" cm="1">
        <f t="array" ref="G1508">IF(TRIM(P1508)="","",IF(SUM(COUNTIF(P1508,{"*NLGD*","*FWG*"}))&gt;0,P1508,IF(SUM(COUNTIF(P1508,{"*GL*","*DGB*","*DGI*","*GT*","*CS*","*PWU*","*DBI*","*SWU*"}))=0,P1508,IF(IFERROR(VALUE(SUBSTITUTE(SUBSTITUTE(O1508,"W",""),"""","")),0)&gt;52,P1508&amp;"-OVRSIZE-",P1508))))</f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s="18" t="str">
        <v/>
      </c>
      <c r="O1508" s="15" t="str" cm="1">
        <f t="array" ref="O1508">IFERROR(_xlfn.LET(
_xlpm.clean,TRIM(SUBSTITUTE(SUBSTITUTE(P1508,CHAR(160),"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8" t="str">
        <f t="shared" si="24"/>
        <v/>
      </c>
    </row>
    <row r="1509" spans="3:19" ht="15.75" customHeight="1">
      <c r="C1509" s="15" t="str" cm="1">
        <f t="array" ref="C1509">IFERROR(_xlfn.TEXTJOIN("",TRUE,_xlfn._xlws.FILTER(MID(S1509,_xlfn.SEQUENCE(LEN(S1509)),1),ISNUMBER(SEARCH(MID(S1509,_xlfn.SEQUENCE(LEN(S1509)),1),"ABCDEFGHIJKLMNOPQRSTUVWXYZabcdefghijklmnopqrstuvwxyz0123456789,")))),"")</f>
        <v/>
      </c>
      <c r="G1509" s="20" t="str" cm="1">
        <f t="array" ref="G1509">IF(TRIM(P1509)="","",IF(SUM(COUNTIF(P1509,{"*NLGD*","*FWG*"}))&gt;0,P1509,IF(SUM(COUNTIF(P1509,{"*GL*","*DGB*","*DGI*","*GT*","*CS*","*PWU*","*DBI*","*SWU*"}))=0,P1509,IF(IFERROR(VALUE(SUBSTITUTE(SUBSTITUTE(O1509,"W",""),"""","")),0)&gt;52,P1509&amp;"-OVRSIZE-",P1509))))</f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s="18" t="str">
        <v/>
      </c>
      <c r="O1509" s="15" t="str" cm="1">
        <f t="array" ref="O1509">IFERROR(_xlfn.LET(
_xlpm.clean,TRIM(SUBSTITUTE(SUBSTITUTE(P1509,CHAR(160),"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9" t="str">
        <f t="shared" si="24"/>
        <v/>
      </c>
    </row>
    <row r="1510" spans="3:19" ht="15.75" customHeight="1">
      <c r="C1510" s="15" t="str" cm="1">
        <f t="array" ref="C1510">IFERROR(_xlfn.TEXTJOIN("",TRUE,_xlfn._xlws.FILTER(MID(S1510,_xlfn.SEQUENCE(LEN(S1510)),1),ISNUMBER(SEARCH(MID(S1510,_xlfn.SEQUENCE(LEN(S1510)),1),"ABCDEFGHIJKLMNOPQRSTUVWXYZabcdefghijklmnopqrstuvwxyz0123456789,")))),"")</f>
        <v/>
      </c>
      <c r="G1510" s="20" t="str" cm="1">
        <f t="array" ref="G1510">IF(TRIM(P1510)="","",IF(SUM(COUNTIF(P1510,{"*NLGD*","*FWG*"}))&gt;0,P1510,IF(SUM(COUNTIF(P1510,{"*GL*","*DGB*","*DGI*","*GT*","*CS*","*PWU*","*DBI*","*SWU*"}))=0,P1510,IF(IFERROR(VALUE(SUBSTITUTE(SUBSTITUTE(O1510,"W",""),"""","")),0)&gt;52,P1510&amp;"-OVRSIZE-",P1510))))</f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s="18" t="str">
        <v/>
      </c>
      <c r="O1510" s="15" t="str" cm="1">
        <f t="array" ref="O1510">IFERROR(_xlfn.LET(
_xlpm.clean,TRIM(SUBSTITUTE(SUBSTITUTE(P1510,CHAR(160),"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0" t="str">
        <f t="shared" si="24"/>
        <v/>
      </c>
    </row>
    <row r="1511" spans="3:19" ht="15.75" customHeight="1">
      <c r="C1511" s="15" t="str" cm="1">
        <f t="array" ref="C1511">IFERROR(_xlfn.TEXTJOIN("",TRUE,_xlfn._xlws.FILTER(MID(S1511,_xlfn.SEQUENCE(LEN(S1511)),1),ISNUMBER(SEARCH(MID(S1511,_xlfn.SEQUENCE(LEN(S1511)),1),"ABCDEFGHIJKLMNOPQRSTUVWXYZabcdefghijklmnopqrstuvwxyz0123456789,")))),"")</f>
        <v/>
      </c>
      <c r="G1511" s="20" t="str" cm="1">
        <f t="array" ref="G1511">IF(TRIM(P1511)="","",IF(SUM(COUNTIF(P1511,{"*NLGD*","*FWG*"}))&gt;0,P1511,IF(SUM(COUNTIF(P1511,{"*GL*","*DGB*","*DGI*","*GT*","*CS*","*PWU*","*DBI*","*SWU*"}))=0,P1511,IF(IFERROR(VALUE(SUBSTITUTE(SUBSTITUTE(O1511,"W",""),"""","")),0)&gt;52,P1511&amp;"-OVRSIZE-",P1511))))</f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s="18" t="str">
        <v/>
      </c>
      <c r="O1511" s="15" t="str" cm="1">
        <f t="array" ref="O1511">IFERROR(_xlfn.LET(
_xlpm.clean,TRIM(SUBSTITUTE(SUBSTITUTE(P1511,CHAR(160),"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1" t="str">
        <f t="shared" si="24"/>
        <v/>
      </c>
    </row>
    <row r="1512" spans="3:19" ht="15.75" customHeight="1">
      <c r="C1512" s="15" t="str" cm="1">
        <f t="array" ref="C1512">IFERROR(_xlfn.TEXTJOIN("",TRUE,_xlfn._xlws.FILTER(MID(S1512,_xlfn.SEQUENCE(LEN(S1512)),1),ISNUMBER(SEARCH(MID(S1512,_xlfn.SEQUENCE(LEN(S1512)),1),"ABCDEFGHIJKLMNOPQRSTUVWXYZabcdefghijklmnopqrstuvwxyz0123456789,")))),"")</f>
        <v/>
      </c>
      <c r="G1512" s="20" t="str" cm="1">
        <f t="array" ref="G1512">IF(TRIM(P1512)="","",IF(SUM(COUNTIF(P1512,{"*NLGD*","*FWG*"}))&gt;0,P1512,IF(SUM(COUNTIF(P1512,{"*GL*","*DGB*","*DGI*","*GT*","*CS*","*PWU*","*DBI*","*SWU*"}))=0,P1512,IF(IFERROR(VALUE(SUBSTITUTE(SUBSTITUTE(O1512,"W",""),"""","")),0)&gt;52,P1512&amp;"-OVRSIZE-",P1512))))</f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s="18" t="str">
        <v/>
      </c>
      <c r="O1512" s="15" t="str" cm="1">
        <f t="array" ref="O1512">IFERROR(_xlfn.LET(
_xlpm.clean,TRIM(SUBSTITUTE(SUBSTITUTE(P1512,CHAR(160),"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2" t="str">
        <f t="shared" si="24"/>
        <v/>
      </c>
    </row>
    <row r="1513" spans="3:19" ht="15.75" customHeight="1">
      <c r="C1513" s="15" t="str" cm="1">
        <f t="array" ref="C1513">IFERROR(_xlfn.TEXTJOIN("",TRUE,_xlfn._xlws.FILTER(MID(S1513,_xlfn.SEQUENCE(LEN(S1513)),1),ISNUMBER(SEARCH(MID(S1513,_xlfn.SEQUENCE(LEN(S1513)),1),"ABCDEFGHIJKLMNOPQRSTUVWXYZabcdefghijklmnopqrstuvwxyz0123456789,")))),"")</f>
        <v/>
      </c>
      <c r="G1513" s="20" t="str" cm="1">
        <f t="array" ref="G1513">IF(TRIM(P1513)="","",IF(SUM(COUNTIF(P1513,{"*NLGD*","*FWG*"}))&gt;0,P1513,IF(SUM(COUNTIF(P1513,{"*GL*","*DGB*","*DGI*","*GT*","*CS*","*PWU*","*DBI*","*SWU*"}))=0,P1513,IF(IFERROR(VALUE(SUBSTITUTE(SUBSTITUTE(O1513,"W",""),"""","")),0)&gt;52,P1513&amp;"-OVRSIZE-",P1513))))</f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s="18" t="str">
        <v/>
      </c>
      <c r="O1513" s="15" t="str" cm="1">
        <f t="array" ref="O1513">IFERROR(_xlfn.LET(
_xlpm.clean,TRIM(SUBSTITUTE(SUBSTITUTE(P1513,CHAR(160),"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3" t="str">
        <f t="shared" si="24"/>
        <v/>
      </c>
    </row>
    <row r="1514" spans="3:19" ht="15.75" customHeight="1">
      <c r="C1514" s="15" t="str" cm="1">
        <f t="array" ref="C1514">IFERROR(_xlfn.TEXTJOIN("",TRUE,_xlfn._xlws.FILTER(MID(S1514,_xlfn.SEQUENCE(LEN(S1514)),1),ISNUMBER(SEARCH(MID(S1514,_xlfn.SEQUENCE(LEN(S1514)),1),"ABCDEFGHIJKLMNOPQRSTUVWXYZabcdefghijklmnopqrstuvwxyz0123456789,")))),"")</f>
        <v/>
      </c>
      <c r="G1514" s="20" t="str" cm="1">
        <f t="array" ref="G1514">IF(TRIM(P1514)="","",IF(SUM(COUNTIF(P1514,{"*NLGD*","*FWG*"}))&gt;0,P1514,IF(SUM(COUNTIF(P1514,{"*GL*","*DGB*","*DGI*","*GT*","*CS*","*PWU*","*DBI*","*SWU*"}))=0,P1514,IF(IFERROR(VALUE(SUBSTITUTE(SUBSTITUTE(O1514,"W",""),"""","")),0)&gt;52,P1514&amp;"-OVRSIZE-",P1514))))</f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s="18" t="str">
        <v/>
      </c>
      <c r="O1514" s="15" t="str" cm="1">
        <f t="array" ref="O1514">IFERROR(_xlfn.LET(
_xlpm.clean,TRIM(SUBSTITUTE(SUBSTITUTE(P1514,CHAR(160),"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4" t="str">
        <f t="shared" si="24"/>
        <v/>
      </c>
    </row>
    <row r="1515" spans="3:19" ht="15.75" customHeight="1">
      <c r="C1515" s="15" t="str" cm="1">
        <f t="array" ref="C1515">IFERROR(_xlfn.TEXTJOIN("",TRUE,_xlfn._xlws.FILTER(MID(S1515,_xlfn.SEQUENCE(LEN(S1515)),1),ISNUMBER(SEARCH(MID(S1515,_xlfn.SEQUENCE(LEN(S1515)),1),"ABCDEFGHIJKLMNOPQRSTUVWXYZabcdefghijklmnopqrstuvwxyz0123456789,")))),"")</f>
        <v/>
      </c>
      <c r="G1515" s="20" t="str" cm="1">
        <f t="array" ref="G1515">IF(TRIM(P1515)="","",IF(SUM(COUNTIF(P1515,{"*NLGD*","*FWG*"}))&gt;0,P1515,IF(SUM(COUNTIF(P1515,{"*GL*","*DGB*","*DGI*","*GT*","*CS*","*PWU*","*DBI*","*SWU*"}))=0,P1515,IF(IFERROR(VALUE(SUBSTITUTE(SUBSTITUTE(O1515,"W",""),"""","")),0)&gt;52,P1515&amp;"-OVRSIZE-",P1515))))</f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s="18" t="str">
        <v/>
      </c>
      <c r="O1515" s="15" t="str" cm="1">
        <f t="array" ref="O1515">IFERROR(_xlfn.LET(
_xlpm.clean,TRIM(SUBSTITUTE(SUBSTITUTE(P1515,CHAR(160),"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5" t="str">
        <f t="shared" si="24"/>
        <v/>
      </c>
    </row>
    <row r="1516" spans="3:19" ht="15.75" customHeight="1">
      <c r="C1516" s="15" t="str" cm="1">
        <f t="array" ref="C1516">IFERROR(_xlfn.TEXTJOIN("",TRUE,_xlfn._xlws.FILTER(MID(S1516,_xlfn.SEQUENCE(LEN(S1516)),1),ISNUMBER(SEARCH(MID(S1516,_xlfn.SEQUENCE(LEN(S1516)),1),"ABCDEFGHIJKLMNOPQRSTUVWXYZabcdefghijklmnopqrstuvwxyz0123456789,")))),"")</f>
        <v/>
      </c>
      <c r="G1516" s="20" t="str" cm="1">
        <f t="array" ref="G1516">IF(TRIM(P1516)="","",IF(SUM(COUNTIF(P1516,{"*NLGD*","*FWG*"}))&gt;0,P1516,IF(SUM(COUNTIF(P1516,{"*GL*","*DGB*","*DGI*","*GT*","*CS*","*PWU*","*DBI*","*SWU*"}))=0,P1516,IF(IFERROR(VALUE(SUBSTITUTE(SUBSTITUTE(O1516,"W",""),"""","")),0)&gt;52,P1516&amp;"-OVRSIZE-",P1516))))</f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s="18" t="str">
        <v/>
      </c>
      <c r="O1516" s="15" t="str" cm="1">
        <f t="array" ref="O1516">IFERROR(_xlfn.LET(
_xlpm.clean,TRIM(SUBSTITUTE(SUBSTITUTE(P1516,CHAR(160),"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6" t="str">
        <f t="shared" si="24"/>
        <v/>
      </c>
    </row>
    <row r="1517" spans="3:19" ht="15.75" customHeight="1">
      <c r="C1517" s="15" t="str" cm="1">
        <f t="array" ref="C1517">IFERROR(_xlfn.TEXTJOIN("",TRUE,_xlfn._xlws.FILTER(MID(S1517,_xlfn.SEQUENCE(LEN(S1517)),1),ISNUMBER(SEARCH(MID(S1517,_xlfn.SEQUENCE(LEN(S1517)),1),"ABCDEFGHIJKLMNOPQRSTUVWXYZabcdefghijklmnopqrstuvwxyz0123456789,")))),"")</f>
        <v/>
      </c>
      <c r="G1517" s="20" t="str" cm="1">
        <f t="array" ref="G1517">IF(TRIM(P1517)="","",IF(SUM(COUNTIF(P1517,{"*NLGD*","*FWG*"}))&gt;0,P1517,IF(SUM(COUNTIF(P1517,{"*GL*","*DGB*","*DGI*","*GT*","*CS*","*PWU*","*DBI*","*SWU*"}))=0,P1517,IF(IFERROR(VALUE(SUBSTITUTE(SUBSTITUTE(O1517,"W",""),"""","")),0)&gt;52,P1517&amp;"-OVRSIZE-",P1517))))</f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s="18" t="str">
        <v/>
      </c>
      <c r="O1517" s="15" t="str" cm="1">
        <f t="array" ref="O1517">IFERROR(_xlfn.LET(
_xlpm.clean,TRIM(SUBSTITUTE(SUBSTITUTE(P1517,CHAR(160),"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7" t="str">
        <f t="shared" si="24"/>
        <v/>
      </c>
    </row>
    <row r="1518" spans="3:19" ht="15.75" customHeight="1">
      <c r="C1518" s="15" t="str" cm="1">
        <f t="array" ref="C1518">IFERROR(_xlfn.TEXTJOIN("",TRUE,_xlfn._xlws.FILTER(MID(S1518,_xlfn.SEQUENCE(LEN(S1518)),1),ISNUMBER(SEARCH(MID(S1518,_xlfn.SEQUENCE(LEN(S1518)),1),"ABCDEFGHIJKLMNOPQRSTUVWXYZabcdefghijklmnopqrstuvwxyz0123456789,")))),"")</f>
        <v/>
      </c>
      <c r="G1518" s="20" t="str" cm="1">
        <f t="array" ref="G1518">IF(TRIM(P1518)="","",IF(SUM(COUNTIF(P1518,{"*NLGD*","*FWG*"}))&gt;0,P1518,IF(SUM(COUNTIF(P1518,{"*GL*","*DGB*","*DGI*","*GT*","*CS*","*PWU*","*DBI*","*SWU*"}))=0,P1518,IF(IFERROR(VALUE(SUBSTITUTE(SUBSTITUTE(O1518,"W",""),"""","")),0)&gt;52,P1518&amp;"-OVRSIZE-",P1518))))</f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s="18" t="str">
        <v/>
      </c>
      <c r="O1518" s="15" t="str" cm="1">
        <f t="array" ref="O1518">IFERROR(_xlfn.LET(
_xlpm.clean,TRIM(SUBSTITUTE(SUBSTITUTE(P1518,CHAR(160),"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8" t="str">
        <f t="shared" si="24"/>
        <v/>
      </c>
    </row>
    <row r="1519" spans="3:19" ht="15.75" customHeight="1">
      <c r="C1519" s="15" t="str" cm="1">
        <f t="array" ref="C1519">IFERROR(_xlfn.TEXTJOIN("",TRUE,_xlfn._xlws.FILTER(MID(S1519,_xlfn.SEQUENCE(LEN(S1519)),1),ISNUMBER(SEARCH(MID(S1519,_xlfn.SEQUENCE(LEN(S1519)),1),"ABCDEFGHIJKLMNOPQRSTUVWXYZabcdefghijklmnopqrstuvwxyz0123456789,")))),"")</f>
        <v/>
      </c>
      <c r="G1519" s="20" t="str" cm="1">
        <f t="array" ref="G1519">IF(TRIM(P1519)="","",IF(SUM(COUNTIF(P1519,{"*NLGD*","*FWG*"}))&gt;0,P1519,IF(SUM(COUNTIF(P1519,{"*GL*","*DGB*","*DGI*","*GT*","*CS*","*PWU*","*DBI*","*SWU*"}))=0,P1519,IF(IFERROR(VALUE(SUBSTITUTE(SUBSTITUTE(O1519,"W",""),"""","")),0)&gt;52,P1519&amp;"-OVRSIZE-",P1519))))</f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s="18" t="str">
        <v/>
      </c>
      <c r="O1519" s="15" t="str" cm="1">
        <f t="array" ref="O1519">IFERROR(_xlfn.LET(
_xlpm.clean,TRIM(SUBSTITUTE(SUBSTITUTE(P1519,CHAR(160),"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9" t="str">
        <f t="shared" si="24"/>
        <v/>
      </c>
    </row>
    <row r="1520" spans="3:19" ht="15.75" customHeight="1">
      <c r="C1520" s="15" t="str" cm="1">
        <f t="array" ref="C1520">IFERROR(_xlfn.TEXTJOIN("",TRUE,_xlfn._xlws.FILTER(MID(S1520,_xlfn.SEQUENCE(LEN(S1520)),1),ISNUMBER(SEARCH(MID(S1520,_xlfn.SEQUENCE(LEN(S1520)),1),"ABCDEFGHIJKLMNOPQRSTUVWXYZabcdefghijklmnopqrstuvwxyz0123456789,")))),"")</f>
        <v/>
      </c>
      <c r="G1520" s="20" t="str" cm="1">
        <f t="array" ref="G1520">IF(TRIM(P1520)="","",IF(SUM(COUNTIF(P1520,{"*NLGD*","*FWG*"}))&gt;0,P1520,IF(SUM(COUNTIF(P1520,{"*GL*","*DGB*","*DGI*","*GT*","*CS*","*PWU*","*DBI*","*SWU*"}))=0,P1520,IF(IFERROR(VALUE(SUBSTITUTE(SUBSTITUTE(O1520,"W",""),"""","")),0)&gt;52,P1520&amp;"-OVRSIZE-",P1520))))</f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s="18" t="str">
        <v/>
      </c>
      <c r="O1520" s="15" t="str" cm="1">
        <f t="array" ref="O1520">IFERROR(_xlfn.LET(
_xlpm.clean,TRIM(SUBSTITUTE(SUBSTITUTE(P1520,CHAR(160),"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0" t="str">
        <f t="shared" si="24"/>
        <v/>
      </c>
    </row>
    <row r="1521" spans="3:19" ht="15.75" customHeight="1">
      <c r="C1521" s="15" t="str" cm="1">
        <f t="array" ref="C1521">IFERROR(_xlfn.TEXTJOIN("",TRUE,_xlfn._xlws.FILTER(MID(S1521,_xlfn.SEQUENCE(LEN(S1521)),1),ISNUMBER(SEARCH(MID(S1521,_xlfn.SEQUENCE(LEN(S1521)),1),"ABCDEFGHIJKLMNOPQRSTUVWXYZabcdefghijklmnopqrstuvwxyz0123456789,")))),"")</f>
        <v/>
      </c>
      <c r="G1521" s="20" t="str" cm="1">
        <f t="array" ref="G1521">IF(TRIM(P1521)="","",IF(SUM(COUNTIF(P1521,{"*NLGD*","*FWG*"}))&gt;0,P1521,IF(SUM(COUNTIF(P1521,{"*GL*","*DGB*","*DGI*","*GT*","*CS*","*PWU*","*DBI*","*SWU*"}))=0,P1521,IF(IFERROR(VALUE(SUBSTITUTE(SUBSTITUTE(O1521,"W",""),"""","")),0)&gt;52,P1521&amp;"-OVRSIZE-",P1521))))</f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s="18" t="str">
        <v/>
      </c>
      <c r="O1521" s="15" t="str" cm="1">
        <f t="array" ref="O1521">IFERROR(_xlfn.LET(
_xlpm.clean,TRIM(SUBSTITUTE(SUBSTITUTE(P1521,CHAR(160),"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1" t="str">
        <f t="shared" si="24"/>
        <v/>
      </c>
    </row>
    <row r="1522" spans="3:19" ht="15.75" customHeight="1">
      <c r="C1522" s="15" t="str" cm="1">
        <f t="array" ref="C1522">IFERROR(_xlfn.TEXTJOIN("",TRUE,_xlfn._xlws.FILTER(MID(S1522,_xlfn.SEQUENCE(LEN(S1522)),1),ISNUMBER(SEARCH(MID(S1522,_xlfn.SEQUENCE(LEN(S1522)),1),"ABCDEFGHIJKLMNOPQRSTUVWXYZabcdefghijklmnopqrstuvwxyz0123456789,")))),"")</f>
        <v/>
      </c>
      <c r="G1522" s="20" t="str" cm="1">
        <f t="array" ref="G1522">IF(TRIM(P1522)="","",IF(SUM(COUNTIF(P1522,{"*NLGD*","*FWG*"}))&gt;0,P1522,IF(SUM(COUNTIF(P1522,{"*GL*","*DGB*","*DGI*","*GT*","*CS*","*PWU*","*DBI*","*SWU*"}))=0,P1522,IF(IFERROR(VALUE(SUBSTITUTE(SUBSTITUTE(O1522,"W",""),"""","")),0)&gt;52,P1522&amp;"-OVRSIZE-",P1522))))</f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s="18" t="str">
        <v/>
      </c>
      <c r="O1522" s="15" t="str" cm="1">
        <f t="array" ref="O1522">IFERROR(_xlfn.LET(
_xlpm.clean,TRIM(SUBSTITUTE(SUBSTITUTE(P1522,CHAR(160),"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2" t="str">
        <f t="shared" si="24"/>
        <v/>
      </c>
    </row>
    <row r="1523" spans="3:19" ht="15.75" customHeight="1">
      <c r="C1523" s="15" t="str" cm="1">
        <f t="array" ref="C1523">IFERROR(_xlfn.TEXTJOIN("",TRUE,_xlfn._xlws.FILTER(MID(S1523,_xlfn.SEQUENCE(LEN(S1523)),1),ISNUMBER(SEARCH(MID(S1523,_xlfn.SEQUENCE(LEN(S1523)),1),"ABCDEFGHIJKLMNOPQRSTUVWXYZabcdefghijklmnopqrstuvwxyz0123456789,")))),"")</f>
        <v/>
      </c>
      <c r="G1523" s="20" t="str" cm="1">
        <f t="array" ref="G1523">IF(TRIM(P1523)="","",IF(SUM(COUNTIF(P1523,{"*NLGD*","*FWG*"}))&gt;0,P1523,IF(SUM(COUNTIF(P1523,{"*GL*","*DGB*","*DGI*","*GT*","*CS*","*PWU*","*DBI*","*SWU*"}))=0,P1523,IF(IFERROR(VALUE(SUBSTITUTE(SUBSTITUTE(O1523,"W",""),"""","")),0)&gt;52,P1523&amp;"-OVRSIZE-",P1523))))</f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s="18" t="str">
        <v/>
      </c>
      <c r="O1523" s="15" t="str" cm="1">
        <f t="array" ref="O1523">IFERROR(_xlfn.LET(
_xlpm.clean,TRIM(SUBSTITUTE(SUBSTITUTE(P1523,CHAR(160),"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3" t="str">
        <f t="shared" si="24"/>
        <v/>
      </c>
    </row>
    <row r="1524" spans="3:19" ht="15.75" customHeight="1">
      <c r="C1524" s="15" t="str" cm="1">
        <f t="array" ref="C1524">IFERROR(_xlfn.TEXTJOIN("",TRUE,_xlfn._xlws.FILTER(MID(S1524,_xlfn.SEQUENCE(LEN(S1524)),1),ISNUMBER(SEARCH(MID(S1524,_xlfn.SEQUENCE(LEN(S1524)),1),"ABCDEFGHIJKLMNOPQRSTUVWXYZabcdefghijklmnopqrstuvwxyz0123456789,")))),"")</f>
        <v/>
      </c>
      <c r="G1524" s="20" t="str" cm="1">
        <f t="array" ref="G1524">IF(TRIM(P1524)="","",IF(SUM(COUNTIF(P1524,{"*NLGD*","*FWG*"}))&gt;0,P1524,IF(SUM(COUNTIF(P1524,{"*GL*","*DGB*","*DGI*","*GT*","*CS*","*PWU*","*DBI*","*SWU*"}))=0,P1524,IF(IFERROR(VALUE(SUBSTITUTE(SUBSTITUTE(O1524,"W",""),"""","")),0)&gt;52,P1524&amp;"-OVRSIZE-",P1524))))</f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s="18" t="str">
        <v/>
      </c>
      <c r="O1524" s="15" t="str" cm="1">
        <f t="array" ref="O1524">IFERROR(_xlfn.LET(
_xlpm.clean,TRIM(SUBSTITUTE(SUBSTITUTE(P1524,CHAR(160),"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4" t="str">
        <f t="shared" si="24"/>
        <v/>
      </c>
    </row>
    <row r="1525" spans="3:19" ht="15.75" customHeight="1">
      <c r="C1525" s="15" t="str" cm="1">
        <f t="array" ref="C1525">IFERROR(_xlfn.TEXTJOIN("",TRUE,_xlfn._xlws.FILTER(MID(S1525,_xlfn.SEQUENCE(LEN(S1525)),1),ISNUMBER(SEARCH(MID(S1525,_xlfn.SEQUENCE(LEN(S1525)),1),"ABCDEFGHIJKLMNOPQRSTUVWXYZabcdefghijklmnopqrstuvwxyz0123456789,")))),"")</f>
        <v/>
      </c>
      <c r="G1525" s="20" t="str" cm="1">
        <f t="array" ref="G1525">IF(TRIM(P1525)="","",IF(SUM(COUNTIF(P1525,{"*NLGD*","*FWG*"}))&gt;0,P1525,IF(SUM(COUNTIF(P1525,{"*GL*","*DGB*","*DGI*","*GT*","*CS*","*PWU*","*DBI*","*SWU*"}))=0,P1525,IF(IFERROR(VALUE(SUBSTITUTE(SUBSTITUTE(O1525,"W",""),"""","")),0)&gt;52,P1525&amp;"-OVRSIZE-",P1525))))</f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s="18" t="str">
        <v/>
      </c>
      <c r="O1525" s="15" t="str" cm="1">
        <f t="array" ref="O1525">IFERROR(_xlfn.LET(
_xlpm.clean,TRIM(SUBSTITUTE(SUBSTITUTE(P1525,CHAR(160),"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5" t="str">
        <f t="shared" si="24"/>
        <v/>
      </c>
    </row>
    <row r="1526" spans="3:19" ht="15.75" customHeight="1">
      <c r="C1526" s="15" t="str" cm="1">
        <f t="array" ref="C1526">IFERROR(_xlfn.TEXTJOIN("",TRUE,_xlfn._xlws.FILTER(MID(S1526,_xlfn.SEQUENCE(LEN(S1526)),1),ISNUMBER(SEARCH(MID(S1526,_xlfn.SEQUENCE(LEN(S1526)),1),"ABCDEFGHIJKLMNOPQRSTUVWXYZabcdefghijklmnopqrstuvwxyz0123456789,")))),"")</f>
        <v/>
      </c>
      <c r="G1526" s="20" t="str" cm="1">
        <f t="array" ref="G1526">IF(TRIM(P1526)="","",IF(SUM(COUNTIF(P1526,{"*NLGD*","*FWG*"}))&gt;0,P1526,IF(SUM(COUNTIF(P1526,{"*GL*","*DGB*","*DGI*","*GT*","*CS*","*PWU*","*DBI*","*SWU*"}))=0,P1526,IF(IFERROR(VALUE(SUBSTITUTE(SUBSTITUTE(O1526,"W",""),"""","")),0)&gt;52,P1526&amp;"-OVRSIZE-",P1526))))</f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s="18" t="str">
        <v/>
      </c>
      <c r="O1526" s="15" t="str" cm="1">
        <f t="array" ref="O1526">IFERROR(_xlfn.LET(
_xlpm.clean,TRIM(SUBSTITUTE(SUBSTITUTE(P1526,CHAR(160),"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6" t="str">
        <f t="shared" si="24"/>
        <v/>
      </c>
    </row>
    <row r="1527" spans="3:19" ht="15.75" customHeight="1">
      <c r="C1527" s="15" t="str" cm="1">
        <f t="array" ref="C1527">IFERROR(_xlfn.TEXTJOIN("",TRUE,_xlfn._xlws.FILTER(MID(S1527,_xlfn.SEQUENCE(LEN(S1527)),1),ISNUMBER(SEARCH(MID(S1527,_xlfn.SEQUENCE(LEN(S1527)),1),"ABCDEFGHIJKLMNOPQRSTUVWXYZabcdefghijklmnopqrstuvwxyz0123456789,")))),"")</f>
        <v/>
      </c>
      <c r="G1527" s="20" t="str" cm="1">
        <f t="array" ref="G1527">IF(TRIM(P1527)="","",IF(SUM(COUNTIF(P1527,{"*NLGD*","*FWG*"}))&gt;0,P1527,IF(SUM(COUNTIF(P1527,{"*GL*","*DGB*","*DGI*","*GT*","*CS*","*PWU*","*DBI*","*SWU*"}))=0,P1527,IF(IFERROR(VALUE(SUBSTITUTE(SUBSTITUTE(O1527,"W",""),"""","")),0)&gt;52,P1527&amp;"-OVRSIZE-",P1527))))</f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s="18" t="str">
        <v/>
      </c>
      <c r="O1527" s="15" t="str" cm="1">
        <f t="array" ref="O1527">IFERROR(_xlfn.LET(
_xlpm.clean,TRIM(SUBSTITUTE(SUBSTITUTE(P1527,CHAR(160),"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7" t="str">
        <f t="shared" si="24"/>
        <v/>
      </c>
    </row>
    <row r="1528" spans="3:19" ht="15.75" customHeight="1">
      <c r="C1528" s="15" t="str" cm="1">
        <f t="array" ref="C1528">IFERROR(_xlfn.TEXTJOIN("",TRUE,_xlfn._xlws.FILTER(MID(S1528,_xlfn.SEQUENCE(LEN(S1528)),1),ISNUMBER(SEARCH(MID(S1528,_xlfn.SEQUENCE(LEN(S1528)),1),"ABCDEFGHIJKLMNOPQRSTUVWXYZabcdefghijklmnopqrstuvwxyz0123456789,")))),"")</f>
        <v/>
      </c>
      <c r="G1528" s="20" t="str" cm="1">
        <f t="array" ref="G1528">IF(TRIM(P1528)="","",IF(SUM(COUNTIF(P1528,{"*NLGD*","*FWG*"}))&gt;0,P1528,IF(SUM(COUNTIF(P1528,{"*GL*","*DGB*","*DGI*","*GT*","*CS*","*PWU*","*DBI*","*SWU*"}))=0,P1528,IF(IFERROR(VALUE(SUBSTITUTE(SUBSTITUTE(O1528,"W",""),"""","")),0)&gt;52,P1528&amp;"-OVRSIZE-",P1528))))</f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s="18" t="str">
        <v/>
      </c>
      <c r="O1528" s="15" t="str" cm="1">
        <f t="array" ref="O1528">IFERROR(_xlfn.LET(
_xlpm.clean,TRIM(SUBSTITUTE(SUBSTITUTE(P1528,CHAR(160),"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8" t="str">
        <f t="shared" si="24"/>
        <v/>
      </c>
    </row>
    <row r="1529" spans="3:19" ht="15.75" customHeight="1">
      <c r="C1529" s="15" t="str" cm="1">
        <f t="array" ref="C1529">IFERROR(_xlfn.TEXTJOIN("",TRUE,_xlfn._xlws.FILTER(MID(S1529,_xlfn.SEQUENCE(LEN(S1529)),1),ISNUMBER(SEARCH(MID(S1529,_xlfn.SEQUENCE(LEN(S1529)),1),"ABCDEFGHIJKLMNOPQRSTUVWXYZabcdefghijklmnopqrstuvwxyz0123456789,")))),"")</f>
        <v/>
      </c>
      <c r="G1529" s="20" t="str" cm="1">
        <f t="array" ref="G1529">IF(TRIM(P1529)="","",IF(SUM(COUNTIF(P1529,{"*NLGD*","*FWG*"}))&gt;0,P1529,IF(SUM(COUNTIF(P1529,{"*GL*","*DGB*","*DGI*","*GT*","*CS*","*PWU*","*DBI*","*SWU*"}))=0,P1529,IF(IFERROR(VALUE(SUBSTITUTE(SUBSTITUTE(O1529,"W",""),"""","")),0)&gt;52,P1529&amp;"-OVRSIZE-",P1529))))</f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s="18" t="str">
        <v/>
      </c>
      <c r="O1529" s="15" t="str" cm="1">
        <f t="array" ref="O1529">IFERROR(_xlfn.LET(
_xlpm.clean,TRIM(SUBSTITUTE(SUBSTITUTE(P1529,CHAR(160),"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9" t="str">
        <f t="shared" si="24"/>
        <v/>
      </c>
    </row>
    <row r="1530" spans="3:19" ht="15.75" customHeight="1">
      <c r="C1530" s="15" t="str" cm="1">
        <f t="array" ref="C1530">IFERROR(_xlfn.TEXTJOIN("",TRUE,_xlfn._xlws.FILTER(MID(S1530,_xlfn.SEQUENCE(LEN(S1530)),1),ISNUMBER(SEARCH(MID(S1530,_xlfn.SEQUENCE(LEN(S1530)),1),"ABCDEFGHIJKLMNOPQRSTUVWXYZabcdefghijklmnopqrstuvwxyz0123456789,")))),"")</f>
        <v/>
      </c>
      <c r="G1530" s="20" t="str" cm="1">
        <f t="array" ref="G1530">IF(TRIM(P1530)="","",IF(SUM(COUNTIF(P1530,{"*NLGD*","*FWG*"}))&gt;0,P1530,IF(SUM(COUNTIF(P1530,{"*GL*","*DGB*","*DGI*","*GT*","*CS*","*PWU*","*DBI*","*SWU*"}))=0,P1530,IF(IFERROR(VALUE(SUBSTITUTE(SUBSTITUTE(O1530,"W",""),"""","")),0)&gt;52,P1530&amp;"-OVRSIZE-",P1530))))</f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s="18" t="str">
        <v/>
      </c>
      <c r="O1530" s="15" t="str" cm="1">
        <f t="array" ref="O1530">IFERROR(_xlfn.LET(
_xlpm.clean,TRIM(SUBSTITUTE(SUBSTITUTE(P1530,CHAR(160),"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0" t="str">
        <f t="shared" si="24"/>
        <v/>
      </c>
    </row>
    <row r="1531" spans="3:19" ht="15.75" customHeight="1">
      <c r="C1531" s="15" t="str" cm="1">
        <f t="array" ref="C1531">IFERROR(_xlfn.TEXTJOIN("",TRUE,_xlfn._xlws.FILTER(MID(S1531,_xlfn.SEQUENCE(LEN(S1531)),1),ISNUMBER(SEARCH(MID(S1531,_xlfn.SEQUENCE(LEN(S1531)),1),"ABCDEFGHIJKLMNOPQRSTUVWXYZabcdefghijklmnopqrstuvwxyz0123456789,")))),"")</f>
        <v/>
      </c>
      <c r="G1531" s="20" t="str" cm="1">
        <f t="array" ref="G1531">IF(TRIM(P1531)="","",IF(SUM(COUNTIF(P1531,{"*NLGD*","*FWG*"}))&gt;0,P1531,IF(SUM(COUNTIF(P1531,{"*GL*","*DGB*","*DGI*","*GT*","*CS*","*PWU*","*DBI*","*SWU*"}))=0,P1531,IF(IFERROR(VALUE(SUBSTITUTE(SUBSTITUTE(O1531,"W",""),"""","")),0)&gt;52,P1531&amp;"-OVRSIZE-",P1531))))</f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s="18" t="str">
        <v/>
      </c>
      <c r="O1531" s="15" t="str" cm="1">
        <f t="array" ref="O1531">IFERROR(_xlfn.LET(
_xlpm.clean,TRIM(SUBSTITUTE(SUBSTITUTE(P1531,CHAR(160),"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1" t="str">
        <f t="shared" si="24"/>
        <v/>
      </c>
    </row>
    <row r="1532" spans="3:19" ht="15.75" customHeight="1">
      <c r="C1532" s="15" t="str" cm="1">
        <f t="array" ref="C1532">IFERROR(_xlfn.TEXTJOIN("",TRUE,_xlfn._xlws.FILTER(MID(S1532,_xlfn.SEQUENCE(LEN(S1532)),1),ISNUMBER(SEARCH(MID(S1532,_xlfn.SEQUENCE(LEN(S1532)),1),"ABCDEFGHIJKLMNOPQRSTUVWXYZabcdefghijklmnopqrstuvwxyz0123456789,")))),"")</f>
        <v/>
      </c>
      <c r="G1532" s="20" t="str" cm="1">
        <f t="array" ref="G1532">IF(TRIM(P1532)="","",IF(SUM(COUNTIF(P1532,{"*NLGD*","*FWG*"}))&gt;0,P1532,IF(SUM(COUNTIF(P1532,{"*GL*","*DGB*","*DGI*","*GT*","*CS*","*PWU*","*DBI*","*SWU*"}))=0,P1532,IF(IFERROR(VALUE(SUBSTITUTE(SUBSTITUTE(O1532,"W",""),"""","")),0)&gt;52,P1532&amp;"-OVRSIZE-",P1532))))</f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s="18" t="str">
        <v/>
      </c>
      <c r="O1532" s="15" t="str" cm="1">
        <f t="array" ref="O1532">IFERROR(_xlfn.LET(
_xlpm.clean,TRIM(SUBSTITUTE(SUBSTITUTE(P1532,CHAR(160),"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2" t="str">
        <f t="shared" si="24"/>
        <v/>
      </c>
    </row>
    <row r="1533" spans="3:19" ht="15.75" customHeight="1">
      <c r="C1533" s="15" t="str" cm="1">
        <f t="array" ref="C1533">IFERROR(_xlfn.TEXTJOIN("",TRUE,_xlfn._xlws.FILTER(MID(S1533,_xlfn.SEQUENCE(LEN(S1533)),1),ISNUMBER(SEARCH(MID(S1533,_xlfn.SEQUENCE(LEN(S1533)),1),"ABCDEFGHIJKLMNOPQRSTUVWXYZabcdefghijklmnopqrstuvwxyz0123456789,")))),"")</f>
        <v/>
      </c>
      <c r="G1533" s="20" t="str" cm="1">
        <f t="array" ref="G1533">IF(TRIM(P1533)="","",IF(SUM(COUNTIF(P1533,{"*NLGD*","*FWG*"}))&gt;0,P1533,IF(SUM(COUNTIF(P1533,{"*GL*","*DGB*","*DGI*","*GT*","*CS*","*PWU*","*DBI*","*SWU*"}))=0,P1533,IF(IFERROR(VALUE(SUBSTITUTE(SUBSTITUTE(O1533,"W",""),"""","")),0)&gt;52,P1533&amp;"-OVRSIZE-",P1533))))</f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s="18" t="str">
        <v/>
      </c>
      <c r="O1533" s="15" t="str" cm="1">
        <f t="array" ref="O1533">IFERROR(_xlfn.LET(
_xlpm.clean,TRIM(SUBSTITUTE(SUBSTITUTE(P1533,CHAR(160),"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3" t="str">
        <f t="shared" si="24"/>
        <v/>
      </c>
    </row>
    <row r="1534" spans="3:19" ht="15.75" customHeight="1">
      <c r="C1534" s="15" t="str" cm="1">
        <f t="array" ref="C1534">IFERROR(_xlfn.TEXTJOIN("",TRUE,_xlfn._xlws.FILTER(MID(S1534,_xlfn.SEQUENCE(LEN(S1534)),1),ISNUMBER(SEARCH(MID(S1534,_xlfn.SEQUENCE(LEN(S1534)),1),"ABCDEFGHIJKLMNOPQRSTUVWXYZabcdefghijklmnopqrstuvwxyz0123456789,")))),"")</f>
        <v/>
      </c>
      <c r="G1534" s="20" t="str" cm="1">
        <f t="array" ref="G1534">IF(TRIM(P1534)="","",IF(SUM(COUNTIF(P1534,{"*NLGD*","*FWG*"}))&gt;0,P1534,IF(SUM(COUNTIF(P1534,{"*GL*","*DGB*","*DGI*","*GT*","*CS*","*PWU*","*DBI*","*SWU*"}))=0,P1534,IF(IFERROR(VALUE(SUBSTITUTE(SUBSTITUTE(O1534,"W",""),"""","")),0)&gt;52,P1534&amp;"-OVRSIZE-",P1534))))</f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s="18" t="str">
        <v/>
      </c>
      <c r="O1534" s="15" t="str" cm="1">
        <f t="array" ref="O1534">IFERROR(_xlfn.LET(
_xlpm.clean,TRIM(SUBSTITUTE(SUBSTITUTE(P1534,CHAR(160),"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4" t="str">
        <f t="shared" si="24"/>
        <v/>
      </c>
    </row>
    <row r="1535" spans="3:19" ht="15.75" customHeight="1">
      <c r="C1535" s="15" t="str" cm="1">
        <f t="array" ref="C1535">IFERROR(_xlfn.TEXTJOIN("",TRUE,_xlfn._xlws.FILTER(MID(S1535,_xlfn.SEQUENCE(LEN(S1535)),1),ISNUMBER(SEARCH(MID(S1535,_xlfn.SEQUENCE(LEN(S1535)),1),"ABCDEFGHIJKLMNOPQRSTUVWXYZabcdefghijklmnopqrstuvwxyz0123456789,")))),"")</f>
        <v/>
      </c>
      <c r="G1535" s="20" t="str" cm="1">
        <f t="array" ref="G1535">IF(TRIM(P1535)="","",IF(SUM(COUNTIF(P1535,{"*NLGD*","*FWG*"}))&gt;0,P1535,IF(SUM(COUNTIF(P1535,{"*GL*","*DGB*","*DGI*","*GT*","*CS*","*PWU*","*DBI*","*SWU*"}))=0,P1535,IF(IFERROR(VALUE(SUBSTITUTE(SUBSTITUTE(O1535,"W",""),"""","")),0)&gt;52,P1535&amp;"-OVRSIZE-",P1535))))</f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s="18" t="str">
        <v/>
      </c>
      <c r="O1535" s="15" t="str" cm="1">
        <f t="array" ref="O1535">IFERROR(_xlfn.LET(
_xlpm.clean,TRIM(SUBSTITUTE(SUBSTITUTE(P1535,CHAR(160),"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5" t="str">
        <f t="shared" si="24"/>
        <v/>
      </c>
    </row>
    <row r="1536" spans="3:19" ht="15.75" customHeight="1">
      <c r="C1536" s="15" t="str" cm="1">
        <f t="array" ref="C1536">IFERROR(_xlfn.TEXTJOIN("",TRUE,_xlfn._xlws.FILTER(MID(S1536,_xlfn.SEQUENCE(LEN(S1536)),1),ISNUMBER(SEARCH(MID(S1536,_xlfn.SEQUENCE(LEN(S1536)),1),"ABCDEFGHIJKLMNOPQRSTUVWXYZabcdefghijklmnopqrstuvwxyz0123456789,")))),"")</f>
        <v/>
      </c>
      <c r="G1536" s="20" t="str" cm="1">
        <f t="array" ref="G1536">IF(TRIM(P1536)="","",IF(SUM(COUNTIF(P1536,{"*NLGD*","*FWG*"}))&gt;0,P1536,IF(SUM(COUNTIF(P1536,{"*GL*","*DGB*","*DGI*","*GT*","*CS*","*PWU*","*DBI*","*SWU*"}))=0,P1536,IF(IFERROR(VALUE(SUBSTITUTE(SUBSTITUTE(O1536,"W",""),"""","")),0)&gt;52,P1536&amp;"-OVRSIZE-",P1536))))</f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s="18" t="str">
        <v/>
      </c>
      <c r="O1536" s="15" t="str" cm="1">
        <f t="array" ref="O1536">IFERROR(_xlfn.LET(
_xlpm.clean,TRIM(SUBSTITUTE(SUBSTITUTE(P1536,CHAR(160),"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6" t="str">
        <f t="shared" si="24"/>
        <v/>
      </c>
    </row>
    <row r="1537" spans="3:19" ht="15.75" customHeight="1">
      <c r="C1537" s="15" t="str" cm="1">
        <f t="array" ref="C1537">IFERROR(_xlfn.TEXTJOIN("",TRUE,_xlfn._xlws.FILTER(MID(S1537,_xlfn.SEQUENCE(LEN(S1537)),1),ISNUMBER(SEARCH(MID(S1537,_xlfn.SEQUENCE(LEN(S1537)),1),"ABCDEFGHIJKLMNOPQRSTUVWXYZabcdefghijklmnopqrstuvwxyz0123456789,")))),"")</f>
        <v/>
      </c>
      <c r="G1537" s="20" t="str" cm="1">
        <f t="array" ref="G1537">IF(TRIM(P1537)="","",IF(SUM(COUNTIF(P1537,{"*NLGD*","*FWG*"}))&gt;0,P1537,IF(SUM(COUNTIF(P1537,{"*GL*","*DGB*","*DGI*","*GT*","*CS*","*PWU*","*DBI*","*SWU*"}))=0,P1537,IF(IFERROR(VALUE(SUBSTITUTE(SUBSTITUTE(O1537,"W",""),"""","")),0)&gt;52,P1537&amp;"-OVRSIZE-",P1537))))</f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s="18" t="str">
        <v/>
      </c>
      <c r="O1537" s="15" t="str" cm="1">
        <f t="array" ref="O1537">IFERROR(_xlfn.LET(
_xlpm.clean,TRIM(SUBSTITUTE(SUBSTITUTE(P1537,CHAR(160),"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7" t="str">
        <f t="shared" si="24"/>
        <v/>
      </c>
    </row>
    <row r="1538" spans="3:19" ht="15.75" customHeight="1">
      <c r="C1538" s="15" t="str" cm="1">
        <f t="array" ref="C1538">IFERROR(_xlfn.TEXTJOIN("",TRUE,_xlfn._xlws.FILTER(MID(S1538,_xlfn.SEQUENCE(LEN(S1538)),1),ISNUMBER(SEARCH(MID(S1538,_xlfn.SEQUENCE(LEN(S1538)),1),"ABCDEFGHIJKLMNOPQRSTUVWXYZabcdefghijklmnopqrstuvwxyz0123456789,")))),"")</f>
        <v/>
      </c>
      <c r="G1538" s="20" t="str" cm="1">
        <f t="array" ref="G1538">IF(TRIM(P1538)="","",IF(SUM(COUNTIF(P1538,{"*NLGD*","*FWG*"}))&gt;0,P1538,IF(SUM(COUNTIF(P1538,{"*GL*","*DGB*","*DGI*","*GT*","*CS*","*PWU*","*DBI*","*SWU*"}))=0,P1538,IF(IFERROR(VALUE(SUBSTITUTE(SUBSTITUTE(O1538,"W",""),"""","")),0)&gt;52,P1538&amp;"-OVRSIZE-",P1538))))</f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s="18" t="str">
        <v/>
      </c>
      <c r="O1538" s="15" t="str" cm="1">
        <f t="array" ref="O1538">IFERROR(_xlfn.LET(
_xlpm.clean,TRIM(SUBSTITUTE(SUBSTITUTE(P1538,CHAR(160),"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8" t="str">
        <f t="shared" si="24"/>
        <v/>
      </c>
    </row>
    <row r="1539" spans="3:19" ht="15.75" customHeight="1">
      <c r="C1539" s="15" t="str" cm="1">
        <f t="array" ref="C1539">IFERROR(_xlfn.TEXTJOIN("",TRUE,_xlfn._xlws.FILTER(MID(S1539,_xlfn.SEQUENCE(LEN(S1539)),1),ISNUMBER(SEARCH(MID(S1539,_xlfn.SEQUENCE(LEN(S1539)),1),"ABCDEFGHIJKLMNOPQRSTUVWXYZabcdefghijklmnopqrstuvwxyz0123456789,")))),"")</f>
        <v/>
      </c>
      <c r="G1539" s="20" t="str" cm="1">
        <f t="array" ref="G1539">IF(TRIM(P1539)="","",IF(SUM(COUNTIF(P1539,{"*NLGD*","*FWG*"}))&gt;0,P1539,IF(SUM(COUNTIF(P1539,{"*GL*","*DGB*","*DGI*","*GT*","*CS*","*PWU*","*DBI*","*SWU*"}))=0,P1539,IF(IFERROR(VALUE(SUBSTITUTE(SUBSTITUTE(O1539,"W",""),"""","")),0)&gt;52,P1539&amp;"-OVRSIZE-",P1539))))</f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s="18" t="str">
        <v/>
      </c>
      <c r="O1539" s="15" t="str" cm="1">
        <f t="array" ref="O1539">IFERROR(_xlfn.LET(
_xlpm.clean,TRIM(SUBSTITUTE(SUBSTITUTE(P1539,CHAR(160),"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9" t="str">
        <f t="shared" si="24"/>
        <v/>
      </c>
    </row>
    <row r="1540" spans="3:19" ht="15.75" customHeight="1">
      <c r="C1540" s="15" t="str" cm="1">
        <f t="array" ref="C1540">IFERROR(_xlfn.TEXTJOIN("",TRUE,_xlfn._xlws.FILTER(MID(S1540,_xlfn.SEQUENCE(LEN(S1540)),1),ISNUMBER(SEARCH(MID(S1540,_xlfn.SEQUENCE(LEN(S1540)),1),"ABCDEFGHIJKLMNOPQRSTUVWXYZabcdefghijklmnopqrstuvwxyz0123456789,")))),"")</f>
        <v/>
      </c>
      <c r="G1540" s="20" t="str" cm="1">
        <f t="array" ref="G1540">IF(TRIM(P1540)="","",IF(SUM(COUNTIF(P1540,{"*NLGD*","*FWG*"}))&gt;0,P1540,IF(SUM(COUNTIF(P1540,{"*GL*","*DGB*","*DGI*","*GT*","*CS*","*PWU*","*DBI*","*SWU*"}))=0,P1540,IF(IFERROR(VALUE(SUBSTITUTE(SUBSTITUTE(O1540,"W",""),"""","")),0)&gt;52,P1540&amp;"-OVRSIZE-",P1540))))</f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s="18" t="str">
        <v/>
      </c>
      <c r="O1540" s="15" t="str" cm="1">
        <f t="array" ref="O1540">IFERROR(_xlfn.LET(
_xlpm.clean,TRIM(SUBSTITUTE(SUBSTITUTE(P1540,CHAR(160),"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0" t="str">
        <f t="shared" si="24"/>
        <v/>
      </c>
    </row>
    <row r="1541" spans="3:19" ht="15.75" customHeight="1">
      <c r="C1541" s="15" t="str" cm="1">
        <f t="array" ref="C1541">IFERROR(_xlfn.TEXTJOIN("",TRUE,_xlfn._xlws.FILTER(MID(S1541,_xlfn.SEQUENCE(LEN(S1541)),1),ISNUMBER(SEARCH(MID(S1541,_xlfn.SEQUENCE(LEN(S1541)),1),"ABCDEFGHIJKLMNOPQRSTUVWXYZabcdefghijklmnopqrstuvwxyz0123456789,")))),"")</f>
        <v/>
      </c>
      <c r="G1541" s="20" t="str" cm="1">
        <f t="array" ref="G1541">IF(TRIM(P1541)="","",IF(SUM(COUNTIF(P1541,{"*NLGD*","*FWG*"}))&gt;0,P1541,IF(SUM(COUNTIF(P1541,{"*GL*","*DGB*","*DGI*","*GT*","*CS*","*PWU*","*DBI*","*SWU*"}))=0,P1541,IF(IFERROR(VALUE(SUBSTITUTE(SUBSTITUTE(O1541,"W",""),"""","")),0)&gt;52,P1541&amp;"-OVRSIZE-",P1541))))</f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s="18" t="str">
        <v/>
      </c>
      <c r="O1541" s="15" t="str" cm="1">
        <f t="array" ref="O1541">IFERROR(_xlfn.LET(
_xlpm.clean,TRIM(SUBSTITUTE(SUBSTITUTE(P1541,CHAR(160),"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1" t="str">
        <f t="shared" si="24"/>
        <v/>
      </c>
    </row>
    <row r="1542" spans="3:19" ht="15.75" customHeight="1">
      <c r="C1542" s="15" t="str" cm="1">
        <f t="array" ref="C1542">IFERROR(_xlfn.TEXTJOIN("",TRUE,_xlfn._xlws.FILTER(MID(S1542,_xlfn.SEQUENCE(LEN(S1542)),1),ISNUMBER(SEARCH(MID(S1542,_xlfn.SEQUENCE(LEN(S1542)),1),"ABCDEFGHIJKLMNOPQRSTUVWXYZabcdefghijklmnopqrstuvwxyz0123456789,")))),"")</f>
        <v/>
      </c>
      <c r="G1542" s="20" t="str" cm="1">
        <f t="array" ref="G1542">IF(TRIM(P1542)="","",IF(SUM(COUNTIF(P1542,{"*NLGD*","*FWG*"}))&gt;0,P1542,IF(SUM(COUNTIF(P1542,{"*GL*","*DGB*","*DGI*","*GT*","*CS*","*PWU*","*DBI*","*SWU*"}))=0,P1542,IF(IFERROR(VALUE(SUBSTITUTE(SUBSTITUTE(O1542,"W",""),"""","")),0)&gt;52,P1542&amp;"-OVRSIZE-",P1542))))</f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s="18" t="str">
        <v/>
      </c>
      <c r="O1542" s="15" t="str" cm="1">
        <f t="array" ref="O1542">IFERROR(_xlfn.LET(
_xlpm.clean,TRIM(SUBSTITUTE(SUBSTITUTE(P1542,CHAR(160),"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2" t="str">
        <f t="shared" si="24"/>
        <v/>
      </c>
    </row>
    <row r="1543" spans="3:19" ht="15.75" customHeight="1">
      <c r="C1543" s="15" t="str" cm="1">
        <f t="array" ref="C1543">IFERROR(_xlfn.TEXTJOIN("",TRUE,_xlfn._xlws.FILTER(MID(S1543,_xlfn.SEQUENCE(LEN(S1543)),1),ISNUMBER(SEARCH(MID(S1543,_xlfn.SEQUENCE(LEN(S1543)),1),"ABCDEFGHIJKLMNOPQRSTUVWXYZabcdefghijklmnopqrstuvwxyz0123456789,")))),"")</f>
        <v/>
      </c>
      <c r="G1543" s="20" t="str" cm="1">
        <f t="array" ref="G1543">IF(TRIM(P1543)="","",IF(SUM(COUNTIF(P1543,{"*NLGD*","*FWG*"}))&gt;0,P1543,IF(SUM(COUNTIF(P1543,{"*GL*","*DGB*","*DGI*","*GT*","*CS*","*PWU*","*DBI*","*SWU*"}))=0,P1543,IF(IFERROR(VALUE(SUBSTITUTE(SUBSTITUTE(O1543,"W",""),"""","")),0)&gt;52,P1543&amp;"-OVRSIZE-",P1543))))</f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s="18" t="str">
        <v/>
      </c>
      <c r="O1543" s="15" t="str" cm="1">
        <f t="array" ref="O1543">IFERROR(_xlfn.LET(
_xlpm.clean,TRIM(SUBSTITUTE(SUBSTITUTE(P1543,CHAR(160),"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3" t="str">
        <f t="shared" si="24"/>
        <v/>
      </c>
    </row>
    <row r="1544" spans="3:19" ht="15.75" customHeight="1">
      <c r="C1544" s="15" t="str" cm="1">
        <f t="array" ref="C1544">IFERROR(_xlfn.TEXTJOIN("",TRUE,_xlfn._xlws.FILTER(MID(S1544,_xlfn.SEQUENCE(LEN(S1544)),1),ISNUMBER(SEARCH(MID(S1544,_xlfn.SEQUENCE(LEN(S1544)),1),"ABCDEFGHIJKLMNOPQRSTUVWXYZabcdefghijklmnopqrstuvwxyz0123456789,")))),"")</f>
        <v/>
      </c>
      <c r="G1544" s="20" t="str" cm="1">
        <f t="array" ref="G1544">IF(TRIM(P1544)="","",IF(SUM(COUNTIF(P1544,{"*NLGD*","*FWG*"}))&gt;0,P1544,IF(SUM(COUNTIF(P1544,{"*GL*","*DGB*","*DGI*","*GT*","*CS*","*PWU*","*DBI*","*SWU*"}))=0,P1544,IF(IFERROR(VALUE(SUBSTITUTE(SUBSTITUTE(O1544,"W",""),"""","")),0)&gt;52,P1544&amp;"-OVRSIZE-",P1544))))</f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s="18" t="str">
        <v/>
      </c>
      <c r="O1544" s="15" t="str" cm="1">
        <f t="array" ref="O1544">IFERROR(_xlfn.LET(
_xlpm.clean,TRIM(SUBSTITUTE(SUBSTITUTE(P1544,CHAR(160),"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4" t="str">
        <f t="shared" ref="S1544:S1607" si="25">IF(R1544="","",_xlfn.LET(
_xlpm.x,TRIM(SUBSTITUTE(SUBSTITUTE(SUBSTITUTE(SUBSTITUTE(R1544,":","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545" spans="3:19" ht="15.75" customHeight="1">
      <c r="C1545" s="15" t="str" cm="1">
        <f t="array" ref="C1545">IFERROR(_xlfn.TEXTJOIN("",TRUE,_xlfn._xlws.FILTER(MID(S1545,_xlfn.SEQUENCE(LEN(S1545)),1),ISNUMBER(SEARCH(MID(S1545,_xlfn.SEQUENCE(LEN(S1545)),1),"ABCDEFGHIJKLMNOPQRSTUVWXYZabcdefghijklmnopqrstuvwxyz0123456789,")))),"")</f>
        <v/>
      </c>
      <c r="G1545" s="20" t="str" cm="1">
        <f t="array" ref="G1545">IF(TRIM(P1545)="","",IF(SUM(COUNTIF(P1545,{"*NLGD*","*FWG*"}))&gt;0,P1545,IF(SUM(COUNTIF(P1545,{"*GL*","*DGB*","*DGI*","*GT*","*CS*","*PWU*","*DBI*","*SWU*"}))=0,P1545,IF(IFERROR(VALUE(SUBSTITUTE(SUBSTITUTE(O1545,"W",""),"""","")),0)&gt;52,P1545&amp;"-OVRSIZE-",P1545))))</f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s="18" t="str">
        <v/>
      </c>
      <c r="O1545" s="15" t="str" cm="1">
        <f t="array" ref="O1545">IFERROR(_xlfn.LET(
_xlpm.clean,TRIM(SUBSTITUTE(SUBSTITUTE(P1545,CHAR(160),"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5" t="str">
        <f t="shared" si="25"/>
        <v/>
      </c>
    </row>
    <row r="1546" spans="3:19" ht="15.75" customHeight="1">
      <c r="C1546" s="15" t="str" cm="1">
        <f t="array" ref="C1546">IFERROR(_xlfn.TEXTJOIN("",TRUE,_xlfn._xlws.FILTER(MID(S1546,_xlfn.SEQUENCE(LEN(S1546)),1),ISNUMBER(SEARCH(MID(S1546,_xlfn.SEQUENCE(LEN(S1546)),1),"ABCDEFGHIJKLMNOPQRSTUVWXYZabcdefghijklmnopqrstuvwxyz0123456789,")))),"")</f>
        <v/>
      </c>
      <c r="G1546" s="20" t="str" cm="1">
        <f t="array" ref="G1546">IF(TRIM(P1546)="","",IF(SUM(COUNTIF(P1546,{"*NLGD*","*FWG*"}))&gt;0,P1546,IF(SUM(COUNTIF(P1546,{"*GL*","*DGB*","*DGI*","*GT*","*CS*","*PWU*","*DBI*","*SWU*"}))=0,P1546,IF(IFERROR(VALUE(SUBSTITUTE(SUBSTITUTE(O1546,"W",""),"""","")),0)&gt;52,P1546&amp;"-OVRSIZE-",P1546))))</f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s="18" t="str">
        <v/>
      </c>
      <c r="O1546" s="15" t="str" cm="1">
        <f t="array" ref="O1546">IFERROR(_xlfn.LET(
_xlpm.clean,TRIM(SUBSTITUTE(SUBSTITUTE(P1546,CHAR(160),"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6" t="str">
        <f t="shared" si="25"/>
        <v/>
      </c>
    </row>
    <row r="1547" spans="3:19" ht="15.75" customHeight="1">
      <c r="C1547" s="15" t="str" cm="1">
        <f t="array" ref="C1547">IFERROR(_xlfn.TEXTJOIN("",TRUE,_xlfn._xlws.FILTER(MID(S1547,_xlfn.SEQUENCE(LEN(S1547)),1),ISNUMBER(SEARCH(MID(S1547,_xlfn.SEQUENCE(LEN(S1547)),1),"ABCDEFGHIJKLMNOPQRSTUVWXYZabcdefghijklmnopqrstuvwxyz0123456789,")))),"")</f>
        <v/>
      </c>
      <c r="G1547" s="20" t="str" cm="1">
        <f t="array" ref="G1547">IF(TRIM(P1547)="","",IF(SUM(COUNTIF(P1547,{"*NLGD*","*FWG*"}))&gt;0,P1547,IF(SUM(COUNTIF(P1547,{"*GL*","*DGB*","*DGI*","*GT*","*CS*","*PWU*","*DBI*","*SWU*"}))=0,P1547,IF(IFERROR(VALUE(SUBSTITUTE(SUBSTITUTE(O1547,"W",""),"""","")),0)&gt;52,P1547&amp;"-OVRSIZE-",P1547))))</f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s="18" t="str">
        <v/>
      </c>
      <c r="O1547" s="15" t="str" cm="1">
        <f t="array" ref="O1547">IFERROR(_xlfn.LET(
_xlpm.clean,TRIM(SUBSTITUTE(SUBSTITUTE(P1547,CHAR(160),"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7" t="str">
        <f t="shared" si="25"/>
        <v/>
      </c>
    </row>
    <row r="1548" spans="3:19" ht="15.75" customHeight="1">
      <c r="C1548" s="15" t="str" cm="1">
        <f t="array" ref="C1548">IFERROR(_xlfn.TEXTJOIN("",TRUE,_xlfn._xlws.FILTER(MID(S1548,_xlfn.SEQUENCE(LEN(S1548)),1),ISNUMBER(SEARCH(MID(S1548,_xlfn.SEQUENCE(LEN(S1548)),1),"ABCDEFGHIJKLMNOPQRSTUVWXYZabcdefghijklmnopqrstuvwxyz0123456789,")))),"")</f>
        <v/>
      </c>
      <c r="G1548" s="20" t="str" cm="1">
        <f t="array" ref="G1548">IF(TRIM(P1548)="","",IF(SUM(COUNTIF(P1548,{"*NLGD*","*FWG*"}))&gt;0,P1548,IF(SUM(COUNTIF(P1548,{"*GL*","*DGB*","*DGI*","*GT*","*CS*","*PWU*","*DBI*","*SWU*"}))=0,P1548,IF(IFERROR(VALUE(SUBSTITUTE(SUBSTITUTE(O1548,"W",""),"""","")),0)&gt;52,P1548&amp;"-OVRSIZE-",P1548))))</f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s="18" t="str">
        <v/>
      </c>
      <c r="O1548" s="15" t="str" cm="1">
        <f t="array" ref="O1548">IFERROR(_xlfn.LET(
_xlpm.clean,TRIM(SUBSTITUTE(SUBSTITUTE(P1548,CHAR(160),"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8" t="str">
        <f t="shared" si="25"/>
        <v/>
      </c>
    </row>
    <row r="1549" spans="3:19" ht="15.75" customHeight="1">
      <c r="C1549" s="15" t="str" cm="1">
        <f t="array" ref="C1549">IFERROR(_xlfn.TEXTJOIN("",TRUE,_xlfn._xlws.FILTER(MID(S1549,_xlfn.SEQUENCE(LEN(S1549)),1),ISNUMBER(SEARCH(MID(S1549,_xlfn.SEQUENCE(LEN(S1549)),1),"ABCDEFGHIJKLMNOPQRSTUVWXYZabcdefghijklmnopqrstuvwxyz0123456789,")))),"")</f>
        <v/>
      </c>
      <c r="G1549" s="20" t="str" cm="1">
        <f t="array" ref="G1549">IF(TRIM(P1549)="","",IF(SUM(COUNTIF(P1549,{"*NLGD*","*FWG*"}))&gt;0,P1549,IF(SUM(COUNTIF(P1549,{"*GL*","*DGB*","*DGI*","*GT*","*CS*","*PWU*","*DBI*","*SWU*"}))=0,P1549,IF(IFERROR(VALUE(SUBSTITUTE(SUBSTITUTE(O1549,"W",""),"""","")),0)&gt;52,P1549&amp;"-OVRSIZE-",P1549))))</f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s="18" t="str">
        <v/>
      </c>
      <c r="O1549" s="15" t="str" cm="1">
        <f t="array" ref="O1549">IFERROR(_xlfn.LET(
_xlpm.clean,TRIM(SUBSTITUTE(SUBSTITUTE(P1549,CHAR(160),"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9" t="str">
        <f t="shared" si="25"/>
        <v/>
      </c>
    </row>
    <row r="1550" spans="3:19" ht="15.75" customHeight="1">
      <c r="C1550" s="15" t="str" cm="1">
        <f t="array" ref="C1550">IFERROR(_xlfn.TEXTJOIN("",TRUE,_xlfn._xlws.FILTER(MID(S1550,_xlfn.SEQUENCE(LEN(S1550)),1),ISNUMBER(SEARCH(MID(S1550,_xlfn.SEQUENCE(LEN(S1550)),1),"ABCDEFGHIJKLMNOPQRSTUVWXYZabcdefghijklmnopqrstuvwxyz0123456789,")))),"")</f>
        <v/>
      </c>
      <c r="G1550" s="20" t="str" cm="1">
        <f t="array" ref="G1550">IF(TRIM(P1550)="","",IF(SUM(COUNTIF(P1550,{"*NLGD*","*FWG*"}))&gt;0,P1550,IF(SUM(COUNTIF(P1550,{"*GL*","*DGB*","*DGI*","*GT*","*CS*","*PWU*","*DBI*","*SWU*"}))=0,P1550,IF(IFERROR(VALUE(SUBSTITUTE(SUBSTITUTE(O1550,"W",""),"""","")),0)&gt;52,P1550&amp;"-OVRSIZE-",P1550))))</f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s="18" t="str">
        <v/>
      </c>
      <c r="O1550" s="15" t="str" cm="1">
        <f t="array" ref="O1550">IFERROR(_xlfn.LET(
_xlpm.clean,TRIM(SUBSTITUTE(SUBSTITUTE(P1550,CHAR(160),"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0" t="str">
        <f t="shared" si="25"/>
        <v/>
      </c>
    </row>
    <row r="1551" spans="3:19" ht="15.75" customHeight="1">
      <c r="C1551" s="15" t="str" cm="1">
        <f t="array" ref="C1551">IFERROR(_xlfn.TEXTJOIN("",TRUE,_xlfn._xlws.FILTER(MID(S1551,_xlfn.SEQUENCE(LEN(S1551)),1),ISNUMBER(SEARCH(MID(S1551,_xlfn.SEQUENCE(LEN(S1551)),1),"ABCDEFGHIJKLMNOPQRSTUVWXYZabcdefghijklmnopqrstuvwxyz0123456789,")))),"")</f>
        <v/>
      </c>
      <c r="G1551" s="20" t="str" cm="1">
        <f t="array" ref="G1551">IF(TRIM(P1551)="","",IF(SUM(COUNTIF(P1551,{"*NLGD*","*FWG*"}))&gt;0,P1551,IF(SUM(COUNTIF(P1551,{"*GL*","*DGB*","*DGI*","*GT*","*CS*","*PWU*","*DBI*","*SWU*"}))=0,P1551,IF(IFERROR(VALUE(SUBSTITUTE(SUBSTITUTE(O1551,"W",""),"""","")),0)&gt;52,P1551&amp;"-OVRSIZE-",P1551))))</f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s="18" t="str">
        <v/>
      </c>
      <c r="O1551" s="15" t="str" cm="1">
        <f t="array" ref="O1551">IFERROR(_xlfn.LET(
_xlpm.clean,TRIM(SUBSTITUTE(SUBSTITUTE(P1551,CHAR(160),"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1" t="str">
        <f t="shared" si="25"/>
        <v/>
      </c>
    </row>
    <row r="1552" spans="3:19" ht="15.75" customHeight="1">
      <c r="C1552" s="15" t="str" cm="1">
        <f t="array" ref="C1552">IFERROR(_xlfn.TEXTJOIN("",TRUE,_xlfn._xlws.FILTER(MID(S1552,_xlfn.SEQUENCE(LEN(S1552)),1),ISNUMBER(SEARCH(MID(S1552,_xlfn.SEQUENCE(LEN(S1552)),1),"ABCDEFGHIJKLMNOPQRSTUVWXYZabcdefghijklmnopqrstuvwxyz0123456789,")))),"")</f>
        <v/>
      </c>
      <c r="G1552" s="20" t="str" cm="1">
        <f t="array" ref="G1552">IF(TRIM(P1552)="","",IF(SUM(COUNTIF(P1552,{"*NLGD*","*FWG*"}))&gt;0,P1552,IF(SUM(COUNTIF(P1552,{"*GL*","*DGB*","*DGI*","*GT*","*CS*","*PWU*","*DBI*","*SWU*"}))=0,P1552,IF(IFERROR(VALUE(SUBSTITUTE(SUBSTITUTE(O1552,"W",""),"""","")),0)&gt;52,P1552&amp;"-OVRSIZE-",P1552))))</f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s="18" t="str">
        <v/>
      </c>
      <c r="O1552" s="15" t="str" cm="1">
        <f t="array" ref="O1552">IFERROR(_xlfn.LET(
_xlpm.clean,TRIM(SUBSTITUTE(SUBSTITUTE(P1552,CHAR(160),"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2" t="str">
        <f t="shared" si="25"/>
        <v/>
      </c>
    </row>
    <row r="1553" spans="3:19" ht="15.75" customHeight="1">
      <c r="C1553" s="15" t="str" cm="1">
        <f t="array" ref="C1553">IFERROR(_xlfn.TEXTJOIN("",TRUE,_xlfn._xlws.FILTER(MID(S1553,_xlfn.SEQUENCE(LEN(S1553)),1),ISNUMBER(SEARCH(MID(S1553,_xlfn.SEQUENCE(LEN(S1553)),1),"ABCDEFGHIJKLMNOPQRSTUVWXYZabcdefghijklmnopqrstuvwxyz0123456789,")))),"")</f>
        <v/>
      </c>
      <c r="G1553" s="20" t="str" cm="1">
        <f t="array" ref="G1553">IF(TRIM(P1553)="","",IF(SUM(COUNTIF(P1553,{"*NLGD*","*FWG*"}))&gt;0,P1553,IF(SUM(COUNTIF(P1553,{"*GL*","*DGB*","*DGI*","*GT*","*CS*","*PWU*","*DBI*","*SWU*"}))=0,P1553,IF(IFERROR(VALUE(SUBSTITUTE(SUBSTITUTE(O1553,"W",""),"""","")),0)&gt;52,P1553&amp;"-OVRSIZE-",P1553))))</f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s="18" t="str">
        <v/>
      </c>
      <c r="O1553" s="15" t="str" cm="1">
        <f t="array" ref="O1553">IFERROR(_xlfn.LET(
_xlpm.clean,TRIM(SUBSTITUTE(SUBSTITUTE(P1553,CHAR(160),"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3" t="str">
        <f t="shared" si="25"/>
        <v/>
      </c>
    </row>
    <row r="1554" spans="3:19" ht="15.75" customHeight="1">
      <c r="C1554" s="15" t="str" cm="1">
        <f t="array" ref="C1554">IFERROR(_xlfn.TEXTJOIN("",TRUE,_xlfn._xlws.FILTER(MID(S1554,_xlfn.SEQUENCE(LEN(S1554)),1),ISNUMBER(SEARCH(MID(S1554,_xlfn.SEQUENCE(LEN(S1554)),1),"ABCDEFGHIJKLMNOPQRSTUVWXYZabcdefghijklmnopqrstuvwxyz0123456789,")))),"")</f>
        <v/>
      </c>
      <c r="G1554" s="20" t="str" cm="1">
        <f t="array" ref="G1554">IF(TRIM(P1554)="","",IF(SUM(COUNTIF(P1554,{"*NLGD*","*FWG*"}))&gt;0,P1554,IF(SUM(COUNTIF(P1554,{"*GL*","*DGB*","*DGI*","*GT*","*CS*","*PWU*","*DBI*","*SWU*"}))=0,P1554,IF(IFERROR(VALUE(SUBSTITUTE(SUBSTITUTE(O1554,"W",""),"""","")),0)&gt;52,P1554&amp;"-OVRSIZE-",P1554))))</f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s="18" t="str">
        <v/>
      </c>
      <c r="O1554" s="15" t="str" cm="1">
        <f t="array" ref="O1554">IFERROR(_xlfn.LET(
_xlpm.clean,TRIM(SUBSTITUTE(SUBSTITUTE(P1554,CHAR(160),"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4" t="str">
        <f t="shared" si="25"/>
        <v/>
      </c>
    </row>
    <row r="1555" spans="3:19" ht="15.75" customHeight="1">
      <c r="C1555" s="15" t="str" cm="1">
        <f t="array" ref="C1555">IFERROR(_xlfn.TEXTJOIN("",TRUE,_xlfn._xlws.FILTER(MID(S1555,_xlfn.SEQUENCE(LEN(S1555)),1),ISNUMBER(SEARCH(MID(S1555,_xlfn.SEQUENCE(LEN(S1555)),1),"ABCDEFGHIJKLMNOPQRSTUVWXYZabcdefghijklmnopqrstuvwxyz0123456789,")))),"")</f>
        <v/>
      </c>
      <c r="G1555" s="20" t="str" cm="1">
        <f t="array" ref="G1555">IF(TRIM(P1555)="","",IF(SUM(COUNTIF(P1555,{"*NLGD*","*FWG*"}))&gt;0,P1555,IF(SUM(COUNTIF(P1555,{"*GL*","*DGB*","*DGI*","*GT*","*CS*","*PWU*","*DBI*","*SWU*"}))=0,P1555,IF(IFERROR(VALUE(SUBSTITUTE(SUBSTITUTE(O1555,"W",""),"""","")),0)&gt;52,P1555&amp;"-OVRSIZE-",P1555))))</f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s="18" t="str">
        <v/>
      </c>
      <c r="O1555" s="15" t="str" cm="1">
        <f t="array" ref="O1555">IFERROR(_xlfn.LET(
_xlpm.clean,TRIM(SUBSTITUTE(SUBSTITUTE(P1555,CHAR(160),"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5" t="str">
        <f t="shared" si="25"/>
        <v/>
      </c>
    </row>
    <row r="1556" spans="3:19" ht="15.75" customHeight="1">
      <c r="C1556" s="15" t="str" cm="1">
        <f t="array" ref="C1556">IFERROR(_xlfn.TEXTJOIN("",TRUE,_xlfn._xlws.FILTER(MID(S1556,_xlfn.SEQUENCE(LEN(S1556)),1),ISNUMBER(SEARCH(MID(S1556,_xlfn.SEQUENCE(LEN(S1556)),1),"ABCDEFGHIJKLMNOPQRSTUVWXYZabcdefghijklmnopqrstuvwxyz0123456789,")))),"")</f>
        <v/>
      </c>
      <c r="G1556" s="20" t="str" cm="1">
        <f t="array" ref="G1556">IF(TRIM(P1556)="","",IF(SUM(COUNTIF(P1556,{"*NLGD*","*FWG*"}))&gt;0,P1556,IF(SUM(COUNTIF(P1556,{"*GL*","*DGB*","*DGI*","*GT*","*CS*","*PWU*","*DBI*","*SWU*"}))=0,P1556,IF(IFERROR(VALUE(SUBSTITUTE(SUBSTITUTE(O1556,"W",""),"""","")),0)&gt;52,P1556&amp;"-OVRSIZE-",P1556))))</f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s="18" t="str">
        <v/>
      </c>
      <c r="O1556" s="15" t="str" cm="1">
        <f t="array" ref="O1556">IFERROR(_xlfn.LET(
_xlpm.clean,TRIM(SUBSTITUTE(SUBSTITUTE(P1556,CHAR(160),"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6" t="str">
        <f t="shared" si="25"/>
        <v/>
      </c>
    </row>
    <row r="1557" spans="3:19" ht="15.75" customHeight="1">
      <c r="C1557" s="15" t="str" cm="1">
        <f t="array" ref="C1557">IFERROR(_xlfn.TEXTJOIN("",TRUE,_xlfn._xlws.FILTER(MID(S1557,_xlfn.SEQUENCE(LEN(S1557)),1),ISNUMBER(SEARCH(MID(S1557,_xlfn.SEQUENCE(LEN(S1557)),1),"ABCDEFGHIJKLMNOPQRSTUVWXYZabcdefghijklmnopqrstuvwxyz0123456789,")))),"")</f>
        <v/>
      </c>
      <c r="G1557" s="20" t="str" cm="1">
        <f t="array" ref="G1557">IF(TRIM(P1557)="","",IF(SUM(COUNTIF(P1557,{"*NLGD*","*FWG*"}))&gt;0,P1557,IF(SUM(COUNTIF(P1557,{"*GL*","*DGB*","*DGI*","*GT*","*CS*","*PWU*","*DBI*","*SWU*"}))=0,P1557,IF(IFERROR(VALUE(SUBSTITUTE(SUBSTITUTE(O1557,"W",""),"""","")),0)&gt;52,P1557&amp;"-OVRSIZE-",P1557))))</f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s="18" t="str">
        <v/>
      </c>
      <c r="O1557" s="15" t="str" cm="1">
        <f t="array" ref="O1557">IFERROR(_xlfn.LET(
_xlpm.clean,TRIM(SUBSTITUTE(SUBSTITUTE(P1557,CHAR(160),"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7" t="str">
        <f t="shared" si="25"/>
        <v/>
      </c>
    </row>
    <row r="1558" spans="3:19" ht="15.75" customHeight="1">
      <c r="C1558" s="15" t="str" cm="1">
        <f t="array" ref="C1558">IFERROR(_xlfn.TEXTJOIN("",TRUE,_xlfn._xlws.FILTER(MID(S1558,_xlfn.SEQUENCE(LEN(S1558)),1),ISNUMBER(SEARCH(MID(S1558,_xlfn.SEQUENCE(LEN(S1558)),1),"ABCDEFGHIJKLMNOPQRSTUVWXYZabcdefghijklmnopqrstuvwxyz0123456789,")))),"")</f>
        <v/>
      </c>
      <c r="G1558" s="20" t="str" cm="1">
        <f t="array" ref="G1558">IF(TRIM(P1558)="","",IF(SUM(COUNTIF(P1558,{"*NLGD*","*FWG*"}))&gt;0,P1558,IF(SUM(COUNTIF(P1558,{"*GL*","*DGB*","*DGI*","*GT*","*CS*","*PWU*","*DBI*","*SWU*"}))=0,P1558,IF(IFERROR(VALUE(SUBSTITUTE(SUBSTITUTE(O1558,"W",""),"""","")),0)&gt;52,P1558&amp;"-OVRSIZE-",P1558))))</f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s="18" t="str">
        <v/>
      </c>
      <c r="O1558" s="15" t="str" cm="1">
        <f t="array" ref="O1558">IFERROR(_xlfn.LET(
_xlpm.clean,TRIM(SUBSTITUTE(SUBSTITUTE(P1558,CHAR(160),"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8" t="str">
        <f t="shared" si="25"/>
        <v/>
      </c>
    </row>
    <row r="1559" spans="3:19" ht="15.75" customHeight="1">
      <c r="C1559" s="15" t="str" cm="1">
        <f t="array" ref="C1559">IFERROR(_xlfn.TEXTJOIN("",TRUE,_xlfn._xlws.FILTER(MID(S1559,_xlfn.SEQUENCE(LEN(S1559)),1),ISNUMBER(SEARCH(MID(S1559,_xlfn.SEQUENCE(LEN(S1559)),1),"ABCDEFGHIJKLMNOPQRSTUVWXYZabcdefghijklmnopqrstuvwxyz0123456789,")))),"")</f>
        <v/>
      </c>
      <c r="G1559" s="20" t="str" cm="1">
        <f t="array" ref="G1559">IF(TRIM(P1559)="","",IF(SUM(COUNTIF(P1559,{"*NLGD*","*FWG*"}))&gt;0,P1559,IF(SUM(COUNTIF(P1559,{"*GL*","*DGB*","*DGI*","*GT*","*CS*","*PWU*","*DBI*","*SWU*"}))=0,P1559,IF(IFERROR(VALUE(SUBSTITUTE(SUBSTITUTE(O1559,"W",""),"""","")),0)&gt;52,P1559&amp;"-OVRSIZE-",P1559))))</f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s="18" t="str">
        <v/>
      </c>
      <c r="O1559" s="15" t="str" cm="1">
        <f t="array" ref="O1559">IFERROR(_xlfn.LET(
_xlpm.clean,TRIM(SUBSTITUTE(SUBSTITUTE(P1559,CHAR(160),"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9" t="str">
        <f t="shared" si="25"/>
        <v/>
      </c>
    </row>
    <row r="1560" spans="3:19" ht="15.75" customHeight="1">
      <c r="C1560" s="15" t="str" cm="1">
        <f t="array" ref="C1560">IFERROR(_xlfn.TEXTJOIN("",TRUE,_xlfn._xlws.FILTER(MID(S1560,_xlfn.SEQUENCE(LEN(S1560)),1),ISNUMBER(SEARCH(MID(S1560,_xlfn.SEQUENCE(LEN(S1560)),1),"ABCDEFGHIJKLMNOPQRSTUVWXYZabcdefghijklmnopqrstuvwxyz0123456789,")))),"")</f>
        <v/>
      </c>
      <c r="G1560" s="20" t="str" cm="1">
        <f t="array" ref="G1560">IF(TRIM(P1560)="","",IF(SUM(COUNTIF(P1560,{"*NLGD*","*FWG*"}))&gt;0,P1560,IF(SUM(COUNTIF(P1560,{"*GL*","*DGB*","*DGI*","*GT*","*CS*","*PWU*","*DBI*","*SWU*"}))=0,P1560,IF(IFERROR(VALUE(SUBSTITUTE(SUBSTITUTE(O1560,"W",""),"""","")),0)&gt;52,P1560&amp;"-OVRSIZE-",P1560))))</f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s="18" t="str">
        <v/>
      </c>
      <c r="O1560" s="15" t="str" cm="1">
        <f t="array" ref="O1560">IFERROR(_xlfn.LET(
_xlpm.clean,TRIM(SUBSTITUTE(SUBSTITUTE(P1560,CHAR(160),"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0" t="str">
        <f t="shared" si="25"/>
        <v/>
      </c>
    </row>
    <row r="1561" spans="3:19" ht="15.75" customHeight="1">
      <c r="C1561" s="15" t="str" cm="1">
        <f t="array" ref="C1561">IFERROR(_xlfn.TEXTJOIN("",TRUE,_xlfn._xlws.FILTER(MID(S1561,_xlfn.SEQUENCE(LEN(S1561)),1),ISNUMBER(SEARCH(MID(S1561,_xlfn.SEQUENCE(LEN(S1561)),1),"ABCDEFGHIJKLMNOPQRSTUVWXYZabcdefghijklmnopqrstuvwxyz0123456789,")))),"")</f>
        <v/>
      </c>
      <c r="G1561" s="20" t="str" cm="1">
        <f t="array" ref="G1561">IF(TRIM(P1561)="","",IF(SUM(COUNTIF(P1561,{"*NLGD*","*FWG*"}))&gt;0,P1561,IF(SUM(COUNTIF(P1561,{"*GL*","*DGB*","*DGI*","*GT*","*CS*","*PWU*","*DBI*","*SWU*"}))=0,P1561,IF(IFERROR(VALUE(SUBSTITUTE(SUBSTITUTE(O1561,"W",""),"""","")),0)&gt;52,P1561&amp;"-OVRSIZE-",P1561))))</f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s="18" t="str">
        <v/>
      </c>
      <c r="O1561" s="15" t="str" cm="1">
        <f t="array" ref="O1561">IFERROR(_xlfn.LET(
_xlpm.clean,TRIM(SUBSTITUTE(SUBSTITUTE(P1561,CHAR(160),"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1" t="str">
        <f t="shared" si="25"/>
        <v/>
      </c>
    </row>
    <row r="1562" spans="3:19" ht="15.75" customHeight="1">
      <c r="C1562" s="15" t="str" cm="1">
        <f t="array" ref="C1562">IFERROR(_xlfn.TEXTJOIN("",TRUE,_xlfn._xlws.FILTER(MID(S1562,_xlfn.SEQUENCE(LEN(S1562)),1),ISNUMBER(SEARCH(MID(S1562,_xlfn.SEQUENCE(LEN(S1562)),1),"ABCDEFGHIJKLMNOPQRSTUVWXYZabcdefghijklmnopqrstuvwxyz0123456789,")))),"")</f>
        <v/>
      </c>
      <c r="G1562" s="20" t="str" cm="1">
        <f t="array" ref="G1562">IF(TRIM(P1562)="","",IF(SUM(COUNTIF(P1562,{"*NLGD*","*FWG*"}))&gt;0,P1562,IF(SUM(COUNTIF(P1562,{"*GL*","*DGB*","*DGI*","*GT*","*CS*","*PWU*","*DBI*","*SWU*"}))=0,P1562,IF(IFERROR(VALUE(SUBSTITUTE(SUBSTITUTE(O1562,"W",""),"""","")),0)&gt;52,P1562&amp;"-OVRSIZE-",P1562))))</f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s="18" t="str">
        <v/>
      </c>
      <c r="O1562" s="15" t="str" cm="1">
        <f t="array" ref="O1562">IFERROR(_xlfn.LET(
_xlpm.clean,TRIM(SUBSTITUTE(SUBSTITUTE(P1562,CHAR(160),"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2" t="str">
        <f t="shared" si="25"/>
        <v/>
      </c>
    </row>
    <row r="1563" spans="3:19" ht="15.75" customHeight="1">
      <c r="C1563" s="15" t="str" cm="1">
        <f t="array" ref="C1563">IFERROR(_xlfn.TEXTJOIN("",TRUE,_xlfn._xlws.FILTER(MID(S1563,_xlfn.SEQUENCE(LEN(S1563)),1),ISNUMBER(SEARCH(MID(S1563,_xlfn.SEQUENCE(LEN(S1563)),1),"ABCDEFGHIJKLMNOPQRSTUVWXYZabcdefghijklmnopqrstuvwxyz0123456789,")))),"")</f>
        <v/>
      </c>
      <c r="G1563" s="20" t="str" cm="1">
        <f t="array" ref="G1563">IF(TRIM(P1563)="","",IF(SUM(COUNTIF(P1563,{"*NLGD*","*FWG*"}))&gt;0,P1563,IF(SUM(COUNTIF(P1563,{"*GL*","*DGB*","*DGI*","*GT*","*CS*","*PWU*","*DBI*","*SWU*"}))=0,P1563,IF(IFERROR(VALUE(SUBSTITUTE(SUBSTITUTE(O1563,"W",""),"""","")),0)&gt;52,P1563&amp;"-OVRSIZE-",P1563))))</f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s="18" t="str">
        <v/>
      </c>
      <c r="O1563" s="15" t="str" cm="1">
        <f t="array" ref="O1563">IFERROR(_xlfn.LET(
_xlpm.clean,TRIM(SUBSTITUTE(SUBSTITUTE(P1563,CHAR(160),"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3" t="str">
        <f t="shared" si="25"/>
        <v/>
      </c>
    </row>
    <row r="1564" spans="3:19" ht="15.75" customHeight="1">
      <c r="C1564" s="15" t="str" cm="1">
        <f t="array" ref="C1564">IFERROR(_xlfn.TEXTJOIN("",TRUE,_xlfn._xlws.FILTER(MID(S1564,_xlfn.SEQUENCE(LEN(S1564)),1),ISNUMBER(SEARCH(MID(S1564,_xlfn.SEQUENCE(LEN(S1564)),1),"ABCDEFGHIJKLMNOPQRSTUVWXYZabcdefghijklmnopqrstuvwxyz0123456789,")))),"")</f>
        <v/>
      </c>
      <c r="G1564" s="20" t="str" cm="1">
        <f t="array" ref="G1564">IF(TRIM(P1564)="","",IF(SUM(COUNTIF(P1564,{"*NLGD*","*FWG*"}))&gt;0,P1564,IF(SUM(COUNTIF(P1564,{"*GL*","*DGB*","*DGI*","*GT*","*CS*","*PWU*","*DBI*","*SWU*"}))=0,P1564,IF(IFERROR(VALUE(SUBSTITUTE(SUBSTITUTE(O1564,"W",""),"""","")),0)&gt;52,P1564&amp;"-OVRSIZE-",P1564))))</f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s="18" t="str">
        <v/>
      </c>
      <c r="O1564" s="15" t="str" cm="1">
        <f t="array" ref="O1564">IFERROR(_xlfn.LET(
_xlpm.clean,TRIM(SUBSTITUTE(SUBSTITUTE(P1564,CHAR(160),"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4" t="str">
        <f t="shared" si="25"/>
        <v/>
      </c>
    </row>
    <row r="1565" spans="3:19" ht="15.75" customHeight="1">
      <c r="C1565" s="15" t="str" cm="1">
        <f t="array" ref="C1565">IFERROR(_xlfn.TEXTJOIN("",TRUE,_xlfn._xlws.FILTER(MID(S1565,_xlfn.SEQUENCE(LEN(S1565)),1),ISNUMBER(SEARCH(MID(S1565,_xlfn.SEQUENCE(LEN(S1565)),1),"ABCDEFGHIJKLMNOPQRSTUVWXYZabcdefghijklmnopqrstuvwxyz0123456789,")))),"")</f>
        <v/>
      </c>
      <c r="G1565" s="20" t="str" cm="1">
        <f t="array" ref="G1565">IF(TRIM(P1565)="","",IF(SUM(COUNTIF(P1565,{"*NLGD*","*FWG*"}))&gt;0,P1565,IF(SUM(COUNTIF(P1565,{"*GL*","*DGB*","*DGI*","*GT*","*CS*","*PWU*","*DBI*","*SWU*"}))=0,P1565,IF(IFERROR(VALUE(SUBSTITUTE(SUBSTITUTE(O1565,"W",""),"""","")),0)&gt;52,P1565&amp;"-OVRSIZE-",P1565))))</f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s="18" t="str">
        <v/>
      </c>
      <c r="O1565" s="15" t="str" cm="1">
        <f t="array" ref="O1565">IFERROR(_xlfn.LET(
_xlpm.clean,TRIM(SUBSTITUTE(SUBSTITUTE(P1565,CHAR(160),"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5" t="str">
        <f t="shared" si="25"/>
        <v/>
      </c>
    </row>
    <row r="1566" spans="3:19" ht="15.75" customHeight="1">
      <c r="C1566" s="15" t="str" cm="1">
        <f t="array" ref="C1566">IFERROR(_xlfn.TEXTJOIN("",TRUE,_xlfn._xlws.FILTER(MID(S1566,_xlfn.SEQUENCE(LEN(S1566)),1),ISNUMBER(SEARCH(MID(S1566,_xlfn.SEQUENCE(LEN(S1566)),1),"ABCDEFGHIJKLMNOPQRSTUVWXYZabcdefghijklmnopqrstuvwxyz0123456789,")))),"")</f>
        <v/>
      </c>
      <c r="G1566" s="20" t="str" cm="1">
        <f t="array" ref="G1566">IF(TRIM(P1566)="","",IF(SUM(COUNTIF(P1566,{"*NLGD*","*FWG*"}))&gt;0,P1566,IF(SUM(COUNTIF(P1566,{"*GL*","*DGB*","*DGI*","*GT*","*CS*","*PWU*","*DBI*","*SWU*"}))=0,P1566,IF(IFERROR(VALUE(SUBSTITUTE(SUBSTITUTE(O1566,"W",""),"""","")),0)&gt;52,P1566&amp;"-OVRSIZE-",P1566))))</f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s="18" t="str">
        <v/>
      </c>
      <c r="O1566" s="15" t="str" cm="1">
        <f t="array" ref="O1566">IFERROR(_xlfn.LET(
_xlpm.clean,TRIM(SUBSTITUTE(SUBSTITUTE(P1566,CHAR(160),"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6" t="str">
        <f t="shared" si="25"/>
        <v/>
      </c>
    </row>
    <row r="1567" spans="3:19" ht="15.75" customHeight="1">
      <c r="C1567" s="15" t="str" cm="1">
        <f t="array" ref="C1567">IFERROR(_xlfn.TEXTJOIN("",TRUE,_xlfn._xlws.FILTER(MID(S1567,_xlfn.SEQUENCE(LEN(S1567)),1),ISNUMBER(SEARCH(MID(S1567,_xlfn.SEQUENCE(LEN(S1567)),1),"ABCDEFGHIJKLMNOPQRSTUVWXYZabcdefghijklmnopqrstuvwxyz0123456789,")))),"")</f>
        <v/>
      </c>
      <c r="G1567" s="20" t="str" cm="1">
        <f t="array" ref="G1567">IF(TRIM(P1567)="","",IF(SUM(COUNTIF(P1567,{"*NLGD*","*FWG*"}))&gt;0,P1567,IF(SUM(COUNTIF(P1567,{"*GL*","*DGB*","*DGI*","*GT*","*CS*","*PWU*","*DBI*","*SWU*"}))=0,P1567,IF(IFERROR(VALUE(SUBSTITUTE(SUBSTITUTE(O1567,"W",""),"""","")),0)&gt;52,P1567&amp;"-OVRSIZE-",P1567))))</f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s="18" t="str">
        <v/>
      </c>
      <c r="O1567" s="15" t="str" cm="1">
        <f t="array" ref="O1567">IFERROR(_xlfn.LET(
_xlpm.clean,TRIM(SUBSTITUTE(SUBSTITUTE(P1567,CHAR(160),"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7" t="str">
        <f t="shared" si="25"/>
        <v/>
      </c>
    </row>
    <row r="1568" spans="3:19" ht="15.75" customHeight="1">
      <c r="C1568" s="15" t="str" cm="1">
        <f t="array" ref="C1568">IFERROR(_xlfn.TEXTJOIN("",TRUE,_xlfn._xlws.FILTER(MID(S1568,_xlfn.SEQUENCE(LEN(S1568)),1),ISNUMBER(SEARCH(MID(S1568,_xlfn.SEQUENCE(LEN(S1568)),1),"ABCDEFGHIJKLMNOPQRSTUVWXYZabcdefghijklmnopqrstuvwxyz0123456789,")))),"")</f>
        <v/>
      </c>
      <c r="G1568" s="20" t="str" cm="1">
        <f t="array" ref="G1568">IF(TRIM(P1568)="","",IF(SUM(COUNTIF(P1568,{"*NLGD*","*FWG*"}))&gt;0,P1568,IF(SUM(COUNTIF(P1568,{"*GL*","*DGB*","*DGI*","*GT*","*CS*","*PWU*","*DBI*","*SWU*"}))=0,P1568,IF(IFERROR(VALUE(SUBSTITUTE(SUBSTITUTE(O1568,"W",""),"""","")),0)&gt;52,P1568&amp;"-OVRSIZE-",P1568))))</f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s="18" t="str">
        <v/>
      </c>
      <c r="O1568" s="15" t="str" cm="1">
        <f t="array" ref="O1568">IFERROR(_xlfn.LET(
_xlpm.clean,TRIM(SUBSTITUTE(SUBSTITUTE(P1568,CHAR(160),"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8" t="str">
        <f t="shared" si="25"/>
        <v/>
      </c>
    </row>
    <row r="1569" spans="3:19" ht="15.75" customHeight="1">
      <c r="C1569" s="15" t="str" cm="1">
        <f t="array" ref="C1569">IFERROR(_xlfn.TEXTJOIN("",TRUE,_xlfn._xlws.FILTER(MID(S1569,_xlfn.SEQUENCE(LEN(S1569)),1),ISNUMBER(SEARCH(MID(S1569,_xlfn.SEQUENCE(LEN(S1569)),1),"ABCDEFGHIJKLMNOPQRSTUVWXYZabcdefghijklmnopqrstuvwxyz0123456789,")))),"")</f>
        <v/>
      </c>
      <c r="G1569" s="20" t="str" cm="1">
        <f t="array" ref="G1569">IF(TRIM(P1569)="","",IF(SUM(COUNTIF(P1569,{"*NLGD*","*FWG*"}))&gt;0,P1569,IF(SUM(COUNTIF(P1569,{"*GL*","*DGB*","*DGI*","*GT*","*CS*","*PWU*","*DBI*","*SWU*"}))=0,P1569,IF(IFERROR(VALUE(SUBSTITUTE(SUBSTITUTE(O1569,"W",""),"""","")),0)&gt;52,P1569&amp;"-OVRSIZE-",P1569))))</f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s="18" t="str">
        <v/>
      </c>
      <c r="O1569" s="15" t="str" cm="1">
        <f t="array" ref="O1569">IFERROR(_xlfn.LET(
_xlpm.clean,TRIM(SUBSTITUTE(SUBSTITUTE(P1569,CHAR(160),"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9" t="str">
        <f t="shared" si="25"/>
        <v/>
      </c>
    </row>
    <row r="1570" spans="3:19" ht="15.75" customHeight="1">
      <c r="C1570" s="15" t="str" cm="1">
        <f t="array" ref="C1570">IFERROR(_xlfn.TEXTJOIN("",TRUE,_xlfn._xlws.FILTER(MID(S1570,_xlfn.SEQUENCE(LEN(S1570)),1),ISNUMBER(SEARCH(MID(S1570,_xlfn.SEQUENCE(LEN(S1570)),1),"ABCDEFGHIJKLMNOPQRSTUVWXYZabcdefghijklmnopqrstuvwxyz0123456789,")))),"")</f>
        <v/>
      </c>
      <c r="G1570" s="20" t="str" cm="1">
        <f t="array" ref="G1570">IF(TRIM(P1570)="","",IF(SUM(COUNTIF(P1570,{"*NLGD*","*FWG*"}))&gt;0,P1570,IF(SUM(COUNTIF(P1570,{"*GL*","*DGB*","*DGI*","*GT*","*CS*","*PWU*","*DBI*","*SWU*"}))=0,P1570,IF(IFERROR(VALUE(SUBSTITUTE(SUBSTITUTE(O1570,"W",""),"""","")),0)&gt;52,P1570&amp;"-OVRSIZE-",P1570))))</f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s="18" t="str">
        <v/>
      </c>
      <c r="O1570" s="15" t="str" cm="1">
        <f t="array" ref="O1570">IFERROR(_xlfn.LET(
_xlpm.clean,TRIM(SUBSTITUTE(SUBSTITUTE(P1570,CHAR(160),"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0" t="str">
        <f t="shared" si="25"/>
        <v/>
      </c>
    </row>
    <row r="1571" spans="3:19" ht="15.75" customHeight="1">
      <c r="C1571" s="15" t="str" cm="1">
        <f t="array" ref="C1571">IFERROR(_xlfn.TEXTJOIN("",TRUE,_xlfn._xlws.FILTER(MID(S1571,_xlfn.SEQUENCE(LEN(S1571)),1),ISNUMBER(SEARCH(MID(S1571,_xlfn.SEQUENCE(LEN(S1571)),1),"ABCDEFGHIJKLMNOPQRSTUVWXYZabcdefghijklmnopqrstuvwxyz0123456789,")))),"")</f>
        <v/>
      </c>
      <c r="G1571" s="20" t="str" cm="1">
        <f t="array" ref="G1571">IF(TRIM(P1571)="","",IF(SUM(COUNTIF(P1571,{"*NLGD*","*FWG*"}))&gt;0,P1571,IF(SUM(COUNTIF(P1571,{"*GL*","*DGB*","*DGI*","*GT*","*CS*","*PWU*","*DBI*","*SWU*"}))=0,P1571,IF(IFERROR(VALUE(SUBSTITUTE(SUBSTITUTE(O1571,"W",""),"""","")),0)&gt;52,P1571&amp;"-OVRSIZE-",P1571))))</f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s="18" t="str">
        <v/>
      </c>
      <c r="O1571" s="15" t="str" cm="1">
        <f t="array" ref="O1571">IFERROR(_xlfn.LET(
_xlpm.clean,TRIM(SUBSTITUTE(SUBSTITUTE(P1571,CHAR(160),"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1" t="str">
        <f t="shared" si="25"/>
        <v/>
      </c>
    </row>
    <row r="1572" spans="3:19" ht="15.75" customHeight="1">
      <c r="C1572" s="15" t="str" cm="1">
        <f t="array" ref="C1572">IFERROR(_xlfn.TEXTJOIN("",TRUE,_xlfn._xlws.FILTER(MID(S1572,_xlfn.SEQUENCE(LEN(S1572)),1),ISNUMBER(SEARCH(MID(S1572,_xlfn.SEQUENCE(LEN(S1572)),1),"ABCDEFGHIJKLMNOPQRSTUVWXYZabcdefghijklmnopqrstuvwxyz0123456789,")))),"")</f>
        <v/>
      </c>
      <c r="G1572" s="20" t="str" cm="1">
        <f t="array" ref="G1572">IF(TRIM(P1572)="","",IF(SUM(COUNTIF(P1572,{"*NLGD*","*FWG*"}))&gt;0,P1572,IF(SUM(COUNTIF(P1572,{"*GL*","*DGB*","*DGI*","*GT*","*CS*","*PWU*","*DBI*","*SWU*"}))=0,P1572,IF(IFERROR(VALUE(SUBSTITUTE(SUBSTITUTE(O1572,"W",""),"""","")),0)&gt;52,P1572&amp;"-OVRSIZE-",P1572))))</f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s="18" t="str">
        <v/>
      </c>
      <c r="O1572" s="15" t="str" cm="1">
        <f t="array" ref="O1572">IFERROR(_xlfn.LET(
_xlpm.clean,TRIM(SUBSTITUTE(SUBSTITUTE(P1572,CHAR(160),"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2" t="str">
        <f t="shared" si="25"/>
        <v/>
      </c>
    </row>
    <row r="1573" spans="3:19" ht="15.75" customHeight="1">
      <c r="C1573" s="15" t="str" cm="1">
        <f t="array" ref="C1573">IFERROR(_xlfn.TEXTJOIN("",TRUE,_xlfn._xlws.FILTER(MID(S1573,_xlfn.SEQUENCE(LEN(S1573)),1),ISNUMBER(SEARCH(MID(S1573,_xlfn.SEQUENCE(LEN(S1573)),1),"ABCDEFGHIJKLMNOPQRSTUVWXYZabcdefghijklmnopqrstuvwxyz0123456789,")))),"")</f>
        <v/>
      </c>
      <c r="G1573" s="20" t="str" cm="1">
        <f t="array" ref="G1573">IF(TRIM(P1573)="","",IF(SUM(COUNTIF(P1573,{"*NLGD*","*FWG*"}))&gt;0,P1573,IF(SUM(COUNTIF(P1573,{"*GL*","*DGB*","*DGI*","*GT*","*CS*","*PWU*","*DBI*","*SWU*"}))=0,P1573,IF(IFERROR(VALUE(SUBSTITUTE(SUBSTITUTE(O1573,"W",""),"""","")),0)&gt;52,P1573&amp;"-OVRSIZE-",P1573))))</f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s="18" t="str">
        <v/>
      </c>
      <c r="O1573" s="15" t="str" cm="1">
        <f t="array" ref="O1573">IFERROR(_xlfn.LET(
_xlpm.clean,TRIM(SUBSTITUTE(SUBSTITUTE(P1573,CHAR(160),"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3" t="str">
        <f t="shared" si="25"/>
        <v/>
      </c>
    </row>
    <row r="1574" spans="3:19" ht="15.75" customHeight="1">
      <c r="C1574" s="15" t="str" cm="1">
        <f t="array" ref="C1574">IFERROR(_xlfn.TEXTJOIN("",TRUE,_xlfn._xlws.FILTER(MID(S1574,_xlfn.SEQUENCE(LEN(S1574)),1),ISNUMBER(SEARCH(MID(S1574,_xlfn.SEQUENCE(LEN(S1574)),1),"ABCDEFGHIJKLMNOPQRSTUVWXYZabcdefghijklmnopqrstuvwxyz0123456789,")))),"")</f>
        <v/>
      </c>
      <c r="G1574" s="20" t="str" cm="1">
        <f t="array" ref="G1574">IF(TRIM(P1574)="","",IF(SUM(COUNTIF(P1574,{"*NLGD*","*FWG*"}))&gt;0,P1574,IF(SUM(COUNTIF(P1574,{"*GL*","*DGB*","*DGI*","*GT*","*CS*","*PWU*","*DBI*","*SWU*"}))=0,P1574,IF(IFERROR(VALUE(SUBSTITUTE(SUBSTITUTE(O1574,"W",""),"""","")),0)&gt;52,P1574&amp;"-OVRSIZE-",P1574))))</f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s="18" t="str">
        <v/>
      </c>
      <c r="O1574" s="15" t="str" cm="1">
        <f t="array" ref="O1574">IFERROR(_xlfn.LET(
_xlpm.clean,TRIM(SUBSTITUTE(SUBSTITUTE(P1574,CHAR(160),"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4" t="str">
        <f t="shared" si="25"/>
        <v/>
      </c>
    </row>
    <row r="1575" spans="3:19" ht="15.75" customHeight="1">
      <c r="C1575" s="15" t="str" cm="1">
        <f t="array" ref="C1575">IFERROR(_xlfn.TEXTJOIN("",TRUE,_xlfn._xlws.FILTER(MID(S1575,_xlfn.SEQUENCE(LEN(S1575)),1),ISNUMBER(SEARCH(MID(S1575,_xlfn.SEQUENCE(LEN(S1575)),1),"ABCDEFGHIJKLMNOPQRSTUVWXYZabcdefghijklmnopqrstuvwxyz0123456789,")))),"")</f>
        <v/>
      </c>
      <c r="G1575" s="20" t="str" cm="1">
        <f t="array" ref="G1575">IF(TRIM(P1575)="","",IF(SUM(COUNTIF(P1575,{"*NLGD*","*FWG*"}))&gt;0,P1575,IF(SUM(COUNTIF(P1575,{"*GL*","*DGB*","*DGI*","*GT*","*CS*","*PWU*","*DBI*","*SWU*"}))=0,P1575,IF(IFERROR(VALUE(SUBSTITUTE(SUBSTITUTE(O1575,"W",""),"""","")),0)&gt;52,P1575&amp;"-OVRSIZE-",P1575))))</f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s="18" t="str">
        <v/>
      </c>
      <c r="O1575" s="15" t="str" cm="1">
        <f t="array" ref="O1575">IFERROR(_xlfn.LET(
_xlpm.clean,TRIM(SUBSTITUTE(SUBSTITUTE(P1575,CHAR(160),"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5" t="str">
        <f t="shared" si="25"/>
        <v/>
      </c>
    </row>
    <row r="1576" spans="3:19" ht="15.75" customHeight="1">
      <c r="C1576" s="15" t="str" cm="1">
        <f t="array" ref="C1576">IFERROR(_xlfn.TEXTJOIN("",TRUE,_xlfn._xlws.FILTER(MID(S1576,_xlfn.SEQUENCE(LEN(S1576)),1),ISNUMBER(SEARCH(MID(S1576,_xlfn.SEQUENCE(LEN(S1576)),1),"ABCDEFGHIJKLMNOPQRSTUVWXYZabcdefghijklmnopqrstuvwxyz0123456789,")))),"")</f>
        <v/>
      </c>
      <c r="G1576" s="20" t="str" cm="1">
        <f t="array" ref="G1576">IF(TRIM(P1576)="","",IF(SUM(COUNTIF(P1576,{"*NLGD*","*FWG*"}))&gt;0,P1576,IF(SUM(COUNTIF(P1576,{"*GL*","*DGB*","*DGI*","*GT*","*CS*","*PWU*","*DBI*","*SWU*"}))=0,P1576,IF(IFERROR(VALUE(SUBSTITUTE(SUBSTITUTE(O1576,"W",""),"""","")),0)&gt;52,P1576&amp;"-OVRSIZE-",P1576))))</f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s="18" t="str">
        <v/>
      </c>
      <c r="O1576" s="15" t="str" cm="1">
        <f t="array" ref="O1576">IFERROR(_xlfn.LET(
_xlpm.clean,TRIM(SUBSTITUTE(SUBSTITUTE(P1576,CHAR(160),"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6" t="str">
        <f t="shared" si="25"/>
        <v/>
      </c>
    </row>
    <row r="1577" spans="3:19" ht="15.75" customHeight="1">
      <c r="C1577" s="15" t="str" cm="1">
        <f t="array" ref="C1577">IFERROR(_xlfn.TEXTJOIN("",TRUE,_xlfn._xlws.FILTER(MID(S1577,_xlfn.SEQUENCE(LEN(S1577)),1),ISNUMBER(SEARCH(MID(S1577,_xlfn.SEQUENCE(LEN(S1577)),1),"ABCDEFGHIJKLMNOPQRSTUVWXYZabcdefghijklmnopqrstuvwxyz0123456789,")))),"")</f>
        <v/>
      </c>
      <c r="G1577" s="20" t="str" cm="1">
        <f t="array" ref="G1577">IF(TRIM(P1577)="","",IF(SUM(COUNTIF(P1577,{"*NLGD*","*FWG*"}))&gt;0,P1577,IF(SUM(COUNTIF(P1577,{"*GL*","*DGB*","*DGI*","*GT*","*CS*","*PWU*","*DBI*","*SWU*"}))=0,P1577,IF(IFERROR(VALUE(SUBSTITUTE(SUBSTITUTE(O1577,"W",""),"""","")),0)&gt;52,P1577&amp;"-OVRSIZE-",P1577))))</f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s="18" t="str">
        <v/>
      </c>
      <c r="O1577" s="15" t="str" cm="1">
        <f t="array" ref="O1577">IFERROR(_xlfn.LET(
_xlpm.clean,TRIM(SUBSTITUTE(SUBSTITUTE(P1577,CHAR(160),"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7" t="str">
        <f t="shared" si="25"/>
        <v/>
      </c>
    </row>
    <row r="1578" spans="3:19" ht="15.75" customHeight="1">
      <c r="C1578" s="15" t="str" cm="1">
        <f t="array" ref="C1578">IFERROR(_xlfn.TEXTJOIN("",TRUE,_xlfn._xlws.FILTER(MID(S1578,_xlfn.SEQUENCE(LEN(S1578)),1),ISNUMBER(SEARCH(MID(S1578,_xlfn.SEQUENCE(LEN(S1578)),1),"ABCDEFGHIJKLMNOPQRSTUVWXYZabcdefghijklmnopqrstuvwxyz0123456789,")))),"")</f>
        <v/>
      </c>
      <c r="G1578" s="20" t="str" cm="1">
        <f t="array" ref="G1578">IF(TRIM(P1578)="","",IF(SUM(COUNTIF(P1578,{"*NLGD*","*FWG*"}))&gt;0,P1578,IF(SUM(COUNTIF(P1578,{"*GL*","*DGB*","*DGI*","*GT*","*CS*","*PWU*","*DBI*","*SWU*"}))=0,P1578,IF(IFERROR(VALUE(SUBSTITUTE(SUBSTITUTE(O1578,"W",""),"""","")),0)&gt;52,P1578&amp;"-OVRSIZE-",P1578))))</f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s="18" t="str">
        <v/>
      </c>
      <c r="O1578" s="15" t="str" cm="1">
        <f t="array" ref="O1578">IFERROR(_xlfn.LET(
_xlpm.clean,TRIM(SUBSTITUTE(SUBSTITUTE(P1578,CHAR(160),"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8" t="str">
        <f t="shared" si="25"/>
        <v/>
      </c>
    </row>
    <row r="1579" spans="3:19" ht="15.75" customHeight="1">
      <c r="C1579" s="15" t="str" cm="1">
        <f t="array" ref="C1579">IFERROR(_xlfn.TEXTJOIN("",TRUE,_xlfn._xlws.FILTER(MID(S1579,_xlfn.SEQUENCE(LEN(S1579)),1),ISNUMBER(SEARCH(MID(S1579,_xlfn.SEQUENCE(LEN(S1579)),1),"ABCDEFGHIJKLMNOPQRSTUVWXYZabcdefghijklmnopqrstuvwxyz0123456789,")))),"")</f>
        <v/>
      </c>
      <c r="G1579" s="20" t="str" cm="1">
        <f t="array" ref="G1579">IF(TRIM(P1579)="","",IF(SUM(COUNTIF(P1579,{"*NLGD*","*FWG*"}))&gt;0,P1579,IF(SUM(COUNTIF(P1579,{"*GL*","*DGB*","*DGI*","*GT*","*CS*","*PWU*","*DBI*","*SWU*"}))=0,P1579,IF(IFERROR(VALUE(SUBSTITUTE(SUBSTITUTE(O1579,"W",""),"""","")),0)&gt;52,P1579&amp;"-OVRSIZE-",P1579))))</f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s="18" t="str">
        <v/>
      </c>
      <c r="O1579" s="15" t="str" cm="1">
        <f t="array" ref="O1579">IFERROR(_xlfn.LET(
_xlpm.clean,TRIM(SUBSTITUTE(SUBSTITUTE(P1579,CHAR(160),"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9" t="str">
        <f t="shared" si="25"/>
        <v/>
      </c>
    </row>
    <row r="1580" spans="3:19" ht="15.75" customHeight="1">
      <c r="C1580" s="15" t="str" cm="1">
        <f t="array" ref="C1580">IFERROR(_xlfn.TEXTJOIN("",TRUE,_xlfn._xlws.FILTER(MID(S1580,_xlfn.SEQUENCE(LEN(S1580)),1),ISNUMBER(SEARCH(MID(S1580,_xlfn.SEQUENCE(LEN(S1580)),1),"ABCDEFGHIJKLMNOPQRSTUVWXYZabcdefghijklmnopqrstuvwxyz0123456789,")))),"")</f>
        <v/>
      </c>
      <c r="G1580" s="20" t="str" cm="1">
        <f t="array" ref="G1580">IF(TRIM(P1580)="","",IF(SUM(COUNTIF(P1580,{"*NLGD*","*FWG*"}))&gt;0,P1580,IF(SUM(COUNTIF(P1580,{"*GL*","*DGB*","*DGI*","*GT*","*CS*","*PWU*","*DBI*","*SWU*"}))=0,P1580,IF(IFERROR(VALUE(SUBSTITUTE(SUBSTITUTE(O1580,"W",""),"""","")),0)&gt;52,P1580&amp;"-OVRSIZE-",P1580))))</f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s="18" t="str">
        <v/>
      </c>
      <c r="O1580" s="15" t="str" cm="1">
        <f t="array" ref="O1580">IFERROR(_xlfn.LET(
_xlpm.clean,TRIM(SUBSTITUTE(SUBSTITUTE(P1580,CHAR(160),"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0" t="str">
        <f t="shared" si="25"/>
        <v/>
      </c>
    </row>
    <row r="1581" spans="3:19" ht="15.75" customHeight="1">
      <c r="C1581" s="15" t="str" cm="1">
        <f t="array" ref="C1581">IFERROR(_xlfn.TEXTJOIN("",TRUE,_xlfn._xlws.FILTER(MID(S1581,_xlfn.SEQUENCE(LEN(S1581)),1),ISNUMBER(SEARCH(MID(S1581,_xlfn.SEQUENCE(LEN(S1581)),1),"ABCDEFGHIJKLMNOPQRSTUVWXYZabcdefghijklmnopqrstuvwxyz0123456789,")))),"")</f>
        <v/>
      </c>
      <c r="G1581" s="20" t="str" cm="1">
        <f t="array" ref="G1581">IF(TRIM(P1581)="","",IF(SUM(COUNTIF(P1581,{"*NLGD*","*FWG*"}))&gt;0,P1581,IF(SUM(COUNTIF(P1581,{"*GL*","*DGB*","*DGI*","*GT*","*CS*","*PWU*","*DBI*","*SWU*"}))=0,P1581,IF(IFERROR(VALUE(SUBSTITUTE(SUBSTITUTE(O1581,"W",""),"""","")),0)&gt;52,P1581&amp;"-OVRSIZE-",P1581))))</f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s="18" t="str">
        <v/>
      </c>
      <c r="O1581" s="15" t="str" cm="1">
        <f t="array" ref="O1581">IFERROR(_xlfn.LET(
_xlpm.clean,TRIM(SUBSTITUTE(SUBSTITUTE(P1581,CHAR(160),"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1" t="str">
        <f t="shared" si="25"/>
        <v/>
      </c>
    </row>
    <row r="1582" spans="3:19" ht="15.75" customHeight="1">
      <c r="C1582" s="15" t="str" cm="1">
        <f t="array" ref="C1582">IFERROR(_xlfn.TEXTJOIN("",TRUE,_xlfn._xlws.FILTER(MID(S1582,_xlfn.SEQUENCE(LEN(S1582)),1),ISNUMBER(SEARCH(MID(S1582,_xlfn.SEQUENCE(LEN(S1582)),1),"ABCDEFGHIJKLMNOPQRSTUVWXYZabcdefghijklmnopqrstuvwxyz0123456789,")))),"")</f>
        <v/>
      </c>
      <c r="G1582" s="20" t="str" cm="1">
        <f t="array" ref="G1582">IF(TRIM(P1582)="","",IF(SUM(COUNTIF(P1582,{"*NLGD*","*FWG*"}))&gt;0,P1582,IF(SUM(COUNTIF(P1582,{"*GL*","*DGB*","*DGI*","*GT*","*CS*","*PWU*","*DBI*","*SWU*"}))=0,P1582,IF(IFERROR(VALUE(SUBSTITUTE(SUBSTITUTE(O1582,"W",""),"""","")),0)&gt;52,P1582&amp;"-OVRSIZE-",P1582))))</f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s="18" t="str">
        <v/>
      </c>
      <c r="O1582" s="15" t="str" cm="1">
        <f t="array" ref="O1582">IFERROR(_xlfn.LET(
_xlpm.clean,TRIM(SUBSTITUTE(SUBSTITUTE(P1582,CHAR(160),"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2" t="str">
        <f t="shared" si="25"/>
        <v/>
      </c>
    </row>
    <row r="1583" spans="3:19" ht="15.75" customHeight="1">
      <c r="C1583" s="15" t="str" cm="1">
        <f t="array" ref="C1583">IFERROR(_xlfn.TEXTJOIN("",TRUE,_xlfn._xlws.FILTER(MID(S1583,_xlfn.SEQUENCE(LEN(S1583)),1),ISNUMBER(SEARCH(MID(S1583,_xlfn.SEQUENCE(LEN(S1583)),1),"ABCDEFGHIJKLMNOPQRSTUVWXYZabcdefghijklmnopqrstuvwxyz0123456789,")))),"")</f>
        <v/>
      </c>
      <c r="G1583" s="20" t="str" cm="1">
        <f t="array" ref="G1583">IF(TRIM(P1583)="","",IF(SUM(COUNTIF(P1583,{"*NLGD*","*FWG*"}))&gt;0,P1583,IF(SUM(COUNTIF(P1583,{"*GL*","*DGB*","*DGI*","*GT*","*CS*","*PWU*","*DBI*","*SWU*"}))=0,P1583,IF(IFERROR(VALUE(SUBSTITUTE(SUBSTITUTE(O1583,"W",""),"""","")),0)&gt;52,P1583&amp;"-OVRSIZE-",P1583))))</f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s="18" t="str">
        <v/>
      </c>
      <c r="O1583" s="15" t="str" cm="1">
        <f t="array" ref="O1583">IFERROR(_xlfn.LET(
_xlpm.clean,TRIM(SUBSTITUTE(SUBSTITUTE(P1583,CHAR(160),"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3" t="str">
        <f t="shared" si="25"/>
        <v/>
      </c>
    </row>
    <row r="1584" spans="3:19" ht="15.75" customHeight="1">
      <c r="C1584" s="15" t="str" cm="1">
        <f t="array" ref="C1584">IFERROR(_xlfn.TEXTJOIN("",TRUE,_xlfn._xlws.FILTER(MID(S1584,_xlfn.SEQUENCE(LEN(S1584)),1),ISNUMBER(SEARCH(MID(S1584,_xlfn.SEQUENCE(LEN(S1584)),1),"ABCDEFGHIJKLMNOPQRSTUVWXYZabcdefghijklmnopqrstuvwxyz0123456789,")))),"")</f>
        <v/>
      </c>
      <c r="G1584" s="20" t="str" cm="1">
        <f t="array" ref="G1584">IF(TRIM(P1584)="","",IF(SUM(COUNTIF(P1584,{"*NLGD*","*FWG*"}))&gt;0,P1584,IF(SUM(COUNTIF(P1584,{"*GL*","*DGB*","*DGI*","*GT*","*CS*","*PWU*","*DBI*","*SWU*"}))=0,P1584,IF(IFERROR(VALUE(SUBSTITUTE(SUBSTITUTE(O1584,"W",""),"""","")),0)&gt;52,P1584&amp;"-OVRSIZE-",P1584))))</f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s="18" t="str">
        <v/>
      </c>
      <c r="O1584" s="15" t="str" cm="1">
        <f t="array" ref="O1584">IFERROR(_xlfn.LET(
_xlpm.clean,TRIM(SUBSTITUTE(SUBSTITUTE(P1584,CHAR(160),"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4" t="str">
        <f t="shared" si="25"/>
        <v/>
      </c>
    </row>
    <row r="1585" spans="3:19" ht="15.75" customHeight="1">
      <c r="C1585" s="15" t="str" cm="1">
        <f t="array" ref="C1585">IFERROR(_xlfn.TEXTJOIN("",TRUE,_xlfn._xlws.FILTER(MID(S1585,_xlfn.SEQUENCE(LEN(S1585)),1),ISNUMBER(SEARCH(MID(S1585,_xlfn.SEQUENCE(LEN(S1585)),1),"ABCDEFGHIJKLMNOPQRSTUVWXYZabcdefghijklmnopqrstuvwxyz0123456789,")))),"")</f>
        <v/>
      </c>
      <c r="G1585" s="20" t="str" cm="1">
        <f t="array" ref="G1585">IF(TRIM(P1585)="","",IF(SUM(COUNTIF(P1585,{"*NLGD*","*FWG*"}))&gt;0,P1585,IF(SUM(COUNTIF(P1585,{"*GL*","*DGB*","*DGI*","*GT*","*CS*","*PWU*","*DBI*","*SWU*"}))=0,P1585,IF(IFERROR(VALUE(SUBSTITUTE(SUBSTITUTE(O1585,"W",""),"""","")),0)&gt;52,P1585&amp;"-OVRSIZE-",P1585))))</f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s="18" t="str">
        <v/>
      </c>
      <c r="O1585" s="15" t="str" cm="1">
        <f t="array" ref="O1585">IFERROR(_xlfn.LET(
_xlpm.clean,TRIM(SUBSTITUTE(SUBSTITUTE(P1585,CHAR(160),"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5" t="str">
        <f t="shared" si="25"/>
        <v/>
      </c>
    </row>
    <row r="1586" spans="3:19" ht="15.75" customHeight="1">
      <c r="C1586" s="15" t="str" cm="1">
        <f t="array" ref="C1586">IFERROR(_xlfn.TEXTJOIN("",TRUE,_xlfn._xlws.FILTER(MID(S1586,_xlfn.SEQUENCE(LEN(S1586)),1),ISNUMBER(SEARCH(MID(S1586,_xlfn.SEQUENCE(LEN(S1586)),1),"ABCDEFGHIJKLMNOPQRSTUVWXYZabcdefghijklmnopqrstuvwxyz0123456789,")))),"")</f>
        <v/>
      </c>
      <c r="G1586" s="20" t="str" cm="1">
        <f t="array" ref="G1586">IF(TRIM(P1586)="","",IF(SUM(COUNTIF(P1586,{"*NLGD*","*FWG*"}))&gt;0,P1586,IF(SUM(COUNTIF(P1586,{"*GL*","*DGB*","*DGI*","*GT*","*CS*","*PWU*","*DBI*","*SWU*"}))=0,P1586,IF(IFERROR(VALUE(SUBSTITUTE(SUBSTITUTE(O1586,"W",""),"""","")),0)&gt;52,P1586&amp;"-OVRSIZE-",P1586))))</f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s="18" t="str">
        <v/>
      </c>
      <c r="O1586" s="15" t="str" cm="1">
        <f t="array" ref="O1586">IFERROR(_xlfn.LET(
_xlpm.clean,TRIM(SUBSTITUTE(SUBSTITUTE(P1586,CHAR(160),"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6" t="str">
        <f t="shared" si="25"/>
        <v/>
      </c>
    </row>
    <row r="1587" spans="3:19" ht="15.75" customHeight="1">
      <c r="C1587" s="15" t="str" cm="1">
        <f t="array" ref="C1587">IFERROR(_xlfn.TEXTJOIN("",TRUE,_xlfn._xlws.FILTER(MID(S1587,_xlfn.SEQUENCE(LEN(S1587)),1),ISNUMBER(SEARCH(MID(S1587,_xlfn.SEQUENCE(LEN(S1587)),1),"ABCDEFGHIJKLMNOPQRSTUVWXYZabcdefghijklmnopqrstuvwxyz0123456789,")))),"")</f>
        <v/>
      </c>
      <c r="G1587" s="20" t="str" cm="1">
        <f t="array" ref="G1587">IF(TRIM(P1587)="","",IF(SUM(COUNTIF(P1587,{"*NLGD*","*FWG*"}))&gt;0,P1587,IF(SUM(COUNTIF(P1587,{"*GL*","*DGB*","*DGI*","*GT*","*CS*","*PWU*","*DBI*","*SWU*"}))=0,P1587,IF(IFERROR(VALUE(SUBSTITUTE(SUBSTITUTE(O1587,"W",""),"""","")),0)&gt;52,P1587&amp;"-OVRSIZE-",P1587))))</f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s="18" t="str">
        <v/>
      </c>
      <c r="O1587" s="15" t="str" cm="1">
        <f t="array" ref="O1587">IFERROR(_xlfn.LET(
_xlpm.clean,TRIM(SUBSTITUTE(SUBSTITUTE(P1587,CHAR(160),"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7" t="str">
        <f t="shared" si="25"/>
        <v/>
      </c>
    </row>
    <row r="1588" spans="3:19" ht="15.75" customHeight="1">
      <c r="C1588" s="15" t="str" cm="1">
        <f t="array" ref="C1588">IFERROR(_xlfn.TEXTJOIN("",TRUE,_xlfn._xlws.FILTER(MID(S1588,_xlfn.SEQUENCE(LEN(S1588)),1),ISNUMBER(SEARCH(MID(S1588,_xlfn.SEQUENCE(LEN(S1588)),1),"ABCDEFGHIJKLMNOPQRSTUVWXYZabcdefghijklmnopqrstuvwxyz0123456789,")))),"")</f>
        <v/>
      </c>
      <c r="G1588" s="20" t="str" cm="1">
        <f t="array" ref="G1588">IF(TRIM(P1588)="","",IF(SUM(COUNTIF(P1588,{"*NLGD*","*FWG*"}))&gt;0,P1588,IF(SUM(COUNTIF(P1588,{"*GL*","*DGB*","*DGI*","*GT*","*CS*","*PWU*","*DBI*","*SWU*"}))=0,P1588,IF(IFERROR(VALUE(SUBSTITUTE(SUBSTITUTE(O1588,"W",""),"""","")),0)&gt;52,P1588&amp;"-OVRSIZE-",P1588))))</f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s="18" t="str">
        <v/>
      </c>
      <c r="O1588" s="15" t="str" cm="1">
        <f t="array" ref="O1588">IFERROR(_xlfn.LET(
_xlpm.clean,TRIM(SUBSTITUTE(SUBSTITUTE(P1588,CHAR(160),"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8" t="str">
        <f t="shared" si="25"/>
        <v/>
      </c>
    </row>
    <row r="1589" spans="3:19" ht="15.75" customHeight="1">
      <c r="C1589" s="15" t="str" cm="1">
        <f t="array" ref="C1589">IFERROR(_xlfn.TEXTJOIN("",TRUE,_xlfn._xlws.FILTER(MID(S1589,_xlfn.SEQUENCE(LEN(S1589)),1),ISNUMBER(SEARCH(MID(S1589,_xlfn.SEQUENCE(LEN(S1589)),1),"ABCDEFGHIJKLMNOPQRSTUVWXYZabcdefghijklmnopqrstuvwxyz0123456789,")))),"")</f>
        <v/>
      </c>
      <c r="G1589" s="20" t="str" cm="1">
        <f t="array" ref="G1589">IF(TRIM(P1589)="","",IF(SUM(COUNTIF(P1589,{"*NLGD*","*FWG*"}))&gt;0,P1589,IF(SUM(COUNTIF(P1589,{"*GL*","*DGB*","*DGI*","*GT*","*CS*","*PWU*","*DBI*","*SWU*"}))=0,P1589,IF(IFERROR(VALUE(SUBSTITUTE(SUBSTITUTE(O1589,"W",""),"""","")),0)&gt;52,P1589&amp;"-OVRSIZE-",P1589))))</f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s="18" t="str">
        <v/>
      </c>
      <c r="O1589" s="15" t="str" cm="1">
        <f t="array" ref="O1589">IFERROR(_xlfn.LET(
_xlpm.clean,TRIM(SUBSTITUTE(SUBSTITUTE(P1589,CHAR(160),"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9" t="str">
        <f t="shared" si="25"/>
        <v/>
      </c>
    </row>
    <row r="1590" spans="3:19" ht="15.75" customHeight="1">
      <c r="C1590" s="15" t="str" cm="1">
        <f t="array" ref="C1590">IFERROR(_xlfn.TEXTJOIN("",TRUE,_xlfn._xlws.FILTER(MID(S1590,_xlfn.SEQUENCE(LEN(S1590)),1),ISNUMBER(SEARCH(MID(S1590,_xlfn.SEQUENCE(LEN(S1590)),1),"ABCDEFGHIJKLMNOPQRSTUVWXYZabcdefghijklmnopqrstuvwxyz0123456789,")))),"")</f>
        <v/>
      </c>
      <c r="G1590" s="20" t="str" cm="1">
        <f t="array" ref="G1590">IF(TRIM(P1590)="","",IF(SUM(COUNTIF(P1590,{"*NLGD*","*FWG*"}))&gt;0,P1590,IF(SUM(COUNTIF(P1590,{"*GL*","*DGB*","*DGI*","*GT*","*CS*","*PWU*","*DBI*","*SWU*"}))=0,P1590,IF(IFERROR(VALUE(SUBSTITUTE(SUBSTITUTE(O1590,"W",""),"""","")),0)&gt;52,P1590&amp;"-OVRSIZE-",P1590))))</f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s="18" t="str">
        <v/>
      </c>
      <c r="O1590" s="15" t="str" cm="1">
        <f t="array" ref="O1590">IFERROR(_xlfn.LET(
_xlpm.clean,TRIM(SUBSTITUTE(SUBSTITUTE(P1590,CHAR(160),"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0" t="str">
        <f t="shared" si="25"/>
        <v/>
      </c>
    </row>
    <row r="1591" spans="3:19" ht="15.75" customHeight="1">
      <c r="C1591" s="15" t="str" cm="1">
        <f t="array" ref="C1591">IFERROR(_xlfn.TEXTJOIN("",TRUE,_xlfn._xlws.FILTER(MID(S1591,_xlfn.SEQUENCE(LEN(S1591)),1),ISNUMBER(SEARCH(MID(S1591,_xlfn.SEQUENCE(LEN(S1591)),1),"ABCDEFGHIJKLMNOPQRSTUVWXYZabcdefghijklmnopqrstuvwxyz0123456789,")))),"")</f>
        <v/>
      </c>
      <c r="G1591" s="20" t="str" cm="1">
        <f t="array" ref="G1591">IF(TRIM(P1591)="","",IF(SUM(COUNTIF(P1591,{"*NLGD*","*FWG*"}))&gt;0,P1591,IF(SUM(COUNTIF(P1591,{"*GL*","*DGB*","*DGI*","*GT*","*CS*","*PWU*","*DBI*","*SWU*"}))=0,P1591,IF(IFERROR(VALUE(SUBSTITUTE(SUBSTITUTE(O1591,"W",""),"""","")),0)&gt;52,P1591&amp;"-OVRSIZE-",P1591))))</f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s="18" t="str">
        <v/>
      </c>
      <c r="O1591" s="15" t="str" cm="1">
        <f t="array" ref="O1591">IFERROR(_xlfn.LET(
_xlpm.clean,TRIM(SUBSTITUTE(SUBSTITUTE(P1591,CHAR(160),"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1" t="str">
        <f t="shared" si="25"/>
        <v/>
      </c>
    </row>
    <row r="1592" spans="3:19" ht="15.75" customHeight="1">
      <c r="C1592" s="15" t="str" cm="1">
        <f t="array" ref="C1592">IFERROR(_xlfn.TEXTJOIN("",TRUE,_xlfn._xlws.FILTER(MID(S1592,_xlfn.SEQUENCE(LEN(S1592)),1),ISNUMBER(SEARCH(MID(S1592,_xlfn.SEQUENCE(LEN(S1592)),1),"ABCDEFGHIJKLMNOPQRSTUVWXYZabcdefghijklmnopqrstuvwxyz0123456789,")))),"")</f>
        <v/>
      </c>
      <c r="G1592" s="20" t="str" cm="1">
        <f t="array" ref="G1592">IF(TRIM(P1592)="","",IF(SUM(COUNTIF(P1592,{"*NLGD*","*FWG*"}))&gt;0,P1592,IF(SUM(COUNTIF(P1592,{"*GL*","*DGB*","*DGI*","*GT*","*CS*","*PWU*","*DBI*","*SWU*"}))=0,P1592,IF(IFERROR(VALUE(SUBSTITUTE(SUBSTITUTE(O1592,"W",""),"""","")),0)&gt;52,P1592&amp;"-OVRSIZE-",P1592))))</f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s="18" t="str">
        <v/>
      </c>
      <c r="O1592" s="15" t="str" cm="1">
        <f t="array" ref="O1592">IFERROR(_xlfn.LET(
_xlpm.clean,TRIM(SUBSTITUTE(SUBSTITUTE(P1592,CHAR(160),"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2" t="str">
        <f t="shared" si="25"/>
        <v/>
      </c>
    </row>
    <row r="1593" spans="3:19" ht="15.75" customHeight="1">
      <c r="C1593" s="15" t="str" cm="1">
        <f t="array" ref="C1593">IFERROR(_xlfn.TEXTJOIN("",TRUE,_xlfn._xlws.FILTER(MID(S1593,_xlfn.SEQUENCE(LEN(S1593)),1),ISNUMBER(SEARCH(MID(S1593,_xlfn.SEQUENCE(LEN(S1593)),1),"ABCDEFGHIJKLMNOPQRSTUVWXYZabcdefghijklmnopqrstuvwxyz0123456789,")))),"")</f>
        <v/>
      </c>
      <c r="G1593" s="20" t="str" cm="1">
        <f t="array" ref="G1593">IF(TRIM(P1593)="","",IF(SUM(COUNTIF(P1593,{"*NLGD*","*FWG*"}))&gt;0,P1593,IF(SUM(COUNTIF(P1593,{"*GL*","*DGB*","*DGI*","*GT*","*CS*","*PWU*","*DBI*","*SWU*"}))=0,P1593,IF(IFERROR(VALUE(SUBSTITUTE(SUBSTITUTE(O1593,"W",""),"""","")),0)&gt;52,P1593&amp;"-OVRSIZE-",P1593))))</f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s="18" t="str">
        <v/>
      </c>
      <c r="O1593" s="15" t="str" cm="1">
        <f t="array" ref="O1593">IFERROR(_xlfn.LET(
_xlpm.clean,TRIM(SUBSTITUTE(SUBSTITUTE(P1593,CHAR(160),"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3" t="str">
        <f t="shared" si="25"/>
        <v/>
      </c>
    </row>
    <row r="1594" spans="3:19" ht="15.75" customHeight="1">
      <c r="C1594" s="15" t="str" cm="1">
        <f t="array" ref="C1594">IFERROR(_xlfn.TEXTJOIN("",TRUE,_xlfn._xlws.FILTER(MID(S1594,_xlfn.SEQUENCE(LEN(S1594)),1),ISNUMBER(SEARCH(MID(S1594,_xlfn.SEQUENCE(LEN(S1594)),1),"ABCDEFGHIJKLMNOPQRSTUVWXYZabcdefghijklmnopqrstuvwxyz0123456789,")))),"")</f>
        <v/>
      </c>
      <c r="G1594" s="20" t="str" cm="1">
        <f t="array" ref="G1594">IF(TRIM(P1594)="","",IF(SUM(COUNTIF(P1594,{"*NLGD*","*FWG*"}))&gt;0,P1594,IF(SUM(COUNTIF(P1594,{"*GL*","*DGB*","*DGI*","*GT*","*CS*","*PWU*","*DBI*","*SWU*"}))=0,P1594,IF(IFERROR(VALUE(SUBSTITUTE(SUBSTITUTE(O1594,"W",""),"""","")),0)&gt;52,P1594&amp;"-OVRSIZE-",P1594))))</f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s="18" t="str">
        <v/>
      </c>
      <c r="O1594" s="15" t="str" cm="1">
        <f t="array" ref="O1594">IFERROR(_xlfn.LET(
_xlpm.clean,TRIM(SUBSTITUTE(SUBSTITUTE(P1594,CHAR(160),"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4" t="str">
        <f t="shared" si="25"/>
        <v/>
      </c>
    </row>
    <row r="1595" spans="3:19" ht="15.75" customHeight="1">
      <c r="C1595" s="15" t="str" cm="1">
        <f t="array" ref="C1595">IFERROR(_xlfn.TEXTJOIN("",TRUE,_xlfn._xlws.FILTER(MID(S1595,_xlfn.SEQUENCE(LEN(S1595)),1),ISNUMBER(SEARCH(MID(S1595,_xlfn.SEQUENCE(LEN(S1595)),1),"ABCDEFGHIJKLMNOPQRSTUVWXYZabcdefghijklmnopqrstuvwxyz0123456789,")))),"")</f>
        <v/>
      </c>
      <c r="G1595" s="20" t="str" cm="1">
        <f t="array" ref="G1595">IF(TRIM(P1595)="","",IF(SUM(COUNTIF(P1595,{"*NLGD*","*FWG*"}))&gt;0,P1595,IF(SUM(COUNTIF(P1595,{"*GL*","*DGB*","*DGI*","*GT*","*CS*","*PWU*","*DBI*","*SWU*"}))=0,P1595,IF(IFERROR(VALUE(SUBSTITUTE(SUBSTITUTE(O1595,"W",""),"""","")),0)&gt;52,P1595&amp;"-OVRSIZE-",P1595))))</f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s="18" t="str">
        <v/>
      </c>
      <c r="O1595" s="15" t="str" cm="1">
        <f t="array" ref="O1595">IFERROR(_xlfn.LET(
_xlpm.clean,TRIM(SUBSTITUTE(SUBSTITUTE(P1595,CHAR(160),"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5" t="str">
        <f t="shared" si="25"/>
        <v/>
      </c>
    </row>
    <row r="1596" spans="3:19" ht="15.75" customHeight="1">
      <c r="C1596" s="15" t="str" cm="1">
        <f t="array" ref="C1596">IFERROR(_xlfn.TEXTJOIN("",TRUE,_xlfn._xlws.FILTER(MID(S1596,_xlfn.SEQUENCE(LEN(S1596)),1),ISNUMBER(SEARCH(MID(S1596,_xlfn.SEQUENCE(LEN(S1596)),1),"ABCDEFGHIJKLMNOPQRSTUVWXYZabcdefghijklmnopqrstuvwxyz0123456789,")))),"")</f>
        <v/>
      </c>
      <c r="G1596" s="20" t="str" cm="1">
        <f t="array" ref="G1596">IF(TRIM(P1596)="","",IF(SUM(COUNTIF(P1596,{"*NLGD*","*FWG*"}))&gt;0,P1596,IF(SUM(COUNTIF(P1596,{"*GL*","*DGB*","*DGI*","*GT*","*CS*","*PWU*","*DBI*","*SWU*"}))=0,P1596,IF(IFERROR(VALUE(SUBSTITUTE(SUBSTITUTE(O1596,"W",""),"""","")),0)&gt;52,P1596&amp;"-OVRSIZE-",P1596))))</f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s="18" t="str">
        <v/>
      </c>
      <c r="O1596" s="15" t="str" cm="1">
        <f t="array" ref="O1596">IFERROR(_xlfn.LET(
_xlpm.clean,TRIM(SUBSTITUTE(SUBSTITUTE(P1596,CHAR(160),"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6" t="str">
        <f t="shared" si="25"/>
        <v/>
      </c>
    </row>
    <row r="1597" spans="3:19" ht="15.75" customHeight="1">
      <c r="C1597" s="15" t="str" cm="1">
        <f t="array" ref="C1597">IFERROR(_xlfn.TEXTJOIN("",TRUE,_xlfn._xlws.FILTER(MID(S1597,_xlfn.SEQUENCE(LEN(S1597)),1),ISNUMBER(SEARCH(MID(S1597,_xlfn.SEQUENCE(LEN(S1597)),1),"ABCDEFGHIJKLMNOPQRSTUVWXYZabcdefghijklmnopqrstuvwxyz0123456789,")))),"")</f>
        <v/>
      </c>
      <c r="G1597" s="20" t="str" cm="1">
        <f t="array" ref="G1597">IF(TRIM(P1597)="","",IF(SUM(COUNTIF(P1597,{"*NLGD*","*FWG*"}))&gt;0,P1597,IF(SUM(COUNTIF(P1597,{"*GL*","*DGB*","*DGI*","*GT*","*CS*","*PWU*","*DBI*","*SWU*"}))=0,P1597,IF(IFERROR(VALUE(SUBSTITUTE(SUBSTITUTE(O1597,"W",""),"""","")),0)&gt;52,P1597&amp;"-OVRSIZE-",P1597))))</f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s="18" t="str">
        <v/>
      </c>
      <c r="O1597" s="15" t="str" cm="1">
        <f t="array" ref="O1597">IFERROR(_xlfn.LET(
_xlpm.clean,TRIM(SUBSTITUTE(SUBSTITUTE(P1597,CHAR(160),"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7" t="str">
        <f t="shared" si="25"/>
        <v/>
      </c>
    </row>
    <row r="1598" spans="3:19" ht="15.75" customHeight="1">
      <c r="C1598" s="15" t="str" cm="1">
        <f t="array" ref="C1598">IFERROR(_xlfn.TEXTJOIN("",TRUE,_xlfn._xlws.FILTER(MID(S1598,_xlfn.SEQUENCE(LEN(S1598)),1),ISNUMBER(SEARCH(MID(S1598,_xlfn.SEQUENCE(LEN(S1598)),1),"ABCDEFGHIJKLMNOPQRSTUVWXYZabcdefghijklmnopqrstuvwxyz0123456789,")))),"")</f>
        <v/>
      </c>
      <c r="G1598" s="20" t="str" cm="1">
        <f t="array" ref="G1598">IF(TRIM(P1598)="","",IF(SUM(COUNTIF(P1598,{"*NLGD*","*FWG*"}))&gt;0,P1598,IF(SUM(COUNTIF(P1598,{"*GL*","*DGB*","*DGI*","*GT*","*CS*","*PWU*","*DBI*","*SWU*"}))=0,P1598,IF(IFERROR(VALUE(SUBSTITUTE(SUBSTITUTE(O1598,"W",""),"""","")),0)&gt;52,P1598&amp;"-OVRSIZE-",P1598))))</f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s="18" t="str">
        <v/>
      </c>
      <c r="O1598" s="15" t="str" cm="1">
        <f t="array" ref="O1598">IFERROR(_xlfn.LET(
_xlpm.clean,TRIM(SUBSTITUTE(SUBSTITUTE(P1598,CHAR(160),"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8" t="str">
        <f t="shared" si="25"/>
        <v/>
      </c>
    </row>
    <row r="1599" spans="3:19" ht="15.75" customHeight="1">
      <c r="C1599" s="15" t="str" cm="1">
        <f t="array" ref="C1599">IFERROR(_xlfn.TEXTJOIN("",TRUE,_xlfn._xlws.FILTER(MID(S1599,_xlfn.SEQUENCE(LEN(S1599)),1),ISNUMBER(SEARCH(MID(S1599,_xlfn.SEQUENCE(LEN(S1599)),1),"ABCDEFGHIJKLMNOPQRSTUVWXYZabcdefghijklmnopqrstuvwxyz0123456789,")))),"")</f>
        <v/>
      </c>
      <c r="G1599" s="20" t="str" cm="1">
        <f t="array" ref="G1599">IF(TRIM(P1599)="","",IF(SUM(COUNTIF(P1599,{"*NLGD*","*FWG*"}))&gt;0,P1599,IF(SUM(COUNTIF(P1599,{"*GL*","*DGB*","*DGI*","*GT*","*CS*","*PWU*","*DBI*","*SWU*"}))=0,P1599,IF(IFERROR(VALUE(SUBSTITUTE(SUBSTITUTE(O1599,"W",""),"""","")),0)&gt;52,P1599&amp;"-OVRSIZE-",P1599))))</f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s="18" t="str">
        <v/>
      </c>
      <c r="O1599" s="15" t="str" cm="1">
        <f t="array" ref="O1599">IFERROR(_xlfn.LET(
_xlpm.clean,TRIM(SUBSTITUTE(SUBSTITUTE(P1599,CHAR(160),"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9" t="str">
        <f t="shared" si="25"/>
        <v/>
      </c>
    </row>
    <row r="1600" spans="3:19" ht="15.75" customHeight="1">
      <c r="C1600" s="15" t="str" cm="1">
        <f t="array" ref="C1600">IFERROR(_xlfn.TEXTJOIN("",TRUE,_xlfn._xlws.FILTER(MID(S1600,_xlfn.SEQUENCE(LEN(S1600)),1),ISNUMBER(SEARCH(MID(S1600,_xlfn.SEQUENCE(LEN(S1600)),1),"ABCDEFGHIJKLMNOPQRSTUVWXYZabcdefghijklmnopqrstuvwxyz0123456789,")))),"")</f>
        <v/>
      </c>
      <c r="G1600" s="20" t="str" cm="1">
        <f t="array" ref="G1600">IF(TRIM(P1600)="","",IF(SUM(COUNTIF(P1600,{"*NLGD*","*FWG*"}))&gt;0,P1600,IF(SUM(COUNTIF(P1600,{"*GL*","*DGB*","*DGI*","*GT*","*CS*","*PWU*","*DBI*","*SWU*"}))=0,P1600,IF(IFERROR(VALUE(SUBSTITUTE(SUBSTITUTE(O1600,"W",""),"""","")),0)&gt;52,P1600&amp;"-OVRSIZE-",P1600))))</f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s="18" t="str">
        <v/>
      </c>
      <c r="O1600" s="15" t="str" cm="1">
        <f t="array" ref="O1600">IFERROR(_xlfn.LET(
_xlpm.clean,TRIM(SUBSTITUTE(SUBSTITUTE(P1600,CHAR(160),"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0" t="str">
        <f t="shared" si="25"/>
        <v/>
      </c>
    </row>
    <row r="1601" spans="3:19" ht="15.75" customHeight="1">
      <c r="C1601" s="15" t="str" cm="1">
        <f t="array" ref="C1601">IFERROR(_xlfn.TEXTJOIN("",TRUE,_xlfn._xlws.FILTER(MID(S1601,_xlfn.SEQUENCE(LEN(S1601)),1),ISNUMBER(SEARCH(MID(S1601,_xlfn.SEQUENCE(LEN(S1601)),1),"ABCDEFGHIJKLMNOPQRSTUVWXYZabcdefghijklmnopqrstuvwxyz0123456789,")))),"")</f>
        <v/>
      </c>
      <c r="G1601" s="20" t="str" cm="1">
        <f t="array" ref="G1601">IF(TRIM(P1601)="","",IF(SUM(COUNTIF(P1601,{"*NLGD*","*FWG*"}))&gt;0,P1601,IF(SUM(COUNTIF(P1601,{"*GL*","*DGB*","*DGI*","*GT*","*CS*","*PWU*","*DBI*","*SWU*"}))=0,P1601,IF(IFERROR(VALUE(SUBSTITUTE(SUBSTITUTE(O1601,"W",""),"""","")),0)&gt;52,P1601&amp;"-OVRSIZE-",P1601))))</f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s="18" t="str">
        <v/>
      </c>
      <c r="O1601" s="15" t="str" cm="1">
        <f t="array" ref="O1601">IFERROR(_xlfn.LET(
_xlpm.clean,TRIM(SUBSTITUTE(SUBSTITUTE(P1601,CHAR(160),"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1" t="str">
        <f t="shared" si="25"/>
        <v/>
      </c>
    </row>
    <row r="1602" spans="3:19" ht="15.75" customHeight="1">
      <c r="C1602" s="15" t="str" cm="1">
        <f t="array" ref="C1602">IFERROR(_xlfn.TEXTJOIN("",TRUE,_xlfn._xlws.FILTER(MID(S1602,_xlfn.SEQUENCE(LEN(S1602)),1),ISNUMBER(SEARCH(MID(S1602,_xlfn.SEQUENCE(LEN(S1602)),1),"ABCDEFGHIJKLMNOPQRSTUVWXYZabcdefghijklmnopqrstuvwxyz0123456789,")))),"")</f>
        <v/>
      </c>
      <c r="G1602" s="20" t="str" cm="1">
        <f t="array" ref="G1602">IF(TRIM(P1602)="","",IF(SUM(COUNTIF(P1602,{"*NLGD*","*FWG*"}))&gt;0,P1602,IF(SUM(COUNTIF(P1602,{"*GL*","*DGB*","*DGI*","*GT*","*CS*","*PWU*","*DBI*","*SWU*"}))=0,P1602,IF(IFERROR(VALUE(SUBSTITUTE(SUBSTITUTE(O1602,"W",""),"""","")),0)&gt;52,P1602&amp;"-OVRSIZE-",P1602))))</f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s="18" t="str">
        <v/>
      </c>
      <c r="O1602" s="15" t="str" cm="1">
        <f t="array" ref="O1602">IFERROR(_xlfn.LET(
_xlpm.clean,TRIM(SUBSTITUTE(SUBSTITUTE(P1602,CHAR(160),"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2" t="str">
        <f t="shared" si="25"/>
        <v/>
      </c>
    </row>
    <row r="1603" spans="3:19" ht="15.75" customHeight="1">
      <c r="C1603" s="15" t="str" cm="1">
        <f t="array" ref="C1603">IFERROR(_xlfn.TEXTJOIN("",TRUE,_xlfn._xlws.FILTER(MID(S1603,_xlfn.SEQUENCE(LEN(S1603)),1),ISNUMBER(SEARCH(MID(S1603,_xlfn.SEQUENCE(LEN(S1603)),1),"ABCDEFGHIJKLMNOPQRSTUVWXYZabcdefghijklmnopqrstuvwxyz0123456789,")))),"")</f>
        <v/>
      </c>
      <c r="G1603" s="20" t="str" cm="1">
        <f t="array" ref="G1603">IF(TRIM(P1603)="","",IF(SUM(COUNTIF(P1603,{"*NLGD*","*FWG*"}))&gt;0,P1603,IF(SUM(COUNTIF(P1603,{"*GL*","*DGB*","*DGI*","*GT*","*CS*","*PWU*","*DBI*","*SWU*"}))=0,P1603,IF(IFERROR(VALUE(SUBSTITUTE(SUBSTITUTE(O1603,"W",""),"""","")),0)&gt;52,P1603&amp;"-OVRSIZE-",P1603))))</f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s="18" t="str">
        <v/>
      </c>
      <c r="O1603" s="15" t="str" cm="1">
        <f t="array" ref="O1603">IFERROR(_xlfn.LET(
_xlpm.clean,TRIM(SUBSTITUTE(SUBSTITUTE(P1603,CHAR(160),"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3" t="str">
        <f t="shared" si="25"/>
        <v/>
      </c>
    </row>
    <row r="1604" spans="3:19" ht="15.75" customHeight="1">
      <c r="C1604" s="15" t="str" cm="1">
        <f t="array" ref="C1604">IFERROR(_xlfn.TEXTJOIN("",TRUE,_xlfn._xlws.FILTER(MID(S1604,_xlfn.SEQUENCE(LEN(S1604)),1),ISNUMBER(SEARCH(MID(S1604,_xlfn.SEQUENCE(LEN(S1604)),1),"ABCDEFGHIJKLMNOPQRSTUVWXYZabcdefghijklmnopqrstuvwxyz0123456789,")))),"")</f>
        <v/>
      </c>
      <c r="G1604" s="20" t="str" cm="1">
        <f t="array" ref="G1604">IF(TRIM(P1604)="","",IF(SUM(COUNTIF(P1604,{"*NLGD*","*FWG*"}))&gt;0,P1604,IF(SUM(COUNTIF(P1604,{"*GL*","*DGB*","*DGI*","*GT*","*CS*","*PWU*","*DBI*","*SWU*"}))=0,P1604,IF(IFERROR(VALUE(SUBSTITUTE(SUBSTITUTE(O1604,"W",""),"""","")),0)&gt;52,P1604&amp;"-OVRSIZE-",P1604))))</f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s="18" t="str">
        <v/>
      </c>
      <c r="O1604" s="15" t="str" cm="1">
        <f t="array" ref="O1604">IFERROR(_xlfn.LET(
_xlpm.clean,TRIM(SUBSTITUTE(SUBSTITUTE(P1604,CHAR(160),"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4" t="str">
        <f t="shared" si="25"/>
        <v/>
      </c>
    </row>
    <row r="1605" spans="3:19" ht="15.75" customHeight="1">
      <c r="C1605" s="15" t="str" cm="1">
        <f t="array" ref="C1605">IFERROR(_xlfn.TEXTJOIN("",TRUE,_xlfn._xlws.FILTER(MID(S1605,_xlfn.SEQUENCE(LEN(S1605)),1),ISNUMBER(SEARCH(MID(S1605,_xlfn.SEQUENCE(LEN(S1605)),1),"ABCDEFGHIJKLMNOPQRSTUVWXYZabcdefghijklmnopqrstuvwxyz0123456789,")))),"")</f>
        <v/>
      </c>
      <c r="G1605" s="20" t="str" cm="1">
        <f t="array" ref="G1605">IF(TRIM(P1605)="","",IF(SUM(COUNTIF(P1605,{"*NLGD*","*FWG*"}))&gt;0,P1605,IF(SUM(COUNTIF(P1605,{"*GL*","*DGB*","*DGI*","*GT*","*CS*","*PWU*","*DBI*","*SWU*"}))=0,P1605,IF(IFERROR(VALUE(SUBSTITUTE(SUBSTITUTE(O1605,"W",""),"""","")),0)&gt;52,P1605&amp;"-OVRSIZE-",P1605))))</f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s="18" t="str">
        <v/>
      </c>
      <c r="O1605" s="15" t="str" cm="1">
        <f t="array" ref="O1605">IFERROR(_xlfn.LET(
_xlpm.clean,TRIM(SUBSTITUTE(SUBSTITUTE(P1605,CHAR(160),"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5" t="str">
        <f t="shared" si="25"/>
        <v/>
      </c>
    </row>
    <row r="1606" spans="3:19" ht="15.75" customHeight="1">
      <c r="C1606" s="15" t="str" cm="1">
        <f t="array" ref="C1606">IFERROR(_xlfn.TEXTJOIN("",TRUE,_xlfn._xlws.FILTER(MID(S1606,_xlfn.SEQUENCE(LEN(S1606)),1),ISNUMBER(SEARCH(MID(S1606,_xlfn.SEQUENCE(LEN(S1606)),1),"ABCDEFGHIJKLMNOPQRSTUVWXYZabcdefghijklmnopqrstuvwxyz0123456789,")))),"")</f>
        <v/>
      </c>
      <c r="G1606" s="20" t="str" cm="1">
        <f t="array" ref="G1606">IF(TRIM(P1606)="","",IF(SUM(COUNTIF(P1606,{"*NLGD*","*FWG*"}))&gt;0,P1606,IF(SUM(COUNTIF(P1606,{"*GL*","*DGB*","*DGI*","*GT*","*CS*","*PWU*","*DBI*","*SWU*"}))=0,P1606,IF(IFERROR(VALUE(SUBSTITUTE(SUBSTITUTE(O1606,"W",""),"""","")),0)&gt;52,P1606&amp;"-OVRSIZE-",P1606))))</f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s="18" t="str">
        <v/>
      </c>
      <c r="O1606" s="15" t="str" cm="1">
        <f t="array" ref="O1606">IFERROR(_xlfn.LET(
_xlpm.clean,TRIM(SUBSTITUTE(SUBSTITUTE(P1606,CHAR(160),"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6" t="str">
        <f t="shared" si="25"/>
        <v/>
      </c>
    </row>
    <row r="1607" spans="3:19" ht="15.75" customHeight="1">
      <c r="C1607" s="15" t="str" cm="1">
        <f t="array" ref="C1607">IFERROR(_xlfn.TEXTJOIN("",TRUE,_xlfn._xlws.FILTER(MID(S1607,_xlfn.SEQUENCE(LEN(S1607)),1),ISNUMBER(SEARCH(MID(S1607,_xlfn.SEQUENCE(LEN(S1607)),1),"ABCDEFGHIJKLMNOPQRSTUVWXYZabcdefghijklmnopqrstuvwxyz0123456789,")))),"")</f>
        <v/>
      </c>
      <c r="G1607" s="20" t="str" cm="1">
        <f t="array" ref="G1607">IF(TRIM(P1607)="","",IF(SUM(COUNTIF(P1607,{"*NLGD*","*FWG*"}))&gt;0,P1607,IF(SUM(COUNTIF(P1607,{"*GL*","*DGB*","*DGI*","*GT*","*CS*","*PWU*","*DBI*","*SWU*"}))=0,P1607,IF(IFERROR(VALUE(SUBSTITUTE(SUBSTITUTE(O1607,"W",""),"""","")),0)&gt;52,P1607&amp;"-OVRSIZE-",P1607))))</f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s="18" t="str">
        <v/>
      </c>
      <c r="O1607" s="15" t="str" cm="1">
        <f t="array" ref="O1607">IFERROR(_xlfn.LET(
_xlpm.clean,TRIM(SUBSTITUTE(SUBSTITUTE(P1607,CHAR(160),"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7" t="str">
        <f t="shared" si="25"/>
        <v/>
      </c>
    </row>
    <row r="1608" spans="3:19" ht="15.75" customHeight="1">
      <c r="C1608" s="15" t="str" cm="1">
        <f t="array" ref="C1608">IFERROR(_xlfn.TEXTJOIN("",TRUE,_xlfn._xlws.FILTER(MID(S1608,_xlfn.SEQUENCE(LEN(S1608)),1),ISNUMBER(SEARCH(MID(S1608,_xlfn.SEQUENCE(LEN(S1608)),1),"ABCDEFGHIJKLMNOPQRSTUVWXYZabcdefghijklmnopqrstuvwxyz0123456789,")))),"")</f>
        <v/>
      </c>
      <c r="G1608" s="20" t="str" cm="1">
        <f t="array" ref="G1608">IF(TRIM(P1608)="","",IF(SUM(COUNTIF(P1608,{"*NLGD*","*FWG*"}))&gt;0,P1608,IF(SUM(COUNTIF(P1608,{"*GL*","*DGB*","*DGI*","*GT*","*CS*","*PWU*","*DBI*","*SWU*"}))=0,P1608,IF(IFERROR(VALUE(SUBSTITUTE(SUBSTITUTE(O1608,"W",""),"""","")),0)&gt;52,P1608&amp;"-OVRSIZE-",P1608))))</f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s="18" t="str">
        <v/>
      </c>
      <c r="O1608" s="15" t="str" cm="1">
        <f t="array" ref="O1608">IFERROR(_xlfn.LET(
_xlpm.clean,TRIM(SUBSTITUTE(SUBSTITUTE(P1608,CHAR(160),"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8" t="str">
        <f t="shared" ref="S1608:S1671" si="26">IF(R1608="","",_xlfn.LET(
_xlpm.x,TRIM(SUBSTITUTE(SUBSTITUTE(SUBSTITUTE(SUBSTITUTE(R1608,":","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609" spans="3:19" ht="15.75" customHeight="1">
      <c r="C1609" s="15" t="str" cm="1">
        <f t="array" ref="C1609">IFERROR(_xlfn.TEXTJOIN("",TRUE,_xlfn._xlws.FILTER(MID(S1609,_xlfn.SEQUENCE(LEN(S1609)),1),ISNUMBER(SEARCH(MID(S1609,_xlfn.SEQUENCE(LEN(S1609)),1),"ABCDEFGHIJKLMNOPQRSTUVWXYZabcdefghijklmnopqrstuvwxyz0123456789,")))),"")</f>
        <v/>
      </c>
      <c r="G1609" s="20" t="str" cm="1">
        <f t="array" ref="G1609">IF(TRIM(P1609)="","",IF(SUM(COUNTIF(P1609,{"*NLGD*","*FWG*"}))&gt;0,P1609,IF(SUM(COUNTIF(P1609,{"*GL*","*DGB*","*DGI*","*GT*","*CS*","*PWU*","*DBI*","*SWU*"}))=0,P1609,IF(IFERROR(VALUE(SUBSTITUTE(SUBSTITUTE(O1609,"W",""),"""","")),0)&gt;52,P1609&amp;"-OVRSIZE-",P1609))))</f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s="18" t="str">
        <v/>
      </c>
      <c r="O1609" s="15" t="str" cm="1">
        <f t="array" ref="O1609">IFERROR(_xlfn.LET(
_xlpm.clean,TRIM(SUBSTITUTE(SUBSTITUTE(P1609,CHAR(160),"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9" t="str">
        <f t="shared" si="26"/>
        <v/>
      </c>
    </row>
    <row r="1610" spans="3:19" ht="15.75" customHeight="1">
      <c r="C1610" s="15" t="str" cm="1">
        <f t="array" ref="C1610">IFERROR(_xlfn.TEXTJOIN("",TRUE,_xlfn._xlws.FILTER(MID(S1610,_xlfn.SEQUENCE(LEN(S1610)),1),ISNUMBER(SEARCH(MID(S1610,_xlfn.SEQUENCE(LEN(S1610)),1),"ABCDEFGHIJKLMNOPQRSTUVWXYZabcdefghijklmnopqrstuvwxyz0123456789,")))),"")</f>
        <v/>
      </c>
      <c r="G1610" s="20" t="str" cm="1">
        <f t="array" ref="G1610">IF(TRIM(P1610)="","",IF(SUM(COUNTIF(P1610,{"*NLGD*","*FWG*"}))&gt;0,P1610,IF(SUM(COUNTIF(P1610,{"*GL*","*DGB*","*DGI*","*GT*","*CS*","*PWU*","*DBI*","*SWU*"}))=0,P1610,IF(IFERROR(VALUE(SUBSTITUTE(SUBSTITUTE(O1610,"W",""),"""","")),0)&gt;52,P1610&amp;"-OVRSIZE-",P1610))))</f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s="18" t="str">
        <v/>
      </c>
      <c r="O1610" s="15" t="str" cm="1">
        <f t="array" ref="O1610">IFERROR(_xlfn.LET(
_xlpm.clean,TRIM(SUBSTITUTE(SUBSTITUTE(P1610,CHAR(160),"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0" t="str">
        <f t="shared" si="26"/>
        <v/>
      </c>
    </row>
    <row r="1611" spans="3:19" ht="15.75" customHeight="1">
      <c r="C1611" s="15" t="str" cm="1">
        <f t="array" ref="C1611">IFERROR(_xlfn.TEXTJOIN("",TRUE,_xlfn._xlws.FILTER(MID(S1611,_xlfn.SEQUENCE(LEN(S1611)),1),ISNUMBER(SEARCH(MID(S1611,_xlfn.SEQUENCE(LEN(S1611)),1),"ABCDEFGHIJKLMNOPQRSTUVWXYZabcdefghijklmnopqrstuvwxyz0123456789,")))),"")</f>
        <v/>
      </c>
      <c r="G1611" s="20" t="str" cm="1">
        <f t="array" ref="G1611">IF(TRIM(P1611)="","",IF(SUM(COUNTIF(P1611,{"*NLGD*","*FWG*"}))&gt;0,P1611,IF(SUM(COUNTIF(P1611,{"*GL*","*DGB*","*DGI*","*GT*","*CS*","*PWU*","*DBI*","*SWU*"}))=0,P1611,IF(IFERROR(VALUE(SUBSTITUTE(SUBSTITUTE(O1611,"W",""),"""","")),0)&gt;52,P1611&amp;"-OVRSIZE-",P1611))))</f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s="18" t="str">
        <v/>
      </c>
      <c r="O1611" s="15" t="str" cm="1">
        <f t="array" ref="O1611">IFERROR(_xlfn.LET(
_xlpm.clean,TRIM(SUBSTITUTE(SUBSTITUTE(P1611,CHAR(160),"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1" t="str">
        <f t="shared" si="26"/>
        <v/>
      </c>
    </row>
    <row r="1612" spans="3:19" ht="15.75" customHeight="1">
      <c r="C1612" s="15" t="str" cm="1">
        <f t="array" ref="C1612">IFERROR(_xlfn.TEXTJOIN("",TRUE,_xlfn._xlws.FILTER(MID(S1612,_xlfn.SEQUENCE(LEN(S1612)),1),ISNUMBER(SEARCH(MID(S1612,_xlfn.SEQUENCE(LEN(S1612)),1),"ABCDEFGHIJKLMNOPQRSTUVWXYZabcdefghijklmnopqrstuvwxyz0123456789,")))),"")</f>
        <v/>
      </c>
      <c r="G1612" s="20" t="str" cm="1">
        <f t="array" ref="G1612">IF(TRIM(P1612)="","",IF(SUM(COUNTIF(P1612,{"*NLGD*","*FWG*"}))&gt;0,P1612,IF(SUM(COUNTIF(P1612,{"*GL*","*DGB*","*DGI*","*GT*","*CS*","*PWU*","*DBI*","*SWU*"}))=0,P1612,IF(IFERROR(VALUE(SUBSTITUTE(SUBSTITUTE(O1612,"W",""),"""","")),0)&gt;52,P1612&amp;"-OVRSIZE-",P1612))))</f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s="18" t="str">
        <v/>
      </c>
      <c r="O1612" s="15" t="str" cm="1">
        <f t="array" ref="O1612">IFERROR(_xlfn.LET(
_xlpm.clean,TRIM(SUBSTITUTE(SUBSTITUTE(P1612,CHAR(160),"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2" t="str">
        <f t="shared" si="26"/>
        <v/>
      </c>
    </row>
    <row r="1613" spans="3:19" ht="15.75" customHeight="1">
      <c r="C1613" s="15" t="str" cm="1">
        <f t="array" ref="C1613">IFERROR(_xlfn.TEXTJOIN("",TRUE,_xlfn._xlws.FILTER(MID(S1613,_xlfn.SEQUENCE(LEN(S1613)),1),ISNUMBER(SEARCH(MID(S1613,_xlfn.SEQUENCE(LEN(S1613)),1),"ABCDEFGHIJKLMNOPQRSTUVWXYZabcdefghijklmnopqrstuvwxyz0123456789,")))),"")</f>
        <v/>
      </c>
      <c r="G1613" s="20" t="str" cm="1">
        <f t="array" ref="G1613">IF(TRIM(P1613)="","",IF(SUM(COUNTIF(P1613,{"*NLGD*","*FWG*"}))&gt;0,P1613,IF(SUM(COUNTIF(P1613,{"*GL*","*DGB*","*DGI*","*GT*","*CS*","*PWU*","*DBI*","*SWU*"}))=0,P1613,IF(IFERROR(VALUE(SUBSTITUTE(SUBSTITUTE(O1613,"W",""),"""","")),0)&gt;52,P1613&amp;"-OVRSIZE-",P1613))))</f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s="18" t="str">
        <v/>
      </c>
      <c r="O1613" s="15" t="str" cm="1">
        <f t="array" ref="O1613">IFERROR(_xlfn.LET(
_xlpm.clean,TRIM(SUBSTITUTE(SUBSTITUTE(P1613,CHAR(160),"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3" t="str">
        <f t="shared" si="26"/>
        <v/>
      </c>
    </row>
    <row r="1614" spans="3:19" ht="15.75" customHeight="1">
      <c r="C1614" s="15" t="str" cm="1">
        <f t="array" ref="C1614">IFERROR(_xlfn.TEXTJOIN("",TRUE,_xlfn._xlws.FILTER(MID(S1614,_xlfn.SEQUENCE(LEN(S1614)),1),ISNUMBER(SEARCH(MID(S1614,_xlfn.SEQUENCE(LEN(S1614)),1),"ABCDEFGHIJKLMNOPQRSTUVWXYZabcdefghijklmnopqrstuvwxyz0123456789,")))),"")</f>
        <v/>
      </c>
      <c r="G1614" s="20" t="str" cm="1">
        <f t="array" ref="G1614">IF(TRIM(P1614)="","",IF(SUM(COUNTIF(P1614,{"*NLGD*","*FWG*"}))&gt;0,P1614,IF(SUM(COUNTIF(P1614,{"*GL*","*DGB*","*DGI*","*GT*","*CS*","*PWU*","*DBI*","*SWU*"}))=0,P1614,IF(IFERROR(VALUE(SUBSTITUTE(SUBSTITUTE(O1614,"W",""),"""","")),0)&gt;52,P1614&amp;"-OVRSIZE-",P1614))))</f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s="18" t="str">
        <v/>
      </c>
      <c r="O1614" s="15" t="str" cm="1">
        <f t="array" ref="O1614">IFERROR(_xlfn.LET(
_xlpm.clean,TRIM(SUBSTITUTE(SUBSTITUTE(P1614,CHAR(160),"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4" t="str">
        <f t="shared" si="26"/>
        <v/>
      </c>
    </row>
    <row r="1615" spans="3:19" ht="15.75" customHeight="1">
      <c r="C1615" s="15" t="str" cm="1">
        <f t="array" ref="C1615">IFERROR(_xlfn.TEXTJOIN("",TRUE,_xlfn._xlws.FILTER(MID(S1615,_xlfn.SEQUENCE(LEN(S1615)),1),ISNUMBER(SEARCH(MID(S1615,_xlfn.SEQUENCE(LEN(S1615)),1),"ABCDEFGHIJKLMNOPQRSTUVWXYZabcdefghijklmnopqrstuvwxyz0123456789,")))),"")</f>
        <v/>
      </c>
      <c r="G1615" s="20" t="str" cm="1">
        <f t="array" ref="G1615">IF(TRIM(P1615)="","",IF(SUM(COUNTIF(P1615,{"*NLGD*","*FWG*"}))&gt;0,P1615,IF(SUM(COUNTIF(P1615,{"*GL*","*DGB*","*DGI*","*GT*","*CS*","*PWU*","*DBI*","*SWU*"}))=0,P1615,IF(IFERROR(VALUE(SUBSTITUTE(SUBSTITUTE(O1615,"W",""),"""","")),0)&gt;52,P1615&amp;"-OVRSIZE-",P1615))))</f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s="18" t="str">
        <v/>
      </c>
      <c r="O1615" s="15" t="str" cm="1">
        <f t="array" ref="O1615">IFERROR(_xlfn.LET(
_xlpm.clean,TRIM(SUBSTITUTE(SUBSTITUTE(P1615,CHAR(160),"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5" t="str">
        <f t="shared" si="26"/>
        <v/>
      </c>
    </row>
    <row r="1616" spans="3:19" ht="15.75" customHeight="1">
      <c r="C1616" s="15" t="str" cm="1">
        <f t="array" ref="C1616">IFERROR(_xlfn.TEXTJOIN("",TRUE,_xlfn._xlws.FILTER(MID(S1616,_xlfn.SEQUENCE(LEN(S1616)),1),ISNUMBER(SEARCH(MID(S1616,_xlfn.SEQUENCE(LEN(S1616)),1),"ABCDEFGHIJKLMNOPQRSTUVWXYZabcdefghijklmnopqrstuvwxyz0123456789,")))),"")</f>
        <v/>
      </c>
      <c r="G1616" s="20" t="str" cm="1">
        <f t="array" ref="G1616">IF(TRIM(P1616)="","",IF(SUM(COUNTIF(P1616,{"*NLGD*","*FWG*"}))&gt;0,P1616,IF(SUM(COUNTIF(P1616,{"*GL*","*DGB*","*DGI*","*GT*","*CS*","*PWU*","*DBI*","*SWU*"}))=0,P1616,IF(IFERROR(VALUE(SUBSTITUTE(SUBSTITUTE(O1616,"W",""),"""","")),0)&gt;52,P1616&amp;"-OVRSIZE-",P1616))))</f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s="18" t="str">
        <v/>
      </c>
      <c r="O1616" s="15" t="str" cm="1">
        <f t="array" ref="O1616">IFERROR(_xlfn.LET(
_xlpm.clean,TRIM(SUBSTITUTE(SUBSTITUTE(P1616,CHAR(160),"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6" t="str">
        <f t="shared" si="26"/>
        <v/>
      </c>
    </row>
    <row r="1617" spans="3:19" ht="15.75" customHeight="1">
      <c r="C1617" s="15" t="str" cm="1">
        <f t="array" ref="C1617">IFERROR(_xlfn.TEXTJOIN("",TRUE,_xlfn._xlws.FILTER(MID(S1617,_xlfn.SEQUENCE(LEN(S1617)),1),ISNUMBER(SEARCH(MID(S1617,_xlfn.SEQUENCE(LEN(S1617)),1),"ABCDEFGHIJKLMNOPQRSTUVWXYZabcdefghijklmnopqrstuvwxyz0123456789,")))),"")</f>
        <v/>
      </c>
      <c r="G1617" s="20" t="str" cm="1">
        <f t="array" ref="G1617">IF(TRIM(P1617)="","",IF(SUM(COUNTIF(P1617,{"*NLGD*","*FWG*"}))&gt;0,P1617,IF(SUM(COUNTIF(P1617,{"*GL*","*DGB*","*DGI*","*GT*","*CS*","*PWU*","*DBI*","*SWU*"}))=0,P1617,IF(IFERROR(VALUE(SUBSTITUTE(SUBSTITUTE(O1617,"W",""),"""","")),0)&gt;52,P1617&amp;"-OVRSIZE-",P1617))))</f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s="18" t="str">
        <v/>
      </c>
      <c r="O1617" s="15" t="str" cm="1">
        <f t="array" ref="O1617">IFERROR(_xlfn.LET(
_xlpm.clean,TRIM(SUBSTITUTE(SUBSTITUTE(P1617,CHAR(160),"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7" t="str">
        <f t="shared" si="26"/>
        <v/>
      </c>
    </row>
    <row r="1618" spans="3:19" ht="15.75" customHeight="1">
      <c r="C1618" s="15" t="str" cm="1">
        <f t="array" ref="C1618">IFERROR(_xlfn.TEXTJOIN("",TRUE,_xlfn._xlws.FILTER(MID(S1618,_xlfn.SEQUENCE(LEN(S1618)),1),ISNUMBER(SEARCH(MID(S1618,_xlfn.SEQUENCE(LEN(S1618)),1),"ABCDEFGHIJKLMNOPQRSTUVWXYZabcdefghijklmnopqrstuvwxyz0123456789,")))),"")</f>
        <v/>
      </c>
      <c r="G1618" s="20" t="str" cm="1">
        <f t="array" ref="G1618">IF(TRIM(P1618)="","",IF(SUM(COUNTIF(P1618,{"*NLGD*","*FWG*"}))&gt;0,P1618,IF(SUM(COUNTIF(P1618,{"*GL*","*DGB*","*DGI*","*GT*","*CS*","*PWU*","*DBI*","*SWU*"}))=0,P1618,IF(IFERROR(VALUE(SUBSTITUTE(SUBSTITUTE(O1618,"W",""),"""","")),0)&gt;52,P1618&amp;"-OVRSIZE-",P1618))))</f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s="18" t="str">
        <v/>
      </c>
      <c r="O1618" s="15" t="str" cm="1">
        <f t="array" ref="O1618">IFERROR(_xlfn.LET(
_xlpm.clean,TRIM(SUBSTITUTE(SUBSTITUTE(P1618,CHAR(160),"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8" t="str">
        <f t="shared" si="26"/>
        <v/>
      </c>
    </row>
    <row r="1619" spans="3:19" ht="15.75" customHeight="1">
      <c r="C1619" s="15" t="str" cm="1">
        <f t="array" ref="C1619">IFERROR(_xlfn.TEXTJOIN("",TRUE,_xlfn._xlws.FILTER(MID(S1619,_xlfn.SEQUENCE(LEN(S1619)),1),ISNUMBER(SEARCH(MID(S1619,_xlfn.SEQUENCE(LEN(S1619)),1),"ABCDEFGHIJKLMNOPQRSTUVWXYZabcdefghijklmnopqrstuvwxyz0123456789,")))),"")</f>
        <v/>
      </c>
      <c r="G1619" s="20" t="str" cm="1">
        <f t="array" ref="G1619">IF(TRIM(P1619)="","",IF(SUM(COUNTIF(P1619,{"*NLGD*","*FWG*"}))&gt;0,P1619,IF(SUM(COUNTIF(P1619,{"*GL*","*DGB*","*DGI*","*GT*","*CS*","*PWU*","*DBI*","*SWU*"}))=0,P1619,IF(IFERROR(VALUE(SUBSTITUTE(SUBSTITUTE(O1619,"W",""),"""","")),0)&gt;52,P1619&amp;"-OVRSIZE-",P1619))))</f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s="18" t="str">
        <v/>
      </c>
      <c r="O1619" s="15" t="str" cm="1">
        <f t="array" ref="O1619">IFERROR(_xlfn.LET(
_xlpm.clean,TRIM(SUBSTITUTE(SUBSTITUTE(P1619,CHAR(160),"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9" t="str">
        <f t="shared" si="26"/>
        <v/>
      </c>
    </row>
    <row r="1620" spans="3:19" ht="15.75" customHeight="1">
      <c r="C1620" s="15" t="str" cm="1">
        <f t="array" ref="C1620">IFERROR(_xlfn.TEXTJOIN("",TRUE,_xlfn._xlws.FILTER(MID(S1620,_xlfn.SEQUENCE(LEN(S1620)),1),ISNUMBER(SEARCH(MID(S1620,_xlfn.SEQUENCE(LEN(S1620)),1),"ABCDEFGHIJKLMNOPQRSTUVWXYZabcdefghijklmnopqrstuvwxyz0123456789,")))),"")</f>
        <v/>
      </c>
      <c r="G1620" s="20" t="str" cm="1">
        <f t="array" ref="G1620">IF(TRIM(P1620)="","",IF(SUM(COUNTIF(P1620,{"*NLGD*","*FWG*"}))&gt;0,P1620,IF(SUM(COUNTIF(P1620,{"*GL*","*DGB*","*DGI*","*GT*","*CS*","*PWU*","*DBI*","*SWU*"}))=0,P1620,IF(IFERROR(VALUE(SUBSTITUTE(SUBSTITUTE(O1620,"W",""),"""","")),0)&gt;52,P1620&amp;"-OVRSIZE-",P1620))))</f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s="18" t="str">
        <v/>
      </c>
      <c r="O1620" s="15" t="str" cm="1">
        <f t="array" ref="O1620">IFERROR(_xlfn.LET(
_xlpm.clean,TRIM(SUBSTITUTE(SUBSTITUTE(P1620,CHAR(160),"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0" t="str">
        <f t="shared" si="26"/>
        <v/>
      </c>
    </row>
    <row r="1621" spans="3:19" ht="15.75" customHeight="1">
      <c r="C1621" s="15" t="str" cm="1">
        <f t="array" ref="C1621">IFERROR(_xlfn.TEXTJOIN("",TRUE,_xlfn._xlws.FILTER(MID(S1621,_xlfn.SEQUENCE(LEN(S1621)),1),ISNUMBER(SEARCH(MID(S1621,_xlfn.SEQUENCE(LEN(S1621)),1),"ABCDEFGHIJKLMNOPQRSTUVWXYZabcdefghijklmnopqrstuvwxyz0123456789,")))),"")</f>
        <v/>
      </c>
      <c r="G1621" s="20" t="str" cm="1">
        <f t="array" ref="G1621">IF(TRIM(P1621)="","",IF(SUM(COUNTIF(P1621,{"*NLGD*","*FWG*"}))&gt;0,P1621,IF(SUM(COUNTIF(P1621,{"*GL*","*DGB*","*DGI*","*GT*","*CS*","*PWU*","*DBI*","*SWU*"}))=0,P1621,IF(IFERROR(VALUE(SUBSTITUTE(SUBSTITUTE(O1621,"W",""),"""","")),0)&gt;52,P1621&amp;"-OVRSIZE-",P1621))))</f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s="18" t="str">
        <v/>
      </c>
      <c r="O1621" s="15" t="str" cm="1">
        <f t="array" ref="O1621">IFERROR(_xlfn.LET(
_xlpm.clean,TRIM(SUBSTITUTE(SUBSTITUTE(P1621,CHAR(160),"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1" t="str">
        <f t="shared" si="26"/>
        <v/>
      </c>
    </row>
    <row r="1622" spans="3:19" ht="15.75" customHeight="1">
      <c r="C1622" s="15" t="str" cm="1">
        <f t="array" ref="C1622">IFERROR(_xlfn.TEXTJOIN("",TRUE,_xlfn._xlws.FILTER(MID(S1622,_xlfn.SEQUENCE(LEN(S1622)),1),ISNUMBER(SEARCH(MID(S1622,_xlfn.SEQUENCE(LEN(S1622)),1),"ABCDEFGHIJKLMNOPQRSTUVWXYZabcdefghijklmnopqrstuvwxyz0123456789,")))),"")</f>
        <v/>
      </c>
      <c r="G1622" s="20" t="str" cm="1">
        <f t="array" ref="G1622">IF(TRIM(P1622)="","",IF(SUM(COUNTIF(P1622,{"*NLGD*","*FWG*"}))&gt;0,P1622,IF(SUM(COUNTIF(P1622,{"*GL*","*DGB*","*DGI*","*GT*","*CS*","*PWU*","*DBI*","*SWU*"}))=0,P1622,IF(IFERROR(VALUE(SUBSTITUTE(SUBSTITUTE(O1622,"W",""),"""","")),0)&gt;52,P1622&amp;"-OVRSIZE-",P1622))))</f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s="18" t="str">
        <v/>
      </c>
      <c r="O1622" s="15" t="str" cm="1">
        <f t="array" ref="O1622">IFERROR(_xlfn.LET(
_xlpm.clean,TRIM(SUBSTITUTE(SUBSTITUTE(P1622,CHAR(160),"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2" t="str">
        <f t="shared" si="26"/>
        <v/>
      </c>
    </row>
    <row r="1623" spans="3:19" ht="15.75" customHeight="1">
      <c r="C1623" s="15" t="str" cm="1">
        <f t="array" ref="C1623">IFERROR(_xlfn.TEXTJOIN("",TRUE,_xlfn._xlws.FILTER(MID(S1623,_xlfn.SEQUENCE(LEN(S1623)),1),ISNUMBER(SEARCH(MID(S1623,_xlfn.SEQUENCE(LEN(S1623)),1),"ABCDEFGHIJKLMNOPQRSTUVWXYZabcdefghijklmnopqrstuvwxyz0123456789,")))),"")</f>
        <v/>
      </c>
      <c r="G1623" s="20" t="str" cm="1">
        <f t="array" ref="G1623">IF(TRIM(P1623)="","",IF(SUM(COUNTIF(P1623,{"*NLGD*","*FWG*"}))&gt;0,P1623,IF(SUM(COUNTIF(P1623,{"*GL*","*DGB*","*DGI*","*GT*","*CS*","*PWU*","*DBI*","*SWU*"}))=0,P1623,IF(IFERROR(VALUE(SUBSTITUTE(SUBSTITUTE(O1623,"W",""),"""","")),0)&gt;52,P1623&amp;"-OVRSIZE-",P1623))))</f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s="18" t="str">
        <v/>
      </c>
      <c r="O1623" s="15" t="str" cm="1">
        <f t="array" ref="O1623">IFERROR(_xlfn.LET(
_xlpm.clean,TRIM(SUBSTITUTE(SUBSTITUTE(P1623,CHAR(160),"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3" t="str">
        <f t="shared" si="26"/>
        <v/>
      </c>
    </row>
    <row r="1624" spans="3:19" ht="15.75" customHeight="1">
      <c r="C1624" s="15" t="str" cm="1">
        <f t="array" ref="C1624">IFERROR(_xlfn.TEXTJOIN("",TRUE,_xlfn._xlws.FILTER(MID(S1624,_xlfn.SEQUENCE(LEN(S1624)),1),ISNUMBER(SEARCH(MID(S1624,_xlfn.SEQUENCE(LEN(S1624)),1),"ABCDEFGHIJKLMNOPQRSTUVWXYZabcdefghijklmnopqrstuvwxyz0123456789,")))),"")</f>
        <v/>
      </c>
      <c r="G1624" s="20" t="str" cm="1">
        <f t="array" ref="G1624">IF(TRIM(P1624)="","",IF(SUM(COUNTIF(P1624,{"*NLGD*","*FWG*"}))&gt;0,P1624,IF(SUM(COUNTIF(P1624,{"*GL*","*DGB*","*DGI*","*GT*","*CS*","*PWU*","*DBI*","*SWU*"}))=0,P1624,IF(IFERROR(VALUE(SUBSTITUTE(SUBSTITUTE(O1624,"W",""),"""","")),0)&gt;52,P1624&amp;"-OVRSIZE-",P1624))))</f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s="18" t="str">
        <v/>
      </c>
      <c r="O1624" s="15" t="str" cm="1">
        <f t="array" ref="O1624">IFERROR(_xlfn.LET(
_xlpm.clean,TRIM(SUBSTITUTE(SUBSTITUTE(P1624,CHAR(160),"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4" t="str">
        <f t="shared" si="26"/>
        <v/>
      </c>
    </row>
    <row r="1625" spans="3:19" ht="15.75" customHeight="1">
      <c r="C1625" s="15" t="str" cm="1">
        <f t="array" ref="C1625">IFERROR(_xlfn.TEXTJOIN("",TRUE,_xlfn._xlws.FILTER(MID(S1625,_xlfn.SEQUENCE(LEN(S1625)),1),ISNUMBER(SEARCH(MID(S1625,_xlfn.SEQUENCE(LEN(S1625)),1),"ABCDEFGHIJKLMNOPQRSTUVWXYZabcdefghijklmnopqrstuvwxyz0123456789,")))),"")</f>
        <v/>
      </c>
      <c r="G1625" s="20" t="str" cm="1">
        <f t="array" ref="G1625">IF(TRIM(P1625)="","",IF(SUM(COUNTIF(P1625,{"*NLGD*","*FWG*"}))&gt;0,P1625,IF(SUM(COUNTIF(P1625,{"*GL*","*DGB*","*DGI*","*GT*","*CS*","*PWU*","*DBI*","*SWU*"}))=0,P1625,IF(IFERROR(VALUE(SUBSTITUTE(SUBSTITUTE(O1625,"W",""),"""","")),0)&gt;52,P1625&amp;"-OVRSIZE-",P1625))))</f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s="18" t="str">
        <v/>
      </c>
      <c r="O1625" s="15" t="str" cm="1">
        <f t="array" ref="O1625">IFERROR(_xlfn.LET(
_xlpm.clean,TRIM(SUBSTITUTE(SUBSTITUTE(P1625,CHAR(160),"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5" t="str">
        <f t="shared" si="26"/>
        <v/>
      </c>
    </row>
    <row r="1626" spans="3:19" ht="15.75" customHeight="1">
      <c r="C1626" s="15" t="str" cm="1">
        <f t="array" ref="C1626">IFERROR(_xlfn.TEXTJOIN("",TRUE,_xlfn._xlws.FILTER(MID(S1626,_xlfn.SEQUENCE(LEN(S1626)),1),ISNUMBER(SEARCH(MID(S1626,_xlfn.SEQUENCE(LEN(S1626)),1),"ABCDEFGHIJKLMNOPQRSTUVWXYZabcdefghijklmnopqrstuvwxyz0123456789,")))),"")</f>
        <v/>
      </c>
      <c r="G1626" s="20" t="str" cm="1">
        <f t="array" ref="G1626">IF(TRIM(P1626)="","",IF(SUM(COUNTIF(P1626,{"*NLGD*","*FWG*"}))&gt;0,P1626,IF(SUM(COUNTIF(P1626,{"*GL*","*DGB*","*DGI*","*GT*","*CS*","*PWU*","*DBI*","*SWU*"}))=0,P1626,IF(IFERROR(VALUE(SUBSTITUTE(SUBSTITUTE(O1626,"W",""),"""","")),0)&gt;52,P1626&amp;"-OVRSIZE-",P1626))))</f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s="18" t="str">
        <v/>
      </c>
      <c r="O1626" s="15" t="str" cm="1">
        <f t="array" ref="O1626">IFERROR(_xlfn.LET(
_xlpm.clean,TRIM(SUBSTITUTE(SUBSTITUTE(P1626,CHAR(160),"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6" t="str">
        <f t="shared" si="26"/>
        <v/>
      </c>
    </row>
    <row r="1627" spans="3:19" ht="15.75" customHeight="1">
      <c r="C1627" s="15" t="str" cm="1">
        <f t="array" ref="C1627">IFERROR(_xlfn.TEXTJOIN("",TRUE,_xlfn._xlws.FILTER(MID(S1627,_xlfn.SEQUENCE(LEN(S1627)),1),ISNUMBER(SEARCH(MID(S1627,_xlfn.SEQUENCE(LEN(S1627)),1),"ABCDEFGHIJKLMNOPQRSTUVWXYZabcdefghijklmnopqrstuvwxyz0123456789,")))),"")</f>
        <v/>
      </c>
      <c r="G1627" s="20" t="str" cm="1">
        <f t="array" ref="G1627">IF(TRIM(P1627)="","",IF(SUM(COUNTIF(P1627,{"*NLGD*","*FWG*"}))&gt;0,P1627,IF(SUM(COUNTIF(P1627,{"*GL*","*DGB*","*DGI*","*GT*","*CS*","*PWU*","*DBI*","*SWU*"}))=0,P1627,IF(IFERROR(VALUE(SUBSTITUTE(SUBSTITUTE(O1627,"W",""),"""","")),0)&gt;52,P1627&amp;"-OVRSIZE-",P1627))))</f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s="18" t="str">
        <v/>
      </c>
      <c r="O1627" s="15" t="str" cm="1">
        <f t="array" ref="O1627">IFERROR(_xlfn.LET(
_xlpm.clean,TRIM(SUBSTITUTE(SUBSTITUTE(P1627,CHAR(160),"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7" t="str">
        <f t="shared" si="26"/>
        <v/>
      </c>
    </row>
    <row r="1628" spans="3:19" ht="15.75" customHeight="1">
      <c r="C1628" s="15" t="str" cm="1">
        <f t="array" ref="C1628">IFERROR(_xlfn.TEXTJOIN("",TRUE,_xlfn._xlws.FILTER(MID(S1628,_xlfn.SEQUENCE(LEN(S1628)),1),ISNUMBER(SEARCH(MID(S1628,_xlfn.SEQUENCE(LEN(S1628)),1),"ABCDEFGHIJKLMNOPQRSTUVWXYZabcdefghijklmnopqrstuvwxyz0123456789,")))),"")</f>
        <v/>
      </c>
      <c r="G1628" s="20" t="str" cm="1">
        <f t="array" ref="G1628">IF(TRIM(P1628)="","",IF(SUM(COUNTIF(P1628,{"*NLGD*","*FWG*"}))&gt;0,P1628,IF(SUM(COUNTIF(P1628,{"*GL*","*DGB*","*DGI*","*GT*","*CS*","*PWU*","*DBI*","*SWU*"}))=0,P1628,IF(IFERROR(VALUE(SUBSTITUTE(SUBSTITUTE(O1628,"W",""),"""","")),0)&gt;52,P1628&amp;"-OVRSIZE-",P1628))))</f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s="18" t="str">
        <v/>
      </c>
      <c r="O1628" s="15" t="str" cm="1">
        <f t="array" ref="O1628">IFERROR(_xlfn.LET(
_xlpm.clean,TRIM(SUBSTITUTE(SUBSTITUTE(P1628,CHAR(160),"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8" t="str">
        <f t="shared" si="26"/>
        <v/>
      </c>
    </row>
    <row r="1629" spans="3:19" ht="15.75" customHeight="1">
      <c r="C1629" s="15" t="str" cm="1">
        <f t="array" ref="C1629">IFERROR(_xlfn.TEXTJOIN("",TRUE,_xlfn._xlws.FILTER(MID(S1629,_xlfn.SEQUENCE(LEN(S1629)),1),ISNUMBER(SEARCH(MID(S1629,_xlfn.SEQUENCE(LEN(S1629)),1),"ABCDEFGHIJKLMNOPQRSTUVWXYZabcdefghijklmnopqrstuvwxyz0123456789,")))),"")</f>
        <v/>
      </c>
      <c r="G1629" s="20" t="str" cm="1">
        <f t="array" ref="G1629">IF(TRIM(P1629)="","",IF(SUM(COUNTIF(P1629,{"*NLGD*","*FWG*"}))&gt;0,P1629,IF(SUM(COUNTIF(P1629,{"*GL*","*DGB*","*DGI*","*GT*","*CS*","*PWU*","*DBI*","*SWU*"}))=0,P1629,IF(IFERROR(VALUE(SUBSTITUTE(SUBSTITUTE(O1629,"W",""),"""","")),0)&gt;52,P1629&amp;"-OVRSIZE-",P1629))))</f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s="18" t="str">
        <v/>
      </c>
      <c r="O1629" s="15" t="str" cm="1">
        <f t="array" ref="O1629">IFERROR(_xlfn.LET(
_xlpm.clean,TRIM(SUBSTITUTE(SUBSTITUTE(P1629,CHAR(160),"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9" t="str">
        <f t="shared" si="26"/>
        <v/>
      </c>
    </row>
    <row r="1630" spans="3:19" ht="15.75" customHeight="1">
      <c r="C1630" s="15" t="str" cm="1">
        <f t="array" ref="C1630">IFERROR(_xlfn.TEXTJOIN("",TRUE,_xlfn._xlws.FILTER(MID(S1630,_xlfn.SEQUENCE(LEN(S1630)),1),ISNUMBER(SEARCH(MID(S1630,_xlfn.SEQUENCE(LEN(S1630)),1),"ABCDEFGHIJKLMNOPQRSTUVWXYZabcdefghijklmnopqrstuvwxyz0123456789,")))),"")</f>
        <v/>
      </c>
      <c r="G1630" s="20" t="str" cm="1">
        <f t="array" ref="G1630">IF(TRIM(P1630)="","",IF(SUM(COUNTIF(P1630,{"*NLGD*","*FWG*"}))&gt;0,P1630,IF(SUM(COUNTIF(P1630,{"*GL*","*DGB*","*DGI*","*GT*","*CS*","*PWU*","*DBI*","*SWU*"}))=0,P1630,IF(IFERROR(VALUE(SUBSTITUTE(SUBSTITUTE(O1630,"W",""),"""","")),0)&gt;52,P1630&amp;"-OVRSIZE-",P1630))))</f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s="18" t="str">
        <v/>
      </c>
      <c r="O1630" s="15" t="str" cm="1">
        <f t="array" ref="O1630">IFERROR(_xlfn.LET(
_xlpm.clean,TRIM(SUBSTITUTE(SUBSTITUTE(P1630,CHAR(160),"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0" t="str">
        <f t="shared" si="26"/>
        <v/>
      </c>
    </row>
    <row r="1631" spans="3:19" ht="15.75" customHeight="1">
      <c r="C1631" s="15" t="str" cm="1">
        <f t="array" ref="C1631">IFERROR(_xlfn.TEXTJOIN("",TRUE,_xlfn._xlws.FILTER(MID(S1631,_xlfn.SEQUENCE(LEN(S1631)),1),ISNUMBER(SEARCH(MID(S1631,_xlfn.SEQUENCE(LEN(S1631)),1),"ABCDEFGHIJKLMNOPQRSTUVWXYZabcdefghijklmnopqrstuvwxyz0123456789,")))),"")</f>
        <v/>
      </c>
      <c r="G1631" s="20" t="str" cm="1">
        <f t="array" ref="G1631">IF(TRIM(P1631)="","",IF(SUM(COUNTIF(P1631,{"*NLGD*","*FWG*"}))&gt;0,P1631,IF(SUM(COUNTIF(P1631,{"*GL*","*DGB*","*DGI*","*GT*","*CS*","*PWU*","*DBI*","*SWU*"}))=0,P1631,IF(IFERROR(VALUE(SUBSTITUTE(SUBSTITUTE(O1631,"W",""),"""","")),0)&gt;52,P1631&amp;"-OVRSIZE-",P1631))))</f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s="18" t="str">
        <v/>
      </c>
      <c r="O1631" s="15" t="str" cm="1">
        <f t="array" ref="O1631">IFERROR(_xlfn.LET(
_xlpm.clean,TRIM(SUBSTITUTE(SUBSTITUTE(P1631,CHAR(160),"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1" t="str">
        <f t="shared" si="26"/>
        <v/>
      </c>
    </row>
    <row r="1632" spans="3:19" ht="15.75" customHeight="1">
      <c r="C1632" s="15" t="str" cm="1">
        <f t="array" ref="C1632">IFERROR(_xlfn.TEXTJOIN("",TRUE,_xlfn._xlws.FILTER(MID(S1632,_xlfn.SEQUENCE(LEN(S1632)),1),ISNUMBER(SEARCH(MID(S1632,_xlfn.SEQUENCE(LEN(S1632)),1),"ABCDEFGHIJKLMNOPQRSTUVWXYZabcdefghijklmnopqrstuvwxyz0123456789,")))),"")</f>
        <v/>
      </c>
      <c r="G1632" s="20" t="str" cm="1">
        <f t="array" ref="G1632">IF(TRIM(P1632)="","",IF(SUM(COUNTIF(P1632,{"*NLGD*","*FWG*"}))&gt;0,P1632,IF(SUM(COUNTIF(P1632,{"*GL*","*DGB*","*DGI*","*GT*","*CS*","*PWU*","*DBI*","*SWU*"}))=0,P1632,IF(IFERROR(VALUE(SUBSTITUTE(SUBSTITUTE(O1632,"W",""),"""","")),0)&gt;52,P1632&amp;"-OVRSIZE-",P1632))))</f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s="18" t="str">
        <v/>
      </c>
      <c r="O1632" s="15" t="str" cm="1">
        <f t="array" ref="O1632">IFERROR(_xlfn.LET(
_xlpm.clean,TRIM(SUBSTITUTE(SUBSTITUTE(P1632,CHAR(160),"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2" t="str">
        <f t="shared" si="26"/>
        <v/>
      </c>
    </row>
    <row r="1633" spans="3:19" ht="15.75" customHeight="1">
      <c r="C1633" s="15" t="str" cm="1">
        <f t="array" ref="C1633">IFERROR(_xlfn.TEXTJOIN("",TRUE,_xlfn._xlws.FILTER(MID(S1633,_xlfn.SEQUENCE(LEN(S1633)),1),ISNUMBER(SEARCH(MID(S1633,_xlfn.SEQUENCE(LEN(S1633)),1),"ABCDEFGHIJKLMNOPQRSTUVWXYZabcdefghijklmnopqrstuvwxyz0123456789,")))),"")</f>
        <v/>
      </c>
      <c r="G1633" s="20" t="str" cm="1">
        <f t="array" ref="G1633">IF(TRIM(P1633)="","",IF(SUM(COUNTIF(P1633,{"*NLGD*","*FWG*"}))&gt;0,P1633,IF(SUM(COUNTIF(P1633,{"*GL*","*DGB*","*DGI*","*GT*","*CS*","*PWU*","*DBI*","*SWU*"}))=0,P1633,IF(IFERROR(VALUE(SUBSTITUTE(SUBSTITUTE(O1633,"W",""),"""","")),0)&gt;52,P1633&amp;"-OVRSIZE-",P1633))))</f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s="18" t="str">
        <v/>
      </c>
      <c r="O1633" s="15" t="str" cm="1">
        <f t="array" ref="O1633">IFERROR(_xlfn.LET(
_xlpm.clean,TRIM(SUBSTITUTE(SUBSTITUTE(P1633,CHAR(160),"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3" t="str">
        <f t="shared" si="26"/>
        <v/>
      </c>
    </row>
    <row r="1634" spans="3:19" ht="15.75" customHeight="1">
      <c r="C1634" s="15" t="str" cm="1">
        <f t="array" ref="C1634">IFERROR(_xlfn.TEXTJOIN("",TRUE,_xlfn._xlws.FILTER(MID(S1634,_xlfn.SEQUENCE(LEN(S1634)),1),ISNUMBER(SEARCH(MID(S1634,_xlfn.SEQUENCE(LEN(S1634)),1),"ABCDEFGHIJKLMNOPQRSTUVWXYZabcdefghijklmnopqrstuvwxyz0123456789,")))),"")</f>
        <v/>
      </c>
      <c r="G1634" s="20" t="str" cm="1">
        <f t="array" ref="G1634">IF(TRIM(P1634)="","",IF(SUM(COUNTIF(P1634,{"*NLGD*","*FWG*"}))&gt;0,P1634,IF(SUM(COUNTIF(P1634,{"*GL*","*DGB*","*DGI*","*GT*","*CS*","*PWU*","*DBI*","*SWU*"}))=0,P1634,IF(IFERROR(VALUE(SUBSTITUTE(SUBSTITUTE(O1634,"W",""),"""","")),0)&gt;52,P1634&amp;"-OVRSIZE-",P1634))))</f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s="18" t="str">
        <v/>
      </c>
      <c r="O1634" s="15" t="str" cm="1">
        <f t="array" ref="O1634">IFERROR(_xlfn.LET(
_xlpm.clean,TRIM(SUBSTITUTE(SUBSTITUTE(P1634,CHAR(160),"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4" t="str">
        <f t="shared" si="26"/>
        <v/>
      </c>
    </row>
    <row r="1635" spans="3:19" ht="15.75" customHeight="1">
      <c r="C1635" s="15" t="str" cm="1">
        <f t="array" ref="C1635">IFERROR(_xlfn.TEXTJOIN("",TRUE,_xlfn._xlws.FILTER(MID(S1635,_xlfn.SEQUENCE(LEN(S1635)),1),ISNUMBER(SEARCH(MID(S1635,_xlfn.SEQUENCE(LEN(S1635)),1),"ABCDEFGHIJKLMNOPQRSTUVWXYZabcdefghijklmnopqrstuvwxyz0123456789,")))),"")</f>
        <v/>
      </c>
      <c r="G1635" s="20" t="str" cm="1">
        <f t="array" ref="G1635">IF(TRIM(P1635)="","",IF(SUM(COUNTIF(P1635,{"*NLGD*","*FWG*"}))&gt;0,P1635,IF(SUM(COUNTIF(P1635,{"*GL*","*DGB*","*DGI*","*GT*","*CS*","*PWU*","*DBI*","*SWU*"}))=0,P1635,IF(IFERROR(VALUE(SUBSTITUTE(SUBSTITUTE(O1635,"W",""),"""","")),0)&gt;52,P1635&amp;"-OVRSIZE-",P1635))))</f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s="18" t="str">
        <v/>
      </c>
      <c r="O1635" s="15" t="str" cm="1">
        <f t="array" ref="O1635">IFERROR(_xlfn.LET(
_xlpm.clean,TRIM(SUBSTITUTE(SUBSTITUTE(P1635,CHAR(160),"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5" t="str">
        <f t="shared" si="26"/>
        <v/>
      </c>
    </row>
    <row r="1636" spans="3:19" ht="15.75" customHeight="1">
      <c r="C1636" s="15" t="str" cm="1">
        <f t="array" ref="C1636">IFERROR(_xlfn.TEXTJOIN("",TRUE,_xlfn._xlws.FILTER(MID(S1636,_xlfn.SEQUENCE(LEN(S1636)),1),ISNUMBER(SEARCH(MID(S1636,_xlfn.SEQUENCE(LEN(S1636)),1),"ABCDEFGHIJKLMNOPQRSTUVWXYZabcdefghijklmnopqrstuvwxyz0123456789,")))),"")</f>
        <v/>
      </c>
      <c r="G1636" s="20" t="str" cm="1">
        <f t="array" ref="G1636">IF(TRIM(P1636)="","",IF(SUM(COUNTIF(P1636,{"*NLGD*","*FWG*"}))&gt;0,P1636,IF(SUM(COUNTIF(P1636,{"*GL*","*DGB*","*DGI*","*GT*","*CS*","*PWU*","*DBI*","*SWU*"}))=0,P1636,IF(IFERROR(VALUE(SUBSTITUTE(SUBSTITUTE(O1636,"W",""),"""","")),0)&gt;52,P1636&amp;"-OVRSIZE-",P1636))))</f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s="18" t="str">
        <v/>
      </c>
      <c r="O1636" s="15" t="str" cm="1">
        <f t="array" ref="O1636">IFERROR(_xlfn.LET(
_xlpm.clean,TRIM(SUBSTITUTE(SUBSTITUTE(P1636,CHAR(160),"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6" t="str">
        <f t="shared" si="26"/>
        <v/>
      </c>
    </row>
    <row r="1637" spans="3:19" ht="15.75" customHeight="1">
      <c r="C1637" s="15" t="str" cm="1">
        <f t="array" ref="C1637">IFERROR(_xlfn.TEXTJOIN("",TRUE,_xlfn._xlws.FILTER(MID(S1637,_xlfn.SEQUENCE(LEN(S1637)),1),ISNUMBER(SEARCH(MID(S1637,_xlfn.SEQUENCE(LEN(S1637)),1),"ABCDEFGHIJKLMNOPQRSTUVWXYZabcdefghijklmnopqrstuvwxyz0123456789,")))),"")</f>
        <v/>
      </c>
      <c r="G1637" s="20" t="str" cm="1">
        <f t="array" ref="G1637">IF(TRIM(P1637)="","",IF(SUM(COUNTIF(P1637,{"*NLGD*","*FWG*"}))&gt;0,P1637,IF(SUM(COUNTIF(P1637,{"*GL*","*DGB*","*DGI*","*GT*","*CS*","*PWU*","*DBI*","*SWU*"}))=0,P1637,IF(IFERROR(VALUE(SUBSTITUTE(SUBSTITUTE(O1637,"W",""),"""","")),0)&gt;52,P1637&amp;"-OVRSIZE-",P1637))))</f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s="18" t="str">
        <v/>
      </c>
      <c r="O1637" s="15" t="str" cm="1">
        <f t="array" ref="O1637">IFERROR(_xlfn.LET(
_xlpm.clean,TRIM(SUBSTITUTE(SUBSTITUTE(P1637,CHAR(160),"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7" t="str">
        <f t="shared" si="26"/>
        <v/>
      </c>
    </row>
    <row r="1638" spans="3:19" ht="15.75" customHeight="1">
      <c r="C1638" s="15" t="str" cm="1">
        <f t="array" ref="C1638">IFERROR(_xlfn.TEXTJOIN("",TRUE,_xlfn._xlws.FILTER(MID(S1638,_xlfn.SEQUENCE(LEN(S1638)),1),ISNUMBER(SEARCH(MID(S1638,_xlfn.SEQUENCE(LEN(S1638)),1),"ABCDEFGHIJKLMNOPQRSTUVWXYZabcdefghijklmnopqrstuvwxyz0123456789,")))),"")</f>
        <v/>
      </c>
      <c r="G1638" s="20" t="str" cm="1">
        <f t="array" ref="G1638">IF(TRIM(P1638)="","",IF(SUM(COUNTIF(P1638,{"*NLGD*","*FWG*"}))&gt;0,P1638,IF(SUM(COUNTIF(P1638,{"*GL*","*DGB*","*DGI*","*GT*","*CS*","*PWU*","*DBI*","*SWU*"}))=0,P1638,IF(IFERROR(VALUE(SUBSTITUTE(SUBSTITUTE(O1638,"W",""),"""","")),0)&gt;52,P1638&amp;"-OVRSIZE-",P1638))))</f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s="18" t="str">
        <v/>
      </c>
      <c r="O1638" s="15" t="str" cm="1">
        <f t="array" ref="O1638">IFERROR(_xlfn.LET(
_xlpm.clean,TRIM(SUBSTITUTE(SUBSTITUTE(P1638,CHAR(160),"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8" t="str">
        <f t="shared" si="26"/>
        <v/>
      </c>
    </row>
    <row r="1639" spans="3:19" ht="15.75" customHeight="1">
      <c r="C1639" s="15" t="str" cm="1">
        <f t="array" ref="C1639">IFERROR(_xlfn.TEXTJOIN("",TRUE,_xlfn._xlws.FILTER(MID(S1639,_xlfn.SEQUENCE(LEN(S1639)),1),ISNUMBER(SEARCH(MID(S1639,_xlfn.SEQUENCE(LEN(S1639)),1),"ABCDEFGHIJKLMNOPQRSTUVWXYZabcdefghijklmnopqrstuvwxyz0123456789,")))),"")</f>
        <v/>
      </c>
      <c r="G1639" s="20" t="str" cm="1">
        <f t="array" ref="G1639">IF(TRIM(P1639)="","",IF(SUM(COUNTIF(P1639,{"*NLGD*","*FWG*"}))&gt;0,P1639,IF(SUM(COUNTIF(P1639,{"*GL*","*DGB*","*DGI*","*GT*","*CS*","*PWU*","*DBI*","*SWU*"}))=0,P1639,IF(IFERROR(VALUE(SUBSTITUTE(SUBSTITUTE(O1639,"W",""),"""","")),0)&gt;52,P1639&amp;"-OVRSIZE-",P1639))))</f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s="18" t="str">
        <v/>
      </c>
      <c r="O1639" s="15" t="str" cm="1">
        <f t="array" ref="O1639">IFERROR(_xlfn.LET(
_xlpm.clean,TRIM(SUBSTITUTE(SUBSTITUTE(P1639,CHAR(160),"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9" t="str">
        <f t="shared" si="26"/>
        <v/>
      </c>
    </row>
    <row r="1640" spans="3:19" ht="15.75" customHeight="1">
      <c r="C1640" s="15" t="str" cm="1">
        <f t="array" ref="C1640">IFERROR(_xlfn.TEXTJOIN("",TRUE,_xlfn._xlws.FILTER(MID(S1640,_xlfn.SEQUENCE(LEN(S1640)),1),ISNUMBER(SEARCH(MID(S1640,_xlfn.SEQUENCE(LEN(S1640)),1),"ABCDEFGHIJKLMNOPQRSTUVWXYZabcdefghijklmnopqrstuvwxyz0123456789,")))),"")</f>
        <v/>
      </c>
      <c r="G1640" s="20" t="str" cm="1">
        <f t="array" ref="G1640">IF(TRIM(P1640)="","",IF(SUM(COUNTIF(P1640,{"*NLGD*","*FWG*"}))&gt;0,P1640,IF(SUM(COUNTIF(P1640,{"*GL*","*DGB*","*DGI*","*GT*","*CS*","*PWU*","*DBI*","*SWU*"}))=0,P1640,IF(IFERROR(VALUE(SUBSTITUTE(SUBSTITUTE(O1640,"W",""),"""","")),0)&gt;52,P1640&amp;"-OVRSIZE-",P1640))))</f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s="18" t="str">
        <v/>
      </c>
      <c r="O1640" s="15" t="str" cm="1">
        <f t="array" ref="O1640">IFERROR(_xlfn.LET(
_xlpm.clean,TRIM(SUBSTITUTE(SUBSTITUTE(P1640,CHAR(160),"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0" t="str">
        <f t="shared" si="26"/>
        <v/>
      </c>
    </row>
    <row r="1641" spans="3:19" ht="15.75" customHeight="1">
      <c r="C1641" s="15" t="str" cm="1">
        <f t="array" ref="C1641">IFERROR(_xlfn.TEXTJOIN("",TRUE,_xlfn._xlws.FILTER(MID(S1641,_xlfn.SEQUENCE(LEN(S1641)),1),ISNUMBER(SEARCH(MID(S1641,_xlfn.SEQUENCE(LEN(S1641)),1),"ABCDEFGHIJKLMNOPQRSTUVWXYZabcdefghijklmnopqrstuvwxyz0123456789,")))),"")</f>
        <v/>
      </c>
      <c r="G1641" s="20" t="str" cm="1">
        <f t="array" ref="G1641">IF(TRIM(P1641)="","",IF(SUM(COUNTIF(P1641,{"*NLGD*","*FWG*"}))&gt;0,P1641,IF(SUM(COUNTIF(P1641,{"*GL*","*DGB*","*DGI*","*GT*","*CS*","*PWU*","*DBI*","*SWU*"}))=0,P1641,IF(IFERROR(VALUE(SUBSTITUTE(SUBSTITUTE(O1641,"W",""),"""","")),0)&gt;52,P1641&amp;"-OVRSIZE-",P1641))))</f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s="18" t="str">
        <v/>
      </c>
      <c r="O1641" s="15" t="str" cm="1">
        <f t="array" ref="O1641">IFERROR(_xlfn.LET(
_xlpm.clean,TRIM(SUBSTITUTE(SUBSTITUTE(P1641,CHAR(160),"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1" t="str">
        <f t="shared" si="26"/>
        <v/>
      </c>
    </row>
    <row r="1642" spans="3:19" ht="15.75" customHeight="1">
      <c r="C1642" s="15" t="str" cm="1">
        <f t="array" ref="C1642">IFERROR(_xlfn.TEXTJOIN("",TRUE,_xlfn._xlws.FILTER(MID(S1642,_xlfn.SEQUENCE(LEN(S1642)),1),ISNUMBER(SEARCH(MID(S1642,_xlfn.SEQUENCE(LEN(S1642)),1),"ABCDEFGHIJKLMNOPQRSTUVWXYZabcdefghijklmnopqrstuvwxyz0123456789,")))),"")</f>
        <v/>
      </c>
      <c r="G1642" s="20" t="str" cm="1">
        <f t="array" ref="G1642">IF(TRIM(P1642)="","",IF(SUM(COUNTIF(P1642,{"*NLGD*","*FWG*"}))&gt;0,P1642,IF(SUM(COUNTIF(P1642,{"*GL*","*DGB*","*DGI*","*GT*","*CS*","*PWU*","*DBI*","*SWU*"}))=0,P1642,IF(IFERROR(VALUE(SUBSTITUTE(SUBSTITUTE(O1642,"W",""),"""","")),0)&gt;52,P1642&amp;"-OVRSIZE-",P1642))))</f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s="18" t="str">
        <v/>
      </c>
      <c r="O1642" s="15" t="str" cm="1">
        <f t="array" ref="O1642">IFERROR(_xlfn.LET(
_xlpm.clean,TRIM(SUBSTITUTE(SUBSTITUTE(P1642,CHAR(160),"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2" t="str">
        <f t="shared" si="26"/>
        <v/>
      </c>
    </row>
    <row r="1643" spans="3:19" ht="15.75" customHeight="1">
      <c r="C1643" s="15" t="str" cm="1">
        <f t="array" ref="C1643">IFERROR(_xlfn.TEXTJOIN("",TRUE,_xlfn._xlws.FILTER(MID(S1643,_xlfn.SEQUENCE(LEN(S1643)),1),ISNUMBER(SEARCH(MID(S1643,_xlfn.SEQUENCE(LEN(S1643)),1),"ABCDEFGHIJKLMNOPQRSTUVWXYZabcdefghijklmnopqrstuvwxyz0123456789,")))),"")</f>
        <v/>
      </c>
      <c r="G1643" s="20" t="str" cm="1">
        <f t="array" ref="G1643">IF(TRIM(P1643)="","",IF(SUM(COUNTIF(P1643,{"*NLGD*","*FWG*"}))&gt;0,P1643,IF(SUM(COUNTIF(P1643,{"*GL*","*DGB*","*DGI*","*GT*","*CS*","*PWU*","*DBI*","*SWU*"}))=0,P1643,IF(IFERROR(VALUE(SUBSTITUTE(SUBSTITUTE(O1643,"W",""),"""","")),0)&gt;52,P1643&amp;"-OVRSIZE-",P1643))))</f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s="18" t="str">
        <v/>
      </c>
      <c r="O1643" s="15" t="str" cm="1">
        <f t="array" ref="O1643">IFERROR(_xlfn.LET(
_xlpm.clean,TRIM(SUBSTITUTE(SUBSTITUTE(P1643,CHAR(160),"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3" t="str">
        <f t="shared" si="26"/>
        <v/>
      </c>
    </row>
    <row r="1644" spans="3:19" ht="15.75" customHeight="1">
      <c r="C1644" s="15" t="str" cm="1">
        <f t="array" ref="C1644">IFERROR(_xlfn.TEXTJOIN("",TRUE,_xlfn._xlws.FILTER(MID(S1644,_xlfn.SEQUENCE(LEN(S1644)),1),ISNUMBER(SEARCH(MID(S1644,_xlfn.SEQUENCE(LEN(S1644)),1),"ABCDEFGHIJKLMNOPQRSTUVWXYZabcdefghijklmnopqrstuvwxyz0123456789,")))),"")</f>
        <v/>
      </c>
      <c r="G1644" s="20" t="str" cm="1">
        <f t="array" ref="G1644">IF(TRIM(P1644)="","",IF(SUM(COUNTIF(P1644,{"*NLGD*","*FWG*"}))&gt;0,P1644,IF(SUM(COUNTIF(P1644,{"*GL*","*DGB*","*DGI*","*GT*","*CS*","*PWU*","*DBI*","*SWU*"}))=0,P1644,IF(IFERROR(VALUE(SUBSTITUTE(SUBSTITUTE(O1644,"W",""),"""","")),0)&gt;52,P1644&amp;"-OVRSIZE-",P1644))))</f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s="18" t="str">
        <v/>
      </c>
      <c r="O1644" s="15" t="str" cm="1">
        <f t="array" ref="O1644">IFERROR(_xlfn.LET(
_xlpm.clean,TRIM(SUBSTITUTE(SUBSTITUTE(P1644,CHAR(160),"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4" t="str">
        <f t="shared" si="26"/>
        <v/>
      </c>
    </row>
    <row r="1645" spans="3:19" ht="15.75" customHeight="1">
      <c r="C1645" s="15" t="str" cm="1">
        <f t="array" ref="C1645">IFERROR(_xlfn.TEXTJOIN("",TRUE,_xlfn._xlws.FILTER(MID(S1645,_xlfn.SEQUENCE(LEN(S1645)),1),ISNUMBER(SEARCH(MID(S1645,_xlfn.SEQUENCE(LEN(S1645)),1),"ABCDEFGHIJKLMNOPQRSTUVWXYZabcdefghijklmnopqrstuvwxyz0123456789,")))),"")</f>
        <v/>
      </c>
      <c r="G1645" s="20" t="str" cm="1">
        <f t="array" ref="G1645">IF(TRIM(P1645)="","",IF(SUM(COUNTIF(P1645,{"*NLGD*","*FWG*"}))&gt;0,P1645,IF(SUM(COUNTIF(P1645,{"*GL*","*DGB*","*DGI*","*GT*","*CS*","*PWU*","*DBI*","*SWU*"}))=0,P1645,IF(IFERROR(VALUE(SUBSTITUTE(SUBSTITUTE(O1645,"W",""),"""","")),0)&gt;52,P1645&amp;"-OVRSIZE-",P1645))))</f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s="18" t="str">
        <v/>
      </c>
      <c r="O1645" s="15" t="str" cm="1">
        <f t="array" ref="O1645">IFERROR(_xlfn.LET(
_xlpm.clean,TRIM(SUBSTITUTE(SUBSTITUTE(P1645,CHAR(160),"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5" t="str">
        <f t="shared" si="26"/>
        <v/>
      </c>
    </row>
    <row r="1646" spans="3:19" ht="15.75" customHeight="1">
      <c r="C1646" s="15" t="str" cm="1">
        <f t="array" ref="C1646">IFERROR(_xlfn.TEXTJOIN("",TRUE,_xlfn._xlws.FILTER(MID(S1646,_xlfn.SEQUENCE(LEN(S1646)),1),ISNUMBER(SEARCH(MID(S1646,_xlfn.SEQUENCE(LEN(S1646)),1),"ABCDEFGHIJKLMNOPQRSTUVWXYZabcdefghijklmnopqrstuvwxyz0123456789,")))),"")</f>
        <v/>
      </c>
      <c r="G1646" s="20" t="str" cm="1">
        <f t="array" ref="G1646">IF(TRIM(P1646)="","",IF(SUM(COUNTIF(P1646,{"*NLGD*","*FWG*"}))&gt;0,P1646,IF(SUM(COUNTIF(P1646,{"*GL*","*DGB*","*DGI*","*GT*","*CS*","*PWU*","*DBI*","*SWU*"}))=0,P1646,IF(IFERROR(VALUE(SUBSTITUTE(SUBSTITUTE(O1646,"W",""),"""","")),0)&gt;52,P1646&amp;"-OVRSIZE-",P1646))))</f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s="18" t="str">
        <v/>
      </c>
      <c r="O1646" s="15" t="str" cm="1">
        <f t="array" ref="O1646">IFERROR(_xlfn.LET(
_xlpm.clean,TRIM(SUBSTITUTE(SUBSTITUTE(P1646,CHAR(160),"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6" t="str">
        <f t="shared" si="26"/>
        <v/>
      </c>
    </row>
    <row r="1647" spans="3:19" ht="15.75" customHeight="1">
      <c r="C1647" s="15" t="str" cm="1">
        <f t="array" ref="C1647">IFERROR(_xlfn.TEXTJOIN("",TRUE,_xlfn._xlws.FILTER(MID(S1647,_xlfn.SEQUENCE(LEN(S1647)),1),ISNUMBER(SEARCH(MID(S1647,_xlfn.SEQUENCE(LEN(S1647)),1),"ABCDEFGHIJKLMNOPQRSTUVWXYZabcdefghijklmnopqrstuvwxyz0123456789,")))),"")</f>
        <v/>
      </c>
      <c r="G1647" s="20" t="str" cm="1">
        <f t="array" ref="G1647">IF(TRIM(P1647)="","",IF(SUM(COUNTIF(P1647,{"*NLGD*","*FWG*"}))&gt;0,P1647,IF(SUM(COUNTIF(P1647,{"*GL*","*DGB*","*DGI*","*GT*","*CS*","*PWU*","*DBI*","*SWU*"}))=0,P1647,IF(IFERROR(VALUE(SUBSTITUTE(SUBSTITUTE(O1647,"W",""),"""","")),0)&gt;52,P1647&amp;"-OVRSIZE-",P1647))))</f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s="18" t="str">
        <v/>
      </c>
      <c r="O1647" s="15" t="str" cm="1">
        <f t="array" ref="O1647">IFERROR(_xlfn.LET(
_xlpm.clean,TRIM(SUBSTITUTE(SUBSTITUTE(P1647,CHAR(160),"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7" t="str">
        <f t="shared" si="26"/>
        <v/>
      </c>
    </row>
    <row r="1648" spans="3:19" ht="15.75" customHeight="1">
      <c r="C1648" s="15" t="str" cm="1">
        <f t="array" ref="C1648">IFERROR(_xlfn.TEXTJOIN("",TRUE,_xlfn._xlws.FILTER(MID(S1648,_xlfn.SEQUENCE(LEN(S1648)),1),ISNUMBER(SEARCH(MID(S1648,_xlfn.SEQUENCE(LEN(S1648)),1),"ABCDEFGHIJKLMNOPQRSTUVWXYZabcdefghijklmnopqrstuvwxyz0123456789,")))),"")</f>
        <v/>
      </c>
      <c r="G1648" s="20" t="str" cm="1">
        <f t="array" ref="G1648">IF(TRIM(P1648)="","",IF(SUM(COUNTIF(P1648,{"*NLGD*","*FWG*"}))&gt;0,P1648,IF(SUM(COUNTIF(P1648,{"*GL*","*DGB*","*DGI*","*GT*","*CS*","*PWU*","*DBI*","*SWU*"}))=0,P1648,IF(IFERROR(VALUE(SUBSTITUTE(SUBSTITUTE(O1648,"W",""),"""","")),0)&gt;52,P1648&amp;"-OVRSIZE-",P1648))))</f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s="18" t="str">
        <v/>
      </c>
      <c r="O1648" s="15" t="str" cm="1">
        <f t="array" ref="O1648">IFERROR(_xlfn.LET(
_xlpm.clean,TRIM(SUBSTITUTE(SUBSTITUTE(P1648,CHAR(160),"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8" t="str">
        <f t="shared" si="26"/>
        <v/>
      </c>
    </row>
    <row r="1649" spans="3:19" ht="15.75" customHeight="1">
      <c r="C1649" s="15" t="str" cm="1">
        <f t="array" ref="C1649">IFERROR(_xlfn.TEXTJOIN("",TRUE,_xlfn._xlws.FILTER(MID(S1649,_xlfn.SEQUENCE(LEN(S1649)),1),ISNUMBER(SEARCH(MID(S1649,_xlfn.SEQUENCE(LEN(S1649)),1),"ABCDEFGHIJKLMNOPQRSTUVWXYZabcdefghijklmnopqrstuvwxyz0123456789,")))),"")</f>
        <v/>
      </c>
      <c r="G1649" s="20" t="str" cm="1">
        <f t="array" ref="G1649">IF(TRIM(P1649)="","",IF(SUM(COUNTIF(P1649,{"*NLGD*","*FWG*"}))&gt;0,P1649,IF(SUM(COUNTIF(P1649,{"*GL*","*DGB*","*DGI*","*GT*","*CS*","*PWU*","*DBI*","*SWU*"}))=0,P1649,IF(IFERROR(VALUE(SUBSTITUTE(SUBSTITUTE(O1649,"W",""),"""","")),0)&gt;52,P1649&amp;"-OVRSIZE-",P1649))))</f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s="18" t="str">
        <v/>
      </c>
      <c r="O1649" s="15" t="str" cm="1">
        <f t="array" ref="O1649">IFERROR(_xlfn.LET(
_xlpm.clean,TRIM(SUBSTITUTE(SUBSTITUTE(P1649,CHAR(160),"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9" t="str">
        <f t="shared" si="26"/>
        <v/>
      </c>
    </row>
    <row r="1650" spans="3:19" ht="15.75" customHeight="1">
      <c r="C1650" s="15" t="str" cm="1">
        <f t="array" ref="C1650">IFERROR(_xlfn.TEXTJOIN("",TRUE,_xlfn._xlws.FILTER(MID(S1650,_xlfn.SEQUENCE(LEN(S1650)),1),ISNUMBER(SEARCH(MID(S1650,_xlfn.SEQUENCE(LEN(S1650)),1),"ABCDEFGHIJKLMNOPQRSTUVWXYZabcdefghijklmnopqrstuvwxyz0123456789,")))),"")</f>
        <v/>
      </c>
      <c r="G1650" s="20" t="str" cm="1">
        <f t="array" ref="G1650">IF(TRIM(P1650)="","",IF(SUM(COUNTIF(P1650,{"*NLGD*","*FWG*"}))&gt;0,P1650,IF(SUM(COUNTIF(P1650,{"*GL*","*DGB*","*DGI*","*GT*","*CS*","*PWU*","*DBI*","*SWU*"}))=0,P1650,IF(IFERROR(VALUE(SUBSTITUTE(SUBSTITUTE(O1650,"W",""),"""","")),0)&gt;52,P1650&amp;"-OVRSIZE-",P1650))))</f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s="18" t="str">
        <v/>
      </c>
      <c r="O1650" s="15" t="str" cm="1">
        <f t="array" ref="O1650">IFERROR(_xlfn.LET(
_xlpm.clean,TRIM(SUBSTITUTE(SUBSTITUTE(P1650,CHAR(160),"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0" t="str">
        <f t="shared" si="26"/>
        <v/>
      </c>
    </row>
    <row r="1651" spans="3:19" ht="15.75" customHeight="1">
      <c r="C1651" s="15" t="str" cm="1">
        <f t="array" ref="C1651">IFERROR(_xlfn.TEXTJOIN("",TRUE,_xlfn._xlws.FILTER(MID(S1651,_xlfn.SEQUENCE(LEN(S1651)),1),ISNUMBER(SEARCH(MID(S1651,_xlfn.SEQUENCE(LEN(S1651)),1),"ABCDEFGHIJKLMNOPQRSTUVWXYZabcdefghijklmnopqrstuvwxyz0123456789,")))),"")</f>
        <v/>
      </c>
      <c r="G1651" s="20" t="str" cm="1">
        <f t="array" ref="G1651">IF(TRIM(P1651)="","",IF(SUM(COUNTIF(P1651,{"*NLGD*","*FWG*"}))&gt;0,P1651,IF(SUM(COUNTIF(P1651,{"*GL*","*DGB*","*DGI*","*GT*","*CS*","*PWU*","*DBI*","*SWU*"}))=0,P1651,IF(IFERROR(VALUE(SUBSTITUTE(SUBSTITUTE(O1651,"W",""),"""","")),0)&gt;52,P1651&amp;"-OVRSIZE-",P1651))))</f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s="18" t="str">
        <v/>
      </c>
      <c r="O1651" s="15" t="str" cm="1">
        <f t="array" ref="O1651">IFERROR(_xlfn.LET(
_xlpm.clean,TRIM(SUBSTITUTE(SUBSTITUTE(P1651,CHAR(160),"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1" t="str">
        <f t="shared" si="26"/>
        <v/>
      </c>
    </row>
    <row r="1652" spans="3:19" ht="15.75" customHeight="1">
      <c r="C1652" s="15" t="str" cm="1">
        <f t="array" ref="C1652">IFERROR(_xlfn.TEXTJOIN("",TRUE,_xlfn._xlws.FILTER(MID(S1652,_xlfn.SEQUENCE(LEN(S1652)),1),ISNUMBER(SEARCH(MID(S1652,_xlfn.SEQUENCE(LEN(S1652)),1),"ABCDEFGHIJKLMNOPQRSTUVWXYZabcdefghijklmnopqrstuvwxyz0123456789,")))),"")</f>
        <v/>
      </c>
      <c r="G1652" s="20" t="str" cm="1">
        <f t="array" ref="G1652">IF(TRIM(P1652)="","",IF(SUM(COUNTIF(P1652,{"*NLGD*","*FWG*"}))&gt;0,P1652,IF(SUM(COUNTIF(P1652,{"*GL*","*DGB*","*DGI*","*GT*","*CS*","*PWU*","*DBI*","*SWU*"}))=0,P1652,IF(IFERROR(VALUE(SUBSTITUTE(SUBSTITUTE(O1652,"W",""),"""","")),0)&gt;52,P1652&amp;"-OVRSIZE-",P1652))))</f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s="18" t="str">
        <v/>
      </c>
      <c r="O1652" s="15" t="str" cm="1">
        <f t="array" ref="O1652">IFERROR(_xlfn.LET(
_xlpm.clean,TRIM(SUBSTITUTE(SUBSTITUTE(P1652,CHAR(160),"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2" t="str">
        <f t="shared" si="26"/>
        <v/>
      </c>
    </row>
    <row r="1653" spans="3:19" ht="15.75" customHeight="1">
      <c r="C1653" s="15" t="str" cm="1">
        <f t="array" ref="C1653">IFERROR(_xlfn.TEXTJOIN("",TRUE,_xlfn._xlws.FILTER(MID(S1653,_xlfn.SEQUENCE(LEN(S1653)),1),ISNUMBER(SEARCH(MID(S1653,_xlfn.SEQUENCE(LEN(S1653)),1),"ABCDEFGHIJKLMNOPQRSTUVWXYZabcdefghijklmnopqrstuvwxyz0123456789,")))),"")</f>
        <v/>
      </c>
      <c r="G1653" s="20" t="str" cm="1">
        <f t="array" ref="G1653">IF(TRIM(P1653)="","",IF(SUM(COUNTIF(P1653,{"*NLGD*","*FWG*"}))&gt;0,P1653,IF(SUM(COUNTIF(P1653,{"*GL*","*DGB*","*DGI*","*GT*","*CS*","*PWU*","*DBI*","*SWU*"}))=0,P1653,IF(IFERROR(VALUE(SUBSTITUTE(SUBSTITUTE(O1653,"W",""),"""","")),0)&gt;52,P1653&amp;"-OVRSIZE-",P1653))))</f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s="18" t="str">
        <v/>
      </c>
      <c r="O1653" s="15" t="str" cm="1">
        <f t="array" ref="O1653">IFERROR(_xlfn.LET(
_xlpm.clean,TRIM(SUBSTITUTE(SUBSTITUTE(P1653,CHAR(160),"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3" t="str">
        <f t="shared" si="26"/>
        <v/>
      </c>
    </row>
    <row r="1654" spans="3:19" ht="15.75" customHeight="1">
      <c r="C1654" s="15" t="str" cm="1">
        <f t="array" ref="C1654">IFERROR(_xlfn.TEXTJOIN("",TRUE,_xlfn._xlws.FILTER(MID(S1654,_xlfn.SEQUENCE(LEN(S1654)),1),ISNUMBER(SEARCH(MID(S1654,_xlfn.SEQUENCE(LEN(S1654)),1),"ABCDEFGHIJKLMNOPQRSTUVWXYZabcdefghijklmnopqrstuvwxyz0123456789,")))),"")</f>
        <v/>
      </c>
      <c r="G1654" s="20" t="str" cm="1">
        <f t="array" ref="G1654">IF(TRIM(P1654)="","",IF(SUM(COUNTIF(P1654,{"*NLGD*","*FWG*"}))&gt;0,P1654,IF(SUM(COUNTIF(P1654,{"*GL*","*DGB*","*DGI*","*GT*","*CS*","*PWU*","*DBI*","*SWU*"}))=0,P1654,IF(IFERROR(VALUE(SUBSTITUTE(SUBSTITUTE(O1654,"W",""),"""","")),0)&gt;52,P1654&amp;"-OVRSIZE-",P1654))))</f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s="18" t="str">
        <v/>
      </c>
      <c r="O1654" s="15" t="str" cm="1">
        <f t="array" ref="O1654">IFERROR(_xlfn.LET(
_xlpm.clean,TRIM(SUBSTITUTE(SUBSTITUTE(P1654,CHAR(160),"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4" t="str">
        <f t="shared" si="26"/>
        <v/>
      </c>
    </row>
    <row r="1655" spans="3:19" ht="15.75" customHeight="1">
      <c r="C1655" s="15" t="str" cm="1">
        <f t="array" ref="C1655">IFERROR(_xlfn.TEXTJOIN("",TRUE,_xlfn._xlws.FILTER(MID(S1655,_xlfn.SEQUENCE(LEN(S1655)),1),ISNUMBER(SEARCH(MID(S1655,_xlfn.SEQUENCE(LEN(S1655)),1),"ABCDEFGHIJKLMNOPQRSTUVWXYZabcdefghijklmnopqrstuvwxyz0123456789,")))),"")</f>
        <v/>
      </c>
      <c r="G1655" s="20" t="str" cm="1">
        <f t="array" ref="G1655">IF(TRIM(P1655)="","",IF(SUM(COUNTIF(P1655,{"*NLGD*","*FWG*"}))&gt;0,P1655,IF(SUM(COUNTIF(P1655,{"*GL*","*DGB*","*DGI*","*GT*","*CS*","*PWU*","*DBI*","*SWU*"}))=0,P1655,IF(IFERROR(VALUE(SUBSTITUTE(SUBSTITUTE(O1655,"W",""),"""","")),0)&gt;52,P1655&amp;"-OVRSIZE-",P1655))))</f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s="18" t="str">
        <v/>
      </c>
      <c r="O1655" s="15" t="str" cm="1">
        <f t="array" ref="O1655">IFERROR(_xlfn.LET(
_xlpm.clean,TRIM(SUBSTITUTE(SUBSTITUTE(P1655,CHAR(160),"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5" t="str">
        <f t="shared" si="26"/>
        <v/>
      </c>
    </row>
    <row r="1656" spans="3:19" ht="15.75" customHeight="1">
      <c r="C1656" s="15" t="str" cm="1">
        <f t="array" ref="C1656">IFERROR(_xlfn.TEXTJOIN("",TRUE,_xlfn._xlws.FILTER(MID(S1656,_xlfn.SEQUENCE(LEN(S1656)),1),ISNUMBER(SEARCH(MID(S1656,_xlfn.SEQUENCE(LEN(S1656)),1),"ABCDEFGHIJKLMNOPQRSTUVWXYZabcdefghijklmnopqrstuvwxyz0123456789,")))),"")</f>
        <v/>
      </c>
      <c r="G1656" s="20" t="str" cm="1">
        <f t="array" ref="G1656">IF(TRIM(P1656)="","",IF(SUM(COUNTIF(P1656,{"*NLGD*","*FWG*"}))&gt;0,P1656,IF(SUM(COUNTIF(P1656,{"*GL*","*DGB*","*DGI*","*GT*","*CS*","*PWU*","*DBI*","*SWU*"}))=0,P1656,IF(IFERROR(VALUE(SUBSTITUTE(SUBSTITUTE(O1656,"W",""),"""","")),0)&gt;52,P1656&amp;"-OVRSIZE-",P1656))))</f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s="18" t="str">
        <v/>
      </c>
      <c r="O1656" s="15" t="str" cm="1">
        <f t="array" ref="O1656">IFERROR(_xlfn.LET(
_xlpm.clean,TRIM(SUBSTITUTE(SUBSTITUTE(P1656,CHAR(160),"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6" t="str">
        <f t="shared" si="26"/>
        <v/>
      </c>
    </row>
    <row r="1657" spans="3:19" ht="15.75" customHeight="1">
      <c r="C1657" s="15" t="str" cm="1">
        <f t="array" ref="C1657">IFERROR(_xlfn.TEXTJOIN("",TRUE,_xlfn._xlws.FILTER(MID(S1657,_xlfn.SEQUENCE(LEN(S1657)),1),ISNUMBER(SEARCH(MID(S1657,_xlfn.SEQUENCE(LEN(S1657)),1),"ABCDEFGHIJKLMNOPQRSTUVWXYZabcdefghijklmnopqrstuvwxyz0123456789,")))),"")</f>
        <v/>
      </c>
      <c r="G1657" s="20" t="str" cm="1">
        <f t="array" ref="G1657">IF(TRIM(P1657)="","",IF(SUM(COUNTIF(P1657,{"*NLGD*","*FWG*"}))&gt;0,P1657,IF(SUM(COUNTIF(P1657,{"*GL*","*DGB*","*DGI*","*GT*","*CS*","*PWU*","*DBI*","*SWU*"}))=0,P1657,IF(IFERROR(VALUE(SUBSTITUTE(SUBSTITUTE(O1657,"W",""),"""","")),0)&gt;52,P1657&amp;"-OVRSIZE-",P1657))))</f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s="18" t="str">
        <v/>
      </c>
      <c r="O1657" s="15" t="str" cm="1">
        <f t="array" ref="O1657">IFERROR(_xlfn.LET(
_xlpm.clean,TRIM(SUBSTITUTE(SUBSTITUTE(P1657,CHAR(160),"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7" t="str">
        <f t="shared" si="26"/>
        <v/>
      </c>
    </row>
    <row r="1658" spans="3:19" ht="15.75" customHeight="1">
      <c r="C1658" s="15" t="str" cm="1">
        <f t="array" ref="C1658">IFERROR(_xlfn.TEXTJOIN("",TRUE,_xlfn._xlws.FILTER(MID(S1658,_xlfn.SEQUENCE(LEN(S1658)),1),ISNUMBER(SEARCH(MID(S1658,_xlfn.SEQUENCE(LEN(S1658)),1),"ABCDEFGHIJKLMNOPQRSTUVWXYZabcdefghijklmnopqrstuvwxyz0123456789,")))),"")</f>
        <v/>
      </c>
      <c r="G1658" s="20" t="str" cm="1">
        <f t="array" ref="G1658">IF(TRIM(P1658)="","",IF(SUM(COUNTIF(P1658,{"*NLGD*","*FWG*"}))&gt;0,P1658,IF(SUM(COUNTIF(P1658,{"*GL*","*DGB*","*DGI*","*GT*","*CS*","*PWU*","*DBI*","*SWU*"}))=0,P1658,IF(IFERROR(VALUE(SUBSTITUTE(SUBSTITUTE(O1658,"W",""),"""","")),0)&gt;52,P1658&amp;"-OVRSIZE-",P1658))))</f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s="18" t="str">
        <v/>
      </c>
      <c r="O1658" s="15" t="str" cm="1">
        <f t="array" ref="O1658">IFERROR(_xlfn.LET(
_xlpm.clean,TRIM(SUBSTITUTE(SUBSTITUTE(P1658,CHAR(160),"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8" t="str">
        <f t="shared" si="26"/>
        <v/>
      </c>
    </row>
    <row r="1659" spans="3:19" ht="15.75" customHeight="1">
      <c r="C1659" s="15" t="str" cm="1">
        <f t="array" ref="C1659">IFERROR(_xlfn.TEXTJOIN("",TRUE,_xlfn._xlws.FILTER(MID(S1659,_xlfn.SEQUENCE(LEN(S1659)),1),ISNUMBER(SEARCH(MID(S1659,_xlfn.SEQUENCE(LEN(S1659)),1),"ABCDEFGHIJKLMNOPQRSTUVWXYZabcdefghijklmnopqrstuvwxyz0123456789,")))),"")</f>
        <v/>
      </c>
      <c r="G1659" s="20" t="str" cm="1">
        <f t="array" ref="G1659">IF(TRIM(P1659)="","",IF(SUM(COUNTIF(P1659,{"*NLGD*","*FWG*"}))&gt;0,P1659,IF(SUM(COUNTIF(P1659,{"*GL*","*DGB*","*DGI*","*GT*","*CS*","*PWU*","*DBI*","*SWU*"}))=0,P1659,IF(IFERROR(VALUE(SUBSTITUTE(SUBSTITUTE(O1659,"W",""),"""","")),0)&gt;52,P1659&amp;"-OVRSIZE-",P1659))))</f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s="18" t="str">
        <v/>
      </c>
      <c r="O1659" s="15" t="str" cm="1">
        <f t="array" ref="O1659">IFERROR(_xlfn.LET(
_xlpm.clean,TRIM(SUBSTITUTE(SUBSTITUTE(P1659,CHAR(160),"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9" t="str">
        <f t="shared" si="26"/>
        <v/>
      </c>
    </row>
    <row r="1660" spans="3:19" ht="15.75" customHeight="1">
      <c r="C1660" s="15" t="str" cm="1">
        <f t="array" ref="C1660">IFERROR(_xlfn.TEXTJOIN("",TRUE,_xlfn._xlws.FILTER(MID(S1660,_xlfn.SEQUENCE(LEN(S1660)),1),ISNUMBER(SEARCH(MID(S1660,_xlfn.SEQUENCE(LEN(S1660)),1),"ABCDEFGHIJKLMNOPQRSTUVWXYZabcdefghijklmnopqrstuvwxyz0123456789,")))),"")</f>
        <v/>
      </c>
      <c r="G1660" s="20" t="str" cm="1">
        <f t="array" ref="G1660">IF(TRIM(P1660)="","",IF(SUM(COUNTIF(P1660,{"*NLGD*","*FWG*"}))&gt;0,P1660,IF(SUM(COUNTIF(P1660,{"*GL*","*DGB*","*DGI*","*GT*","*CS*","*PWU*","*DBI*","*SWU*"}))=0,P1660,IF(IFERROR(VALUE(SUBSTITUTE(SUBSTITUTE(O1660,"W",""),"""","")),0)&gt;52,P1660&amp;"-OVRSIZE-",P1660))))</f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s="18" t="str">
        <v/>
      </c>
      <c r="O1660" s="15" t="str" cm="1">
        <f t="array" ref="O1660">IFERROR(_xlfn.LET(
_xlpm.clean,TRIM(SUBSTITUTE(SUBSTITUTE(P1660,CHAR(160),"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0" t="str">
        <f t="shared" si="26"/>
        <v/>
      </c>
    </row>
    <row r="1661" spans="3:19" ht="15.75" customHeight="1">
      <c r="C1661" s="15" t="str" cm="1">
        <f t="array" ref="C1661">IFERROR(_xlfn.TEXTJOIN("",TRUE,_xlfn._xlws.FILTER(MID(S1661,_xlfn.SEQUENCE(LEN(S1661)),1),ISNUMBER(SEARCH(MID(S1661,_xlfn.SEQUENCE(LEN(S1661)),1),"ABCDEFGHIJKLMNOPQRSTUVWXYZabcdefghijklmnopqrstuvwxyz0123456789,")))),"")</f>
        <v/>
      </c>
      <c r="G1661" s="20" t="str" cm="1">
        <f t="array" ref="G1661">IF(TRIM(P1661)="","",IF(SUM(COUNTIF(P1661,{"*NLGD*","*FWG*"}))&gt;0,P1661,IF(SUM(COUNTIF(P1661,{"*GL*","*DGB*","*DGI*","*GT*","*CS*","*PWU*","*DBI*","*SWU*"}))=0,P1661,IF(IFERROR(VALUE(SUBSTITUTE(SUBSTITUTE(O1661,"W",""),"""","")),0)&gt;52,P1661&amp;"-OVRSIZE-",P1661))))</f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s="18" t="str">
        <v/>
      </c>
      <c r="O1661" s="15" t="str" cm="1">
        <f t="array" ref="O1661">IFERROR(_xlfn.LET(
_xlpm.clean,TRIM(SUBSTITUTE(SUBSTITUTE(P1661,CHAR(160),"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1" t="str">
        <f t="shared" si="26"/>
        <v/>
      </c>
    </row>
    <row r="1662" spans="3:19" ht="15.75" customHeight="1">
      <c r="C1662" s="15" t="str" cm="1">
        <f t="array" ref="C1662">IFERROR(_xlfn.TEXTJOIN("",TRUE,_xlfn._xlws.FILTER(MID(S1662,_xlfn.SEQUENCE(LEN(S1662)),1),ISNUMBER(SEARCH(MID(S1662,_xlfn.SEQUENCE(LEN(S1662)),1),"ABCDEFGHIJKLMNOPQRSTUVWXYZabcdefghijklmnopqrstuvwxyz0123456789,")))),"")</f>
        <v/>
      </c>
      <c r="G1662" s="20" t="str" cm="1">
        <f t="array" ref="G1662">IF(TRIM(P1662)="","",IF(SUM(COUNTIF(P1662,{"*NLGD*","*FWG*"}))&gt;0,P1662,IF(SUM(COUNTIF(P1662,{"*GL*","*DGB*","*DGI*","*GT*","*CS*","*PWU*","*DBI*","*SWU*"}))=0,P1662,IF(IFERROR(VALUE(SUBSTITUTE(SUBSTITUTE(O1662,"W",""),"""","")),0)&gt;52,P1662&amp;"-OVRSIZE-",P1662))))</f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s="18" t="str">
        <v/>
      </c>
      <c r="O1662" s="15" t="str" cm="1">
        <f t="array" ref="O1662">IFERROR(_xlfn.LET(
_xlpm.clean,TRIM(SUBSTITUTE(SUBSTITUTE(P1662,CHAR(160),"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2" t="str">
        <f t="shared" si="26"/>
        <v/>
      </c>
    </row>
    <row r="1663" spans="3:19" ht="15.75" customHeight="1">
      <c r="C1663" s="15" t="str" cm="1">
        <f t="array" ref="C1663">IFERROR(_xlfn.TEXTJOIN("",TRUE,_xlfn._xlws.FILTER(MID(S1663,_xlfn.SEQUENCE(LEN(S1663)),1),ISNUMBER(SEARCH(MID(S1663,_xlfn.SEQUENCE(LEN(S1663)),1),"ABCDEFGHIJKLMNOPQRSTUVWXYZabcdefghijklmnopqrstuvwxyz0123456789,")))),"")</f>
        <v/>
      </c>
      <c r="G1663" s="20" t="str" cm="1">
        <f t="array" ref="G1663">IF(TRIM(P1663)="","",IF(SUM(COUNTIF(P1663,{"*NLGD*","*FWG*"}))&gt;0,P1663,IF(SUM(COUNTIF(P1663,{"*GL*","*DGB*","*DGI*","*GT*","*CS*","*PWU*","*DBI*","*SWU*"}))=0,P1663,IF(IFERROR(VALUE(SUBSTITUTE(SUBSTITUTE(O1663,"W",""),"""","")),0)&gt;52,P1663&amp;"-OVRSIZE-",P1663))))</f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s="18" t="str">
        <v/>
      </c>
      <c r="O1663" s="15" t="str" cm="1">
        <f t="array" ref="O1663">IFERROR(_xlfn.LET(
_xlpm.clean,TRIM(SUBSTITUTE(SUBSTITUTE(P1663,CHAR(160),"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3" t="str">
        <f t="shared" si="26"/>
        <v/>
      </c>
    </row>
    <row r="1664" spans="3:19" ht="15.75" customHeight="1">
      <c r="C1664" s="15" t="str" cm="1">
        <f t="array" ref="C1664">IFERROR(_xlfn.TEXTJOIN("",TRUE,_xlfn._xlws.FILTER(MID(S1664,_xlfn.SEQUENCE(LEN(S1664)),1),ISNUMBER(SEARCH(MID(S1664,_xlfn.SEQUENCE(LEN(S1664)),1),"ABCDEFGHIJKLMNOPQRSTUVWXYZabcdefghijklmnopqrstuvwxyz0123456789,")))),"")</f>
        <v/>
      </c>
      <c r="G1664" s="20" t="str" cm="1">
        <f t="array" ref="G1664">IF(TRIM(P1664)="","",IF(SUM(COUNTIF(P1664,{"*NLGD*","*FWG*"}))&gt;0,P1664,IF(SUM(COUNTIF(P1664,{"*GL*","*DGB*","*DGI*","*GT*","*CS*","*PWU*","*DBI*","*SWU*"}))=0,P1664,IF(IFERROR(VALUE(SUBSTITUTE(SUBSTITUTE(O1664,"W",""),"""","")),0)&gt;52,P1664&amp;"-OVRSIZE-",P1664))))</f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s="18" t="str">
        <v/>
      </c>
      <c r="O1664" s="15" t="str" cm="1">
        <f t="array" ref="O1664">IFERROR(_xlfn.LET(
_xlpm.clean,TRIM(SUBSTITUTE(SUBSTITUTE(P1664,CHAR(160),"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4" t="str">
        <f t="shared" si="26"/>
        <v/>
      </c>
    </row>
    <row r="1665" spans="3:19" ht="15.75" customHeight="1">
      <c r="C1665" s="15" t="str" cm="1">
        <f t="array" ref="C1665">IFERROR(_xlfn.TEXTJOIN("",TRUE,_xlfn._xlws.FILTER(MID(S1665,_xlfn.SEQUENCE(LEN(S1665)),1),ISNUMBER(SEARCH(MID(S1665,_xlfn.SEQUENCE(LEN(S1665)),1),"ABCDEFGHIJKLMNOPQRSTUVWXYZabcdefghijklmnopqrstuvwxyz0123456789,")))),"")</f>
        <v/>
      </c>
      <c r="G1665" s="20" t="str" cm="1">
        <f t="array" ref="G1665">IF(TRIM(P1665)="","",IF(SUM(COUNTIF(P1665,{"*NLGD*","*FWG*"}))&gt;0,P1665,IF(SUM(COUNTIF(P1665,{"*GL*","*DGB*","*DGI*","*GT*","*CS*","*PWU*","*DBI*","*SWU*"}))=0,P1665,IF(IFERROR(VALUE(SUBSTITUTE(SUBSTITUTE(O1665,"W",""),"""","")),0)&gt;52,P1665&amp;"-OVRSIZE-",P1665))))</f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s="18" t="str">
        <v/>
      </c>
      <c r="O1665" s="15" t="str" cm="1">
        <f t="array" ref="O1665">IFERROR(_xlfn.LET(
_xlpm.clean,TRIM(SUBSTITUTE(SUBSTITUTE(P1665,CHAR(160),"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5" t="str">
        <f t="shared" si="26"/>
        <v/>
      </c>
    </row>
    <row r="1666" spans="3:19" ht="15.75" customHeight="1">
      <c r="C1666" s="15" t="str" cm="1">
        <f t="array" ref="C1666">IFERROR(_xlfn.TEXTJOIN("",TRUE,_xlfn._xlws.FILTER(MID(S1666,_xlfn.SEQUENCE(LEN(S1666)),1),ISNUMBER(SEARCH(MID(S1666,_xlfn.SEQUENCE(LEN(S1666)),1),"ABCDEFGHIJKLMNOPQRSTUVWXYZabcdefghijklmnopqrstuvwxyz0123456789,")))),"")</f>
        <v/>
      </c>
      <c r="G1666" s="20" t="str" cm="1">
        <f t="array" ref="G1666">IF(TRIM(P1666)="","",IF(SUM(COUNTIF(P1666,{"*NLGD*","*FWG*"}))&gt;0,P1666,IF(SUM(COUNTIF(P1666,{"*GL*","*DGB*","*DGI*","*GT*","*CS*","*PWU*","*DBI*","*SWU*"}))=0,P1666,IF(IFERROR(VALUE(SUBSTITUTE(SUBSTITUTE(O1666,"W",""),"""","")),0)&gt;52,P1666&amp;"-OVRSIZE-",P1666))))</f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s="18" t="str">
        <v/>
      </c>
      <c r="O1666" s="15" t="str" cm="1">
        <f t="array" ref="O1666">IFERROR(_xlfn.LET(
_xlpm.clean,TRIM(SUBSTITUTE(SUBSTITUTE(P1666,CHAR(160),"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6" t="str">
        <f t="shared" si="26"/>
        <v/>
      </c>
    </row>
    <row r="1667" spans="3:19" ht="15.75" customHeight="1">
      <c r="C1667" s="15" t="str" cm="1">
        <f t="array" ref="C1667">IFERROR(_xlfn.TEXTJOIN("",TRUE,_xlfn._xlws.FILTER(MID(S1667,_xlfn.SEQUENCE(LEN(S1667)),1),ISNUMBER(SEARCH(MID(S1667,_xlfn.SEQUENCE(LEN(S1667)),1),"ABCDEFGHIJKLMNOPQRSTUVWXYZabcdefghijklmnopqrstuvwxyz0123456789,")))),"")</f>
        <v/>
      </c>
      <c r="G1667" s="20" t="str" cm="1">
        <f t="array" ref="G1667">IF(TRIM(P1667)="","",IF(SUM(COUNTIF(P1667,{"*NLGD*","*FWG*"}))&gt;0,P1667,IF(SUM(COUNTIF(P1667,{"*GL*","*DGB*","*DGI*","*GT*","*CS*","*PWU*","*DBI*","*SWU*"}))=0,P1667,IF(IFERROR(VALUE(SUBSTITUTE(SUBSTITUTE(O1667,"W",""),"""","")),0)&gt;52,P1667&amp;"-OVRSIZE-",P1667))))</f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s="18" t="str">
        <v/>
      </c>
      <c r="O1667" s="15" t="str" cm="1">
        <f t="array" ref="O1667">IFERROR(_xlfn.LET(
_xlpm.clean,TRIM(SUBSTITUTE(SUBSTITUTE(P1667,CHAR(160),"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7" t="str">
        <f t="shared" si="26"/>
        <v/>
      </c>
    </row>
    <row r="1668" spans="3:19" ht="15.75" customHeight="1">
      <c r="C1668" s="15" t="str" cm="1">
        <f t="array" ref="C1668">IFERROR(_xlfn.TEXTJOIN("",TRUE,_xlfn._xlws.FILTER(MID(S1668,_xlfn.SEQUENCE(LEN(S1668)),1),ISNUMBER(SEARCH(MID(S1668,_xlfn.SEQUENCE(LEN(S1668)),1),"ABCDEFGHIJKLMNOPQRSTUVWXYZabcdefghijklmnopqrstuvwxyz0123456789,")))),"")</f>
        <v/>
      </c>
      <c r="G1668" s="20" t="str" cm="1">
        <f t="array" ref="G1668">IF(TRIM(P1668)="","",IF(SUM(COUNTIF(P1668,{"*NLGD*","*FWG*"}))&gt;0,P1668,IF(SUM(COUNTIF(P1668,{"*GL*","*DGB*","*DGI*","*GT*","*CS*","*PWU*","*DBI*","*SWU*"}))=0,P1668,IF(IFERROR(VALUE(SUBSTITUTE(SUBSTITUTE(O1668,"W",""),"""","")),0)&gt;52,P1668&amp;"-OVRSIZE-",P1668))))</f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s="18" t="str">
        <v/>
      </c>
      <c r="O1668" s="15" t="str" cm="1">
        <f t="array" ref="O1668">IFERROR(_xlfn.LET(
_xlpm.clean,TRIM(SUBSTITUTE(SUBSTITUTE(P1668,CHAR(160),"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8" t="str">
        <f t="shared" si="26"/>
        <v/>
      </c>
    </row>
    <row r="1669" spans="3:19" ht="15.75" customHeight="1">
      <c r="C1669" s="15" t="str" cm="1">
        <f t="array" ref="C1669">IFERROR(_xlfn.TEXTJOIN("",TRUE,_xlfn._xlws.FILTER(MID(S1669,_xlfn.SEQUENCE(LEN(S1669)),1),ISNUMBER(SEARCH(MID(S1669,_xlfn.SEQUENCE(LEN(S1669)),1),"ABCDEFGHIJKLMNOPQRSTUVWXYZabcdefghijklmnopqrstuvwxyz0123456789,")))),"")</f>
        <v/>
      </c>
      <c r="G1669" s="20" t="str" cm="1">
        <f t="array" ref="G1669">IF(TRIM(P1669)="","",IF(SUM(COUNTIF(P1669,{"*NLGD*","*FWG*"}))&gt;0,P1669,IF(SUM(COUNTIF(P1669,{"*GL*","*DGB*","*DGI*","*GT*","*CS*","*PWU*","*DBI*","*SWU*"}))=0,P1669,IF(IFERROR(VALUE(SUBSTITUTE(SUBSTITUTE(O1669,"W",""),"""","")),0)&gt;52,P1669&amp;"-OVRSIZE-",P1669))))</f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s="18" t="str">
        <v/>
      </c>
      <c r="O1669" s="15" t="str" cm="1">
        <f t="array" ref="O1669">IFERROR(_xlfn.LET(
_xlpm.clean,TRIM(SUBSTITUTE(SUBSTITUTE(P1669,CHAR(160),"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9" t="str">
        <f t="shared" si="26"/>
        <v/>
      </c>
    </row>
    <row r="1670" spans="3:19" ht="15.75" customHeight="1">
      <c r="C1670" s="15" t="str" cm="1">
        <f t="array" ref="C1670">IFERROR(_xlfn.TEXTJOIN("",TRUE,_xlfn._xlws.FILTER(MID(S1670,_xlfn.SEQUENCE(LEN(S1670)),1),ISNUMBER(SEARCH(MID(S1670,_xlfn.SEQUENCE(LEN(S1670)),1),"ABCDEFGHIJKLMNOPQRSTUVWXYZabcdefghijklmnopqrstuvwxyz0123456789,")))),"")</f>
        <v/>
      </c>
      <c r="G1670" s="20" t="str" cm="1">
        <f t="array" ref="G1670">IF(TRIM(P1670)="","",IF(SUM(COUNTIF(P1670,{"*NLGD*","*FWG*"}))&gt;0,P1670,IF(SUM(COUNTIF(P1670,{"*GL*","*DGB*","*DGI*","*GT*","*CS*","*PWU*","*DBI*","*SWU*"}))=0,P1670,IF(IFERROR(VALUE(SUBSTITUTE(SUBSTITUTE(O1670,"W",""),"""","")),0)&gt;52,P1670&amp;"-OVRSIZE-",P1670))))</f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s="18" t="str">
        <v/>
      </c>
      <c r="O1670" s="15" t="str" cm="1">
        <f t="array" ref="O1670">IFERROR(_xlfn.LET(
_xlpm.clean,TRIM(SUBSTITUTE(SUBSTITUTE(P1670,CHAR(160),"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0" t="str">
        <f t="shared" si="26"/>
        <v/>
      </c>
    </row>
    <row r="1671" spans="3:19" ht="15.75" customHeight="1">
      <c r="C1671" s="15" t="str" cm="1">
        <f t="array" ref="C1671">IFERROR(_xlfn.TEXTJOIN("",TRUE,_xlfn._xlws.FILTER(MID(S1671,_xlfn.SEQUENCE(LEN(S1671)),1),ISNUMBER(SEARCH(MID(S1671,_xlfn.SEQUENCE(LEN(S1671)),1),"ABCDEFGHIJKLMNOPQRSTUVWXYZabcdefghijklmnopqrstuvwxyz0123456789,")))),"")</f>
        <v/>
      </c>
      <c r="G1671" s="20" t="str" cm="1">
        <f t="array" ref="G1671">IF(TRIM(P1671)="","",IF(SUM(COUNTIF(P1671,{"*NLGD*","*FWG*"}))&gt;0,P1671,IF(SUM(COUNTIF(P1671,{"*GL*","*DGB*","*DGI*","*GT*","*CS*","*PWU*","*DBI*","*SWU*"}))=0,P1671,IF(IFERROR(VALUE(SUBSTITUTE(SUBSTITUTE(O1671,"W",""),"""","")),0)&gt;52,P1671&amp;"-OVRSIZE-",P1671))))</f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s="18" t="str">
        <v/>
      </c>
      <c r="O1671" s="15" t="str" cm="1">
        <f t="array" ref="O1671">IFERROR(_xlfn.LET(
_xlpm.clean,TRIM(SUBSTITUTE(SUBSTITUTE(P1671,CHAR(160),"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1" t="str">
        <f t="shared" si="26"/>
        <v/>
      </c>
    </row>
    <row r="1672" spans="3:19" ht="15.75" customHeight="1">
      <c r="C1672" s="15" t="str" cm="1">
        <f t="array" ref="C1672">IFERROR(_xlfn.TEXTJOIN("",TRUE,_xlfn._xlws.FILTER(MID(S1672,_xlfn.SEQUENCE(LEN(S1672)),1),ISNUMBER(SEARCH(MID(S1672,_xlfn.SEQUENCE(LEN(S1672)),1),"ABCDEFGHIJKLMNOPQRSTUVWXYZabcdefghijklmnopqrstuvwxyz0123456789,")))),"")</f>
        <v/>
      </c>
      <c r="G1672" s="20" t="str" cm="1">
        <f t="array" ref="G1672">IF(TRIM(P1672)="","",IF(SUM(COUNTIF(P1672,{"*NLGD*","*FWG*"}))&gt;0,P1672,IF(SUM(COUNTIF(P1672,{"*GL*","*DGB*","*DGI*","*GT*","*CS*","*PWU*","*DBI*","*SWU*"}))=0,P1672,IF(IFERROR(VALUE(SUBSTITUTE(SUBSTITUTE(O1672,"W",""),"""","")),0)&gt;52,P1672&amp;"-OVRSIZE-",P1672))))</f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s="18" t="str">
        <v/>
      </c>
      <c r="O1672" s="15" t="str" cm="1">
        <f t="array" ref="O1672">IFERROR(_xlfn.LET(
_xlpm.clean,TRIM(SUBSTITUTE(SUBSTITUTE(P1672,CHAR(160),"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2" t="str">
        <f t="shared" ref="S1672:S1735" si="27">IF(R1672="","",_xlfn.LET(
_xlpm.x,TRIM(SUBSTITUTE(SUBSTITUTE(SUBSTITUTE(SUBSTITUTE(R1672,":","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673" spans="3:19" ht="15.75" customHeight="1">
      <c r="C1673" s="15" t="str" cm="1">
        <f t="array" ref="C1673">IFERROR(_xlfn.TEXTJOIN("",TRUE,_xlfn._xlws.FILTER(MID(S1673,_xlfn.SEQUENCE(LEN(S1673)),1),ISNUMBER(SEARCH(MID(S1673,_xlfn.SEQUENCE(LEN(S1673)),1),"ABCDEFGHIJKLMNOPQRSTUVWXYZabcdefghijklmnopqrstuvwxyz0123456789,")))),"")</f>
        <v/>
      </c>
      <c r="G1673" s="20" t="str" cm="1">
        <f t="array" ref="G1673">IF(TRIM(P1673)="","",IF(SUM(COUNTIF(P1673,{"*NLGD*","*FWG*"}))&gt;0,P1673,IF(SUM(COUNTIF(P1673,{"*GL*","*DGB*","*DGI*","*GT*","*CS*","*PWU*","*DBI*","*SWU*"}))=0,P1673,IF(IFERROR(VALUE(SUBSTITUTE(SUBSTITUTE(O1673,"W",""),"""","")),0)&gt;52,P1673&amp;"-OVRSIZE-",P1673))))</f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s="18" t="str">
        <v/>
      </c>
      <c r="O1673" s="15" t="str" cm="1">
        <f t="array" ref="O1673">IFERROR(_xlfn.LET(
_xlpm.clean,TRIM(SUBSTITUTE(SUBSTITUTE(P1673,CHAR(160),"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3" t="str">
        <f t="shared" si="27"/>
        <v/>
      </c>
    </row>
    <row r="1674" spans="3:19" ht="15.75" customHeight="1">
      <c r="C1674" s="15" t="str" cm="1">
        <f t="array" ref="C1674">IFERROR(_xlfn.TEXTJOIN("",TRUE,_xlfn._xlws.FILTER(MID(S1674,_xlfn.SEQUENCE(LEN(S1674)),1),ISNUMBER(SEARCH(MID(S1674,_xlfn.SEQUENCE(LEN(S1674)),1),"ABCDEFGHIJKLMNOPQRSTUVWXYZabcdefghijklmnopqrstuvwxyz0123456789,")))),"")</f>
        <v/>
      </c>
      <c r="G1674" s="20" t="str" cm="1">
        <f t="array" ref="G1674">IF(TRIM(P1674)="","",IF(SUM(COUNTIF(P1674,{"*NLGD*","*FWG*"}))&gt;0,P1674,IF(SUM(COUNTIF(P1674,{"*GL*","*DGB*","*DGI*","*GT*","*CS*","*PWU*","*DBI*","*SWU*"}))=0,P1674,IF(IFERROR(VALUE(SUBSTITUTE(SUBSTITUTE(O1674,"W",""),"""","")),0)&gt;52,P1674&amp;"-OVRSIZE-",P1674))))</f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s="18" t="str">
        <v/>
      </c>
      <c r="O1674" s="15" t="str" cm="1">
        <f t="array" ref="O1674">IFERROR(_xlfn.LET(
_xlpm.clean,TRIM(SUBSTITUTE(SUBSTITUTE(P1674,CHAR(160),"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4" t="str">
        <f t="shared" si="27"/>
        <v/>
      </c>
    </row>
    <row r="1675" spans="3:19" ht="15.75" customHeight="1">
      <c r="C1675" s="15" t="str" cm="1">
        <f t="array" ref="C1675">IFERROR(_xlfn.TEXTJOIN("",TRUE,_xlfn._xlws.FILTER(MID(S1675,_xlfn.SEQUENCE(LEN(S1675)),1),ISNUMBER(SEARCH(MID(S1675,_xlfn.SEQUENCE(LEN(S1675)),1),"ABCDEFGHIJKLMNOPQRSTUVWXYZabcdefghijklmnopqrstuvwxyz0123456789,")))),"")</f>
        <v/>
      </c>
      <c r="G1675" s="20" t="str" cm="1">
        <f t="array" ref="G1675">IF(TRIM(P1675)="","",IF(SUM(COUNTIF(P1675,{"*NLGD*","*FWG*"}))&gt;0,P1675,IF(SUM(COUNTIF(P1675,{"*GL*","*DGB*","*DGI*","*GT*","*CS*","*PWU*","*DBI*","*SWU*"}))=0,P1675,IF(IFERROR(VALUE(SUBSTITUTE(SUBSTITUTE(O1675,"W",""),"""","")),0)&gt;52,P1675&amp;"-OVRSIZE-",P1675))))</f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s="18" t="str">
        <v/>
      </c>
      <c r="O1675" s="15" t="str" cm="1">
        <f t="array" ref="O1675">IFERROR(_xlfn.LET(
_xlpm.clean,TRIM(SUBSTITUTE(SUBSTITUTE(P1675,CHAR(160),"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5" t="str">
        <f t="shared" si="27"/>
        <v/>
      </c>
    </row>
    <row r="1676" spans="3:19" ht="15.75" customHeight="1">
      <c r="C1676" s="15" t="str" cm="1">
        <f t="array" ref="C1676">IFERROR(_xlfn.TEXTJOIN("",TRUE,_xlfn._xlws.FILTER(MID(S1676,_xlfn.SEQUENCE(LEN(S1676)),1),ISNUMBER(SEARCH(MID(S1676,_xlfn.SEQUENCE(LEN(S1676)),1),"ABCDEFGHIJKLMNOPQRSTUVWXYZabcdefghijklmnopqrstuvwxyz0123456789,")))),"")</f>
        <v/>
      </c>
      <c r="G1676" s="20" t="str" cm="1">
        <f t="array" ref="G1676">IF(TRIM(P1676)="","",IF(SUM(COUNTIF(P1676,{"*NLGD*","*FWG*"}))&gt;0,P1676,IF(SUM(COUNTIF(P1676,{"*GL*","*DGB*","*DGI*","*GT*","*CS*","*PWU*","*DBI*","*SWU*"}))=0,P1676,IF(IFERROR(VALUE(SUBSTITUTE(SUBSTITUTE(O1676,"W",""),"""","")),0)&gt;52,P1676&amp;"-OVRSIZE-",P1676))))</f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s="18" t="str">
        <v/>
      </c>
      <c r="O1676" s="15" t="str" cm="1">
        <f t="array" ref="O1676">IFERROR(_xlfn.LET(
_xlpm.clean,TRIM(SUBSTITUTE(SUBSTITUTE(P1676,CHAR(160),"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6" t="str">
        <f t="shared" si="27"/>
        <v/>
      </c>
    </row>
    <row r="1677" spans="3:19" ht="15.75" customHeight="1">
      <c r="C1677" s="15" t="str" cm="1">
        <f t="array" ref="C1677">IFERROR(_xlfn.TEXTJOIN("",TRUE,_xlfn._xlws.FILTER(MID(S1677,_xlfn.SEQUENCE(LEN(S1677)),1),ISNUMBER(SEARCH(MID(S1677,_xlfn.SEQUENCE(LEN(S1677)),1),"ABCDEFGHIJKLMNOPQRSTUVWXYZabcdefghijklmnopqrstuvwxyz0123456789,")))),"")</f>
        <v/>
      </c>
      <c r="G1677" s="20" t="str" cm="1">
        <f t="array" ref="G1677">IF(TRIM(P1677)="","",IF(SUM(COUNTIF(P1677,{"*NLGD*","*FWG*"}))&gt;0,P1677,IF(SUM(COUNTIF(P1677,{"*GL*","*DGB*","*DGI*","*GT*","*CS*","*PWU*","*DBI*","*SWU*"}))=0,P1677,IF(IFERROR(VALUE(SUBSTITUTE(SUBSTITUTE(O1677,"W",""),"""","")),0)&gt;52,P1677&amp;"-OVRSIZE-",P1677))))</f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s="18" t="str">
        <v/>
      </c>
      <c r="O1677" s="15" t="str" cm="1">
        <f t="array" ref="O1677">IFERROR(_xlfn.LET(
_xlpm.clean,TRIM(SUBSTITUTE(SUBSTITUTE(P1677,CHAR(160),"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7" t="str">
        <f t="shared" si="27"/>
        <v/>
      </c>
    </row>
    <row r="1678" spans="3:19" ht="15.75" customHeight="1">
      <c r="C1678" s="15" t="str" cm="1">
        <f t="array" ref="C1678">IFERROR(_xlfn.TEXTJOIN("",TRUE,_xlfn._xlws.FILTER(MID(S1678,_xlfn.SEQUENCE(LEN(S1678)),1),ISNUMBER(SEARCH(MID(S1678,_xlfn.SEQUENCE(LEN(S1678)),1),"ABCDEFGHIJKLMNOPQRSTUVWXYZabcdefghijklmnopqrstuvwxyz0123456789,")))),"")</f>
        <v/>
      </c>
      <c r="G1678" s="20" t="str" cm="1">
        <f t="array" ref="G1678">IF(TRIM(P1678)="","",IF(SUM(COUNTIF(P1678,{"*NLGD*","*FWG*"}))&gt;0,P1678,IF(SUM(COUNTIF(P1678,{"*GL*","*DGB*","*DGI*","*GT*","*CS*","*PWU*","*DBI*","*SWU*"}))=0,P1678,IF(IFERROR(VALUE(SUBSTITUTE(SUBSTITUTE(O1678,"W",""),"""","")),0)&gt;52,P1678&amp;"-OVRSIZE-",P1678))))</f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s="18" t="str">
        <v/>
      </c>
      <c r="O1678" s="15" t="str" cm="1">
        <f t="array" ref="O1678">IFERROR(_xlfn.LET(
_xlpm.clean,TRIM(SUBSTITUTE(SUBSTITUTE(P1678,CHAR(160),"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8" t="str">
        <f t="shared" si="27"/>
        <v/>
      </c>
    </row>
    <row r="1679" spans="3:19" ht="15.75" customHeight="1">
      <c r="C1679" s="15" t="str" cm="1">
        <f t="array" ref="C1679">IFERROR(_xlfn.TEXTJOIN("",TRUE,_xlfn._xlws.FILTER(MID(S1679,_xlfn.SEQUENCE(LEN(S1679)),1),ISNUMBER(SEARCH(MID(S1679,_xlfn.SEQUENCE(LEN(S1679)),1),"ABCDEFGHIJKLMNOPQRSTUVWXYZabcdefghijklmnopqrstuvwxyz0123456789,")))),"")</f>
        <v/>
      </c>
      <c r="G1679" s="20" t="str" cm="1">
        <f t="array" ref="G1679">IF(TRIM(P1679)="","",IF(SUM(COUNTIF(P1679,{"*NLGD*","*FWG*"}))&gt;0,P1679,IF(SUM(COUNTIF(P1679,{"*GL*","*DGB*","*DGI*","*GT*","*CS*","*PWU*","*DBI*","*SWU*"}))=0,P1679,IF(IFERROR(VALUE(SUBSTITUTE(SUBSTITUTE(O1679,"W",""),"""","")),0)&gt;52,P1679&amp;"-OVRSIZE-",P1679))))</f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s="18" t="str">
        <v/>
      </c>
      <c r="O1679" s="15" t="str" cm="1">
        <f t="array" ref="O1679">IFERROR(_xlfn.LET(
_xlpm.clean,TRIM(SUBSTITUTE(SUBSTITUTE(P1679,CHAR(160),"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9" t="str">
        <f t="shared" si="27"/>
        <v/>
      </c>
    </row>
    <row r="1680" spans="3:19" ht="15.75" customHeight="1">
      <c r="C1680" s="15" t="str" cm="1">
        <f t="array" ref="C1680">IFERROR(_xlfn.TEXTJOIN("",TRUE,_xlfn._xlws.FILTER(MID(S1680,_xlfn.SEQUENCE(LEN(S1680)),1),ISNUMBER(SEARCH(MID(S1680,_xlfn.SEQUENCE(LEN(S1680)),1),"ABCDEFGHIJKLMNOPQRSTUVWXYZabcdefghijklmnopqrstuvwxyz0123456789,")))),"")</f>
        <v/>
      </c>
      <c r="G1680" s="20" t="str" cm="1">
        <f t="array" ref="G1680">IF(TRIM(P1680)="","",IF(SUM(COUNTIF(P1680,{"*NLGD*","*FWG*"}))&gt;0,P1680,IF(SUM(COUNTIF(P1680,{"*GL*","*DGB*","*DGI*","*GT*","*CS*","*PWU*","*DBI*","*SWU*"}))=0,P1680,IF(IFERROR(VALUE(SUBSTITUTE(SUBSTITUTE(O1680,"W",""),"""","")),0)&gt;52,P1680&amp;"-OVRSIZE-",P1680))))</f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s="18" t="str">
        <v/>
      </c>
      <c r="O1680" s="15" t="str" cm="1">
        <f t="array" ref="O1680">IFERROR(_xlfn.LET(
_xlpm.clean,TRIM(SUBSTITUTE(SUBSTITUTE(P1680,CHAR(160),"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0" t="str">
        <f t="shared" si="27"/>
        <v/>
      </c>
    </row>
    <row r="1681" spans="3:19" ht="15.75" customHeight="1">
      <c r="C1681" s="15" t="str" cm="1">
        <f t="array" ref="C1681">IFERROR(_xlfn.TEXTJOIN("",TRUE,_xlfn._xlws.FILTER(MID(S1681,_xlfn.SEQUENCE(LEN(S1681)),1),ISNUMBER(SEARCH(MID(S1681,_xlfn.SEQUENCE(LEN(S1681)),1),"ABCDEFGHIJKLMNOPQRSTUVWXYZabcdefghijklmnopqrstuvwxyz0123456789,")))),"")</f>
        <v/>
      </c>
      <c r="G1681" s="20" t="str" cm="1">
        <f t="array" ref="G1681">IF(TRIM(P1681)="","",IF(SUM(COUNTIF(P1681,{"*NLGD*","*FWG*"}))&gt;0,P1681,IF(SUM(COUNTIF(P1681,{"*GL*","*DGB*","*DGI*","*GT*","*CS*","*PWU*","*DBI*","*SWU*"}))=0,P1681,IF(IFERROR(VALUE(SUBSTITUTE(SUBSTITUTE(O1681,"W",""),"""","")),0)&gt;52,P1681&amp;"-OVRSIZE-",P1681))))</f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s="18" t="str">
        <v/>
      </c>
      <c r="O1681" s="15" t="str" cm="1">
        <f t="array" ref="O1681">IFERROR(_xlfn.LET(
_xlpm.clean,TRIM(SUBSTITUTE(SUBSTITUTE(P1681,CHAR(160),"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1" t="str">
        <f t="shared" si="27"/>
        <v/>
      </c>
    </row>
    <row r="1682" spans="3:19" ht="15.75" customHeight="1">
      <c r="C1682" s="15" t="str" cm="1">
        <f t="array" ref="C1682">IFERROR(_xlfn.TEXTJOIN("",TRUE,_xlfn._xlws.FILTER(MID(S1682,_xlfn.SEQUENCE(LEN(S1682)),1),ISNUMBER(SEARCH(MID(S1682,_xlfn.SEQUENCE(LEN(S1682)),1),"ABCDEFGHIJKLMNOPQRSTUVWXYZabcdefghijklmnopqrstuvwxyz0123456789,")))),"")</f>
        <v/>
      </c>
      <c r="G1682" s="20" t="str" cm="1">
        <f t="array" ref="G1682">IF(TRIM(P1682)="","",IF(SUM(COUNTIF(P1682,{"*NLGD*","*FWG*"}))&gt;0,P1682,IF(SUM(COUNTIF(P1682,{"*GL*","*DGB*","*DGI*","*GT*","*CS*","*PWU*","*DBI*","*SWU*"}))=0,P1682,IF(IFERROR(VALUE(SUBSTITUTE(SUBSTITUTE(O1682,"W",""),"""","")),0)&gt;52,P1682&amp;"-OVRSIZE-",P1682))))</f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s="18" t="str">
        <v/>
      </c>
      <c r="O1682" s="15" t="str" cm="1">
        <f t="array" ref="O1682">IFERROR(_xlfn.LET(
_xlpm.clean,TRIM(SUBSTITUTE(SUBSTITUTE(P1682,CHAR(160),"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2" t="str">
        <f t="shared" si="27"/>
        <v/>
      </c>
    </row>
    <row r="1683" spans="3:19" ht="15.75" customHeight="1">
      <c r="C1683" s="15" t="str" cm="1">
        <f t="array" ref="C1683">IFERROR(_xlfn.TEXTJOIN("",TRUE,_xlfn._xlws.FILTER(MID(S1683,_xlfn.SEQUENCE(LEN(S1683)),1),ISNUMBER(SEARCH(MID(S1683,_xlfn.SEQUENCE(LEN(S1683)),1),"ABCDEFGHIJKLMNOPQRSTUVWXYZabcdefghijklmnopqrstuvwxyz0123456789,")))),"")</f>
        <v/>
      </c>
      <c r="G1683" s="20" t="str" cm="1">
        <f t="array" ref="G1683">IF(TRIM(P1683)="","",IF(SUM(COUNTIF(P1683,{"*NLGD*","*FWG*"}))&gt;0,P1683,IF(SUM(COUNTIF(P1683,{"*GL*","*DGB*","*DGI*","*GT*","*CS*","*PWU*","*DBI*","*SWU*"}))=0,P1683,IF(IFERROR(VALUE(SUBSTITUTE(SUBSTITUTE(O1683,"W",""),"""","")),0)&gt;52,P1683&amp;"-OVRSIZE-",P1683))))</f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s="18" t="str">
        <v/>
      </c>
      <c r="O1683" s="15" t="str" cm="1">
        <f t="array" ref="O1683">IFERROR(_xlfn.LET(
_xlpm.clean,TRIM(SUBSTITUTE(SUBSTITUTE(P1683,CHAR(160),"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3" t="str">
        <f t="shared" si="27"/>
        <v/>
      </c>
    </row>
    <row r="1684" spans="3:19" ht="15.75" customHeight="1">
      <c r="C1684" s="15" t="str" cm="1">
        <f t="array" ref="C1684">IFERROR(_xlfn.TEXTJOIN("",TRUE,_xlfn._xlws.FILTER(MID(S1684,_xlfn.SEQUENCE(LEN(S1684)),1),ISNUMBER(SEARCH(MID(S1684,_xlfn.SEQUENCE(LEN(S1684)),1),"ABCDEFGHIJKLMNOPQRSTUVWXYZabcdefghijklmnopqrstuvwxyz0123456789,")))),"")</f>
        <v/>
      </c>
      <c r="G1684" s="20" t="str" cm="1">
        <f t="array" ref="G1684">IF(TRIM(P1684)="","",IF(SUM(COUNTIF(P1684,{"*NLGD*","*FWG*"}))&gt;0,P1684,IF(SUM(COUNTIF(P1684,{"*GL*","*DGB*","*DGI*","*GT*","*CS*","*PWU*","*DBI*","*SWU*"}))=0,P1684,IF(IFERROR(VALUE(SUBSTITUTE(SUBSTITUTE(O1684,"W",""),"""","")),0)&gt;52,P1684&amp;"-OVRSIZE-",P1684))))</f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s="18" t="str">
        <v/>
      </c>
      <c r="O1684" s="15" t="str" cm="1">
        <f t="array" ref="O1684">IFERROR(_xlfn.LET(
_xlpm.clean,TRIM(SUBSTITUTE(SUBSTITUTE(P1684,CHAR(160),"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4" t="str">
        <f t="shared" si="27"/>
        <v/>
      </c>
    </row>
    <row r="1685" spans="3:19" ht="15.75" customHeight="1">
      <c r="C1685" s="15" t="str" cm="1">
        <f t="array" ref="C1685">IFERROR(_xlfn.TEXTJOIN("",TRUE,_xlfn._xlws.FILTER(MID(S1685,_xlfn.SEQUENCE(LEN(S1685)),1),ISNUMBER(SEARCH(MID(S1685,_xlfn.SEQUENCE(LEN(S1685)),1),"ABCDEFGHIJKLMNOPQRSTUVWXYZabcdefghijklmnopqrstuvwxyz0123456789,")))),"")</f>
        <v/>
      </c>
      <c r="G1685" s="20" t="str" cm="1">
        <f t="array" ref="G1685">IF(TRIM(P1685)="","",IF(SUM(COUNTIF(P1685,{"*NLGD*","*FWG*"}))&gt;0,P1685,IF(SUM(COUNTIF(P1685,{"*GL*","*DGB*","*DGI*","*GT*","*CS*","*PWU*","*DBI*","*SWU*"}))=0,P1685,IF(IFERROR(VALUE(SUBSTITUTE(SUBSTITUTE(O1685,"W",""),"""","")),0)&gt;52,P1685&amp;"-OVRSIZE-",P1685))))</f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s="18" t="str">
        <v/>
      </c>
      <c r="O1685" s="15" t="str" cm="1">
        <f t="array" ref="O1685">IFERROR(_xlfn.LET(
_xlpm.clean,TRIM(SUBSTITUTE(SUBSTITUTE(P1685,CHAR(160),"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5" t="str">
        <f t="shared" si="27"/>
        <v/>
      </c>
    </row>
    <row r="1686" spans="3:19" ht="15.75" customHeight="1">
      <c r="C1686" s="15" t="str" cm="1">
        <f t="array" ref="C1686">IFERROR(_xlfn.TEXTJOIN("",TRUE,_xlfn._xlws.FILTER(MID(S1686,_xlfn.SEQUENCE(LEN(S1686)),1),ISNUMBER(SEARCH(MID(S1686,_xlfn.SEQUENCE(LEN(S1686)),1),"ABCDEFGHIJKLMNOPQRSTUVWXYZabcdefghijklmnopqrstuvwxyz0123456789,")))),"")</f>
        <v/>
      </c>
      <c r="G1686" s="20" t="str" cm="1">
        <f t="array" ref="G1686">IF(TRIM(P1686)="","",IF(SUM(COUNTIF(P1686,{"*NLGD*","*FWG*"}))&gt;0,P1686,IF(SUM(COUNTIF(P1686,{"*GL*","*DGB*","*DGI*","*GT*","*CS*","*PWU*","*DBI*","*SWU*"}))=0,P1686,IF(IFERROR(VALUE(SUBSTITUTE(SUBSTITUTE(O1686,"W",""),"""","")),0)&gt;52,P1686&amp;"-OVRSIZE-",P1686))))</f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s="18" t="str">
        <v/>
      </c>
      <c r="O1686" s="15" t="str" cm="1">
        <f t="array" ref="O1686">IFERROR(_xlfn.LET(
_xlpm.clean,TRIM(SUBSTITUTE(SUBSTITUTE(P1686,CHAR(160),"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6" t="str">
        <f t="shared" si="27"/>
        <v/>
      </c>
    </row>
    <row r="1687" spans="3:19" ht="15.75" customHeight="1">
      <c r="C1687" s="15" t="str" cm="1">
        <f t="array" ref="C1687">IFERROR(_xlfn.TEXTJOIN("",TRUE,_xlfn._xlws.FILTER(MID(S1687,_xlfn.SEQUENCE(LEN(S1687)),1),ISNUMBER(SEARCH(MID(S1687,_xlfn.SEQUENCE(LEN(S1687)),1),"ABCDEFGHIJKLMNOPQRSTUVWXYZabcdefghijklmnopqrstuvwxyz0123456789,")))),"")</f>
        <v/>
      </c>
      <c r="G1687" s="20" t="str" cm="1">
        <f t="array" ref="G1687">IF(TRIM(P1687)="","",IF(SUM(COUNTIF(P1687,{"*NLGD*","*FWG*"}))&gt;0,P1687,IF(SUM(COUNTIF(P1687,{"*GL*","*DGB*","*DGI*","*GT*","*CS*","*PWU*","*DBI*","*SWU*"}))=0,P1687,IF(IFERROR(VALUE(SUBSTITUTE(SUBSTITUTE(O1687,"W",""),"""","")),0)&gt;52,P1687&amp;"-OVRSIZE-",P1687))))</f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s="18" t="str">
        <v/>
      </c>
      <c r="O1687" s="15" t="str" cm="1">
        <f t="array" ref="O1687">IFERROR(_xlfn.LET(
_xlpm.clean,TRIM(SUBSTITUTE(SUBSTITUTE(P1687,CHAR(160),"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7" t="str">
        <f t="shared" si="27"/>
        <v/>
      </c>
    </row>
    <row r="1688" spans="3:19" ht="15.75" customHeight="1">
      <c r="C1688" s="15" t="str" cm="1">
        <f t="array" ref="C1688">IFERROR(_xlfn.TEXTJOIN("",TRUE,_xlfn._xlws.FILTER(MID(S1688,_xlfn.SEQUENCE(LEN(S1688)),1),ISNUMBER(SEARCH(MID(S1688,_xlfn.SEQUENCE(LEN(S1688)),1),"ABCDEFGHIJKLMNOPQRSTUVWXYZabcdefghijklmnopqrstuvwxyz0123456789,")))),"")</f>
        <v/>
      </c>
      <c r="G1688" s="20" t="str" cm="1">
        <f t="array" ref="G1688">IF(TRIM(P1688)="","",IF(SUM(COUNTIF(P1688,{"*NLGD*","*FWG*"}))&gt;0,P1688,IF(SUM(COUNTIF(P1688,{"*GL*","*DGB*","*DGI*","*GT*","*CS*","*PWU*","*DBI*","*SWU*"}))=0,P1688,IF(IFERROR(VALUE(SUBSTITUTE(SUBSTITUTE(O1688,"W",""),"""","")),0)&gt;52,P1688&amp;"-OVRSIZE-",P1688))))</f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s="18" t="str">
        <v/>
      </c>
      <c r="O1688" s="15" t="str" cm="1">
        <f t="array" ref="O1688">IFERROR(_xlfn.LET(
_xlpm.clean,TRIM(SUBSTITUTE(SUBSTITUTE(P1688,CHAR(160),"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8" t="str">
        <f t="shared" si="27"/>
        <v/>
      </c>
    </row>
    <row r="1689" spans="3:19" ht="15.75" customHeight="1">
      <c r="C1689" s="15" t="str" cm="1">
        <f t="array" ref="C1689">IFERROR(_xlfn.TEXTJOIN("",TRUE,_xlfn._xlws.FILTER(MID(S1689,_xlfn.SEQUENCE(LEN(S1689)),1),ISNUMBER(SEARCH(MID(S1689,_xlfn.SEQUENCE(LEN(S1689)),1),"ABCDEFGHIJKLMNOPQRSTUVWXYZabcdefghijklmnopqrstuvwxyz0123456789,")))),"")</f>
        <v/>
      </c>
      <c r="G1689" s="20" t="str" cm="1">
        <f t="array" ref="G1689">IF(TRIM(P1689)="","",IF(SUM(COUNTIF(P1689,{"*NLGD*","*FWG*"}))&gt;0,P1689,IF(SUM(COUNTIF(P1689,{"*GL*","*DGB*","*DGI*","*GT*","*CS*","*PWU*","*DBI*","*SWU*"}))=0,P1689,IF(IFERROR(VALUE(SUBSTITUTE(SUBSTITUTE(O1689,"W",""),"""","")),0)&gt;52,P1689&amp;"-OVRSIZE-",P1689))))</f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s="18" t="str">
        <v/>
      </c>
      <c r="O1689" s="15" t="str" cm="1">
        <f t="array" ref="O1689">IFERROR(_xlfn.LET(
_xlpm.clean,TRIM(SUBSTITUTE(SUBSTITUTE(P1689,CHAR(160),"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9" t="str">
        <f t="shared" si="27"/>
        <v/>
      </c>
    </row>
    <row r="1690" spans="3:19" ht="15.75" customHeight="1">
      <c r="C1690" s="15" t="str" cm="1">
        <f t="array" ref="C1690">IFERROR(_xlfn.TEXTJOIN("",TRUE,_xlfn._xlws.FILTER(MID(S1690,_xlfn.SEQUENCE(LEN(S1690)),1),ISNUMBER(SEARCH(MID(S1690,_xlfn.SEQUENCE(LEN(S1690)),1),"ABCDEFGHIJKLMNOPQRSTUVWXYZabcdefghijklmnopqrstuvwxyz0123456789,")))),"")</f>
        <v/>
      </c>
      <c r="G1690" s="20" t="str" cm="1">
        <f t="array" ref="G1690">IF(TRIM(P1690)="","",IF(SUM(COUNTIF(P1690,{"*NLGD*","*FWG*"}))&gt;0,P1690,IF(SUM(COUNTIF(P1690,{"*GL*","*DGB*","*DGI*","*GT*","*CS*","*PWU*","*DBI*","*SWU*"}))=0,P1690,IF(IFERROR(VALUE(SUBSTITUTE(SUBSTITUTE(O1690,"W",""),"""","")),0)&gt;52,P1690&amp;"-OVRSIZE-",P1690))))</f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s="18" t="str">
        <v/>
      </c>
      <c r="O1690" s="15" t="str" cm="1">
        <f t="array" ref="O1690">IFERROR(_xlfn.LET(
_xlpm.clean,TRIM(SUBSTITUTE(SUBSTITUTE(P1690,CHAR(160),"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0" t="str">
        <f t="shared" si="27"/>
        <v/>
      </c>
    </row>
    <row r="1691" spans="3:19" ht="15.75" customHeight="1">
      <c r="C1691" s="15" t="str" cm="1">
        <f t="array" ref="C1691">IFERROR(_xlfn.TEXTJOIN("",TRUE,_xlfn._xlws.FILTER(MID(S1691,_xlfn.SEQUENCE(LEN(S1691)),1),ISNUMBER(SEARCH(MID(S1691,_xlfn.SEQUENCE(LEN(S1691)),1),"ABCDEFGHIJKLMNOPQRSTUVWXYZabcdefghijklmnopqrstuvwxyz0123456789,")))),"")</f>
        <v/>
      </c>
      <c r="G1691" s="20" t="str" cm="1">
        <f t="array" ref="G1691">IF(TRIM(P1691)="","",IF(SUM(COUNTIF(P1691,{"*NLGD*","*FWG*"}))&gt;0,P1691,IF(SUM(COUNTIF(P1691,{"*GL*","*DGB*","*DGI*","*GT*","*CS*","*PWU*","*DBI*","*SWU*"}))=0,P1691,IF(IFERROR(VALUE(SUBSTITUTE(SUBSTITUTE(O1691,"W",""),"""","")),0)&gt;52,P1691&amp;"-OVRSIZE-",P1691))))</f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s="18" t="str">
        <v/>
      </c>
      <c r="O1691" s="15" t="str" cm="1">
        <f t="array" ref="O1691">IFERROR(_xlfn.LET(
_xlpm.clean,TRIM(SUBSTITUTE(SUBSTITUTE(P1691,CHAR(160),"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1" t="str">
        <f t="shared" si="27"/>
        <v/>
      </c>
    </row>
    <row r="1692" spans="3:19" ht="15.75" customHeight="1">
      <c r="C1692" s="15" t="str" cm="1">
        <f t="array" ref="C1692">IFERROR(_xlfn.TEXTJOIN("",TRUE,_xlfn._xlws.FILTER(MID(S1692,_xlfn.SEQUENCE(LEN(S1692)),1),ISNUMBER(SEARCH(MID(S1692,_xlfn.SEQUENCE(LEN(S1692)),1),"ABCDEFGHIJKLMNOPQRSTUVWXYZabcdefghijklmnopqrstuvwxyz0123456789,")))),"")</f>
        <v/>
      </c>
      <c r="G1692" s="20" t="str" cm="1">
        <f t="array" ref="G1692">IF(TRIM(P1692)="","",IF(SUM(COUNTIF(P1692,{"*NLGD*","*FWG*"}))&gt;0,P1692,IF(SUM(COUNTIF(P1692,{"*GL*","*DGB*","*DGI*","*GT*","*CS*","*PWU*","*DBI*","*SWU*"}))=0,P1692,IF(IFERROR(VALUE(SUBSTITUTE(SUBSTITUTE(O1692,"W",""),"""","")),0)&gt;52,P1692&amp;"-OVRSIZE-",P1692))))</f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s="18" t="str">
        <v/>
      </c>
      <c r="O1692" s="15" t="str" cm="1">
        <f t="array" ref="O1692">IFERROR(_xlfn.LET(
_xlpm.clean,TRIM(SUBSTITUTE(SUBSTITUTE(P1692,CHAR(160),"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2" t="str">
        <f t="shared" si="27"/>
        <v/>
      </c>
    </row>
    <row r="1693" spans="3:19" ht="15.75" customHeight="1">
      <c r="C1693" s="15" t="str" cm="1">
        <f t="array" ref="C1693">IFERROR(_xlfn.TEXTJOIN("",TRUE,_xlfn._xlws.FILTER(MID(S1693,_xlfn.SEQUENCE(LEN(S1693)),1),ISNUMBER(SEARCH(MID(S1693,_xlfn.SEQUENCE(LEN(S1693)),1),"ABCDEFGHIJKLMNOPQRSTUVWXYZabcdefghijklmnopqrstuvwxyz0123456789,")))),"")</f>
        <v/>
      </c>
      <c r="G1693" s="20" t="str" cm="1">
        <f t="array" ref="G1693">IF(TRIM(P1693)="","",IF(SUM(COUNTIF(P1693,{"*NLGD*","*FWG*"}))&gt;0,P1693,IF(SUM(COUNTIF(P1693,{"*GL*","*DGB*","*DGI*","*GT*","*CS*","*PWU*","*DBI*","*SWU*"}))=0,P1693,IF(IFERROR(VALUE(SUBSTITUTE(SUBSTITUTE(O1693,"W",""),"""","")),0)&gt;52,P1693&amp;"-OVRSIZE-",P1693))))</f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s="18" t="str">
        <v/>
      </c>
      <c r="O1693" s="15" t="str" cm="1">
        <f t="array" ref="O1693">IFERROR(_xlfn.LET(
_xlpm.clean,TRIM(SUBSTITUTE(SUBSTITUTE(P1693,CHAR(160),"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3" t="str">
        <f t="shared" si="27"/>
        <v/>
      </c>
    </row>
    <row r="1694" spans="3:19" ht="15.75" customHeight="1">
      <c r="C1694" s="15" t="str" cm="1">
        <f t="array" ref="C1694">IFERROR(_xlfn.TEXTJOIN("",TRUE,_xlfn._xlws.FILTER(MID(S1694,_xlfn.SEQUENCE(LEN(S1694)),1),ISNUMBER(SEARCH(MID(S1694,_xlfn.SEQUENCE(LEN(S1694)),1),"ABCDEFGHIJKLMNOPQRSTUVWXYZabcdefghijklmnopqrstuvwxyz0123456789,")))),"")</f>
        <v/>
      </c>
      <c r="G1694" s="20" t="str" cm="1">
        <f t="array" ref="G1694">IF(TRIM(P1694)="","",IF(SUM(COUNTIF(P1694,{"*NLGD*","*FWG*"}))&gt;0,P1694,IF(SUM(COUNTIF(P1694,{"*GL*","*DGB*","*DGI*","*GT*","*CS*","*PWU*","*DBI*","*SWU*"}))=0,P1694,IF(IFERROR(VALUE(SUBSTITUTE(SUBSTITUTE(O1694,"W",""),"""","")),0)&gt;52,P1694&amp;"-OVRSIZE-",P1694))))</f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s="18" t="str">
        <v/>
      </c>
      <c r="O1694" s="15" t="str" cm="1">
        <f t="array" ref="O1694">IFERROR(_xlfn.LET(
_xlpm.clean,TRIM(SUBSTITUTE(SUBSTITUTE(P1694,CHAR(160),"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4" t="str">
        <f t="shared" si="27"/>
        <v/>
      </c>
    </row>
    <row r="1695" spans="3:19" ht="15.75" customHeight="1">
      <c r="C1695" s="15" t="str" cm="1">
        <f t="array" ref="C1695">IFERROR(_xlfn.TEXTJOIN("",TRUE,_xlfn._xlws.FILTER(MID(S1695,_xlfn.SEQUENCE(LEN(S1695)),1),ISNUMBER(SEARCH(MID(S1695,_xlfn.SEQUENCE(LEN(S1695)),1),"ABCDEFGHIJKLMNOPQRSTUVWXYZabcdefghijklmnopqrstuvwxyz0123456789,")))),"")</f>
        <v/>
      </c>
      <c r="G1695" s="20" t="str" cm="1">
        <f t="array" ref="G1695">IF(TRIM(P1695)="","",IF(SUM(COUNTIF(P1695,{"*NLGD*","*FWG*"}))&gt;0,P1695,IF(SUM(COUNTIF(P1695,{"*GL*","*DGB*","*DGI*","*GT*","*CS*","*PWU*","*DBI*","*SWU*"}))=0,P1695,IF(IFERROR(VALUE(SUBSTITUTE(SUBSTITUTE(O1695,"W",""),"""","")),0)&gt;52,P1695&amp;"-OVRSIZE-",P1695))))</f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s="18" t="str">
        <v/>
      </c>
      <c r="O1695" s="15" t="str" cm="1">
        <f t="array" ref="O1695">IFERROR(_xlfn.LET(
_xlpm.clean,TRIM(SUBSTITUTE(SUBSTITUTE(P1695,CHAR(160),"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5" t="str">
        <f t="shared" si="27"/>
        <v/>
      </c>
    </row>
    <row r="1696" spans="3:19" ht="15.75" customHeight="1">
      <c r="C1696" s="15" t="str" cm="1">
        <f t="array" ref="C1696">IFERROR(_xlfn.TEXTJOIN("",TRUE,_xlfn._xlws.FILTER(MID(S1696,_xlfn.SEQUENCE(LEN(S1696)),1),ISNUMBER(SEARCH(MID(S1696,_xlfn.SEQUENCE(LEN(S1696)),1),"ABCDEFGHIJKLMNOPQRSTUVWXYZabcdefghijklmnopqrstuvwxyz0123456789,")))),"")</f>
        <v/>
      </c>
      <c r="G1696" s="20" t="str" cm="1">
        <f t="array" ref="G1696">IF(TRIM(P1696)="","",IF(SUM(COUNTIF(P1696,{"*NLGD*","*FWG*"}))&gt;0,P1696,IF(SUM(COUNTIF(P1696,{"*GL*","*DGB*","*DGI*","*GT*","*CS*","*PWU*","*DBI*","*SWU*"}))=0,P1696,IF(IFERROR(VALUE(SUBSTITUTE(SUBSTITUTE(O1696,"W",""),"""","")),0)&gt;52,P1696&amp;"-OVRSIZE-",P1696))))</f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s="18" t="str">
        <v/>
      </c>
      <c r="O1696" s="15" t="str" cm="1">
        <f t="array" ref="O1696">IFERROR(_xlfn.LET(
_xlpm.clean,TRIM(SUBSTITUTE(SUBSTITUTE(P1696,CHAR(160),"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6" t="str">
        <f t="shared" si="27"/>
        <v/>
      </c>
    </row>
    <row r="1697" spans="3:19" ht="15.75" customHeight="1">
      <c r="C1697" s="15" t="str" cm="1">
        <f t="array" ref="C1697">IFERROR(_xlfn.TEXTJOIN("",TRUE,_xlfn._xlws.FILTER(MID(S1697,_xlfn.SEQUENCE(LEN(S1697)),1),ISNUMBER(SEARCH(MID(S1697,_xlfn.SEQUENCE(LEN(S1697)),1),"ABCDEFGHIJKLMNOPQRSTUVWXYZabcdefghijklmnopqrstuvwxyz0123456789,")))),"")</f>
        <v/>
      </c>
      <c r="G1697" s="20" t="str" cm="1">
        <f t="array" ref="G1697">IF(TRIM(P1697)="","",IF(SUM(COUNTIF(P1697,{"*NLGD*","*FWG*"}))&gt;0,P1697,IF(SUM(COUNTIF(P1697,{"*GL*","*DGB*","*DGI*","*GT*","*CS*","*PWU*","*DBI*","*SWU*"}))=0,P1697,IF(IFERROR(VALUE(SUBSTITUTE(SUBSTITUTE(O1697,"W",""),"""","")),0)&gt;52,P1697&amp;"-OVRSIZE-",P1697))))</f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s="18" t="str">
        <v/>
      </c>
      <c r="O1697" s="15" t="str" cm="1">
        <f t="array" ref="O1697">IFERROR(_xlfn.LET(
_xlpm.clean,TRIM(SUBSTITUTE(SUBSTITUTE(P1697,CHAR(160),"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7" t="str">
        <f t="shared" si="27"/>
        <v/>
      </c>
    </row>
    <row r="1698" spans="3:19" ht="15.75" customHeight="1">
      <c r="C1698" s="15" t="str" cm="1">
        <f t="array" ref="C1698">IFERROR(_xlfn.TEXTJOIN("",TRUE,_xlfn._xlws.FILTER(MID(S1698,_xlfn.SEQUENCE(LEN(S1698)),1),ISNUMBER(SEARCH(MID(S1698,_xlfn.SEQUENCE(LEN(S1698)),1),"ABCDEFGHIJKLMNOPQRSTUVWXYZabcdefghijklmnopqrstuvwxyz0123456789,")))),"")</f>
        <v/>
      </c>
      <c r="G1698" s="20" t="str" cm="1">
        <f t="array" ref="G1698">IF(TRIM(P1698)="","",IF(SUM(COUNTIF(P1698,{"*NLGD*","*FWG*"}))&gt;0,P1698,IF(SUM(COUNTIF(P1698,{"*GL*","*DGB*","*DGI*","*GT*","*CS*","*PWU*","*DBI*","*SWU*"}))=0,P1698,IF(IFERROR(VALUE(SUBSTITUTE(SUBSTITUTE(O1698,"W",""),"""","")),0)&gt;52,P1698&amp;"-OVRSIZE-",P1698))))</f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s="18" t="str">
        <v/>
      </c>
      <c r="O1698" s="15" t="str" cm="1">
        <f t="array" ref="O1698">IFERROR(_xlfn.LET(
_xlpm.clean,TRIM(SUBSTITUTE(SUBSTITUTE(P1698,CHAR(160),"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8" t="str">
        <f t="shared" si="27"/>
        <v/>
      </c>
    </row>
    <row r="1699" spans="3:19" ht="15.75" customHeight="1">
      <c r="C1699" s="15" t="str" cm="1">
        <f t="array" ref="C1699">IFERROR(_xlfn.TEXTJOIN("",TRUE,_xlfn._xlws.FILTER(MID(S1699,_xlfn.SEQUENCE(LEN(S1699)),1),ISNUMBER(SEARCH(MID(S1699,_xlfn.SEQUENCE(LEN(S1699)),1),"ABCDEFGHIJKLMNOPQRSTUVWXYZabcdefghijklmnopqrstuvwxyz0123456789,")))),"")</f>
        <v/>
      </c>
      <c r="G1699" s="20" t="str" cm="1">
        <f t="array" ref="G1699">IF(TRIM(P1699)="","",IF(SUM(COUNTIF(P1699,{"*NLGD*","*FWG*"}))&gt;0,P1699,IF(SUM(COUNTIF(P1699,{"*GL*","*DGB*","*DGI*","*GT*","*CS*","*PWU*","*DBI*","*SWU*"}))=0,P1699,IF(IFERROR(VALUE(SUBSTITUTE(SUBSTITUTE(O1699,"W",""),"""","")),0)&gt;52,P1699&amp;"-OVRSIZE-",P1699))))</f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s="18" t="str">
        <v/>
      </c>
      <c r="O1699" s="15" t="str" cm="1">
        <f t="array" ref="O1699">IFERROR(_xlfn.LET(
_xlpm.clean,TRIM(SUBSTITUTE(SUBSTITUTE(P1699,CHAR(160),"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9" t="str">
        <f t="shared" si="27"/>
        <v/>
      </c>
    </row>
    <row r="1700" spans="3:19" ht="15.75" customHeight="1">
      <c r="C1700" s="15" t="str" cm="1">
        <f t="array" ref="C1700">IFERROR(_xlfn.TEXTJOIN("",TRUE,_xlfn._xlws.FILTER(MID(S1700,_xlfn.SEQUENCE(LEN(S1700)),1),ISNUMBER(SEARCH(MID(S1700,_xlfn.SEQUENCE(LEN(S1700)),1),"ABCDEFGHIJKLMNOPQRSTUVWXYZabcdefghijklmnopqrstuvwxyz0123456789,")))),"")</f>
        <v/>
      </c>
      <c r="G1700" s="20" t="str" cm="1">
        <f t="array" ref="G1700">IF(TRIM(P1700)="","",IF(SUM(COUNTIF(P1700,{"*NLGD*","*FWG*"}))&gt;0,P1700,IF(SUM(COUNTIF(P1700,{"*GL*","*DGB*","*DGI*","*GT*","*CS*","*PWU*","*DBI*","*SWU*"}))=0,P1700,IF(IFERROR(VALUE(SUBSTITUTE(SUBSTITUTE(O1700,"W",""),"""","")),0)&gt;52,P1700&amp;"-OVRSIZE-",P1700))))</f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s="18" t="str">
        <v/>
      </c>
      <c r="O1700" s="15" t="str" cm="1">
        <f t="array" ref="O1700">IFERROR(_xlfn.LET(
_xlpm.clean,TRIM(SUBSTITUTE(SUBSTITUTE(P1700,CHAR(160),"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0" t="str">
        <f t="shared" si="27"/>
        <v/>
      </c>
    </row>
    <row r="1701" spans="3:19" ht="15.75" customHeight="1">
      <c r="C1701" s="15" t="str" cm="1">
        <f t="array" ref="C1701">IFERROR(_xlfn.TEXTJOIN("",TRUE,_xlfn._xlws.FILTER(MID(S1701,_xlfn.SEQUENCE(LEN(S1701)),1),ISNUMBER(SEARCH(MID(S1701,_xlfn.SEQUENCE(LEN(S1701)),1),"ABCDEFGHIJKLMNOPQRSTUVWXYZabcdefghijklmnopqrstuvwxyz0123456789,")))),"")</f>
        <v/>
      </c>
      <c r="G1701" s="20" t="str" cm="1">
        <f t="array" ref="G1701">IF(TRIM(P1701)="","",IF(SUM(COUNTIF(P1701,{"*NLGD*","*FWG*"}))&gt;0,P1701,IF(SUM(COUNTIF(P1701,{"*GL*","*DGB*","*DGI*","*GT*","*CS*","*PWU*","*DBI*","*SWU*"}))=0,P1701,IF(IFERROR(VALUE(SUBSTITUTE(SUBSTITUTE(O1701,"W",""),"""","")),0)&gt;52,P1701&amp;"-OVRSIZE-",P1701))))</f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s="18" t="str">
        <v/>
      </c>
      <c r="O1701" s="15" t="str" cm="1">
        <f t="array" ref="O1701">IFERROR(_xlfn.LET(
_xlpm.clean,TRIM(SUBSTITUTE(SUBSTITUTE(P1701,CHAR(160),"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1" t="str">
        <f t="shared" si="27"/>
        <v/>
      </c>
    </row>
    <row r="1702" spans="3:19" ht="15.75" customHeight="1">
      <c r="C1702" s="15" t="str" cm="1">
        <f t="array" ref="C1702">IFERROR(_xlfn.TEXTJOIN("",TRUE,_xlfn._xlws.FILTER(MID(S1702,_xlfn.SEQUENCE(LEN(S1702)),1),ISNUMBER(SEARCH(MID(S1702,_xlfn.SEQUENCE(LEN(S1702)),1),"ABCDEFGHIJKLMNOPQRSTUVWXYZabcdefghijklmnopqrstuvwxyz0123456789,")))),"")</f>
        <v/>
      </c>
      <c r="G1702" s="20" t="str" cm="1">
        <f t="array" ref="G1702">IF(TRIM(P1702)="","",IF(SUM(COUNTIF(P1702,{"*NLGD*","*FWG*"}))&gt;0,P1702,IF(SUM(COUNTIF(P1702,{"*GL*","*DGB*","*DGI*","*GT*","*CS*","*PWU*","*DBI*","*SWU*"}))=0,P1702,IF(IFERROR(VALUE(SUBSTITUTE(SUBSTITUTE(O1702,"W",""),"""","")),0)&gt;52,P1702&amp;"-OVRSIZE-",P1702))))</f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s="18" t="str">
        <v/>
      </c>
      <c r="O1702" s="15" t="str" cm="1">
        <f t="array" ref="O1702">IFERROR(_xlfn.LET(
_xlpm.clean,TRIM(SUBSTITUTE(SUBSTITUTE(P1702,CHAR(160),"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2" t="str">
        <f t="shared" si="27"/>
        <v/>
      </c>
    </row>
    <row r="1703" spans="3:19" ht="15.75" customHeight="1">
      <c r="C1703" s="15" t="str" cm="1">
        <f t="array" ref="C1703">IFERROR(_xlfn.TEXTJOIN("",TRUE,_xlfn._xlws.FILTER(MID(S1703,_xlfn.SEQUENCE(LEN(S1703)),1),ISNUMBER(SEARCH(MID(S1703,_xlfn.SEQUENCE(LEN(S1703)),1),"ABCDEFGHIJKLMNOPQRSTUVWXYZabcdefghijklmnopqrstuvwxyz0123456789,")))),"")</f>
        <v/>
      </c>
      <c r="G1703" s="20" t="str" cm="1">
        <f t="array" ref="G1703">IF(TRIM(P1703)="","",IF(SUM(COUNTIF(P1703,{"*NLGD*","*FWG*"}))&gt;0,P1703,IF(SUM(COUNTIF(P1703,{"*GL*","*DGB*","*DGI*","*GT*","*CS*","*PWU*","*DBI*","*SWU*"}))=0,P1703,IF(IFERROR(VALUE(SUBSTITUTE(SUBSTITUTE(O1703,"W",""),"""","")),0)&gt;52,P1703&amp;"-OVRSIZE-",P1703))))</f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s="18" t="str">
        <v/>
      </c>
      <c r="O1703" s="15" t="str" cm="1">
        <f t="array" ref="O1703">IFERROR(_xlfn.LET(
_xlpm.clean,TRIM(SUBSTITUTE(SUBSTITUTE(P1703,CHAR(160),"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3" t="str">
        <f t="shared" si="27"/>
        <v/>
      </c>
    </row>
    <row r="1704" spans="3:19" ht="15.75" customHeight="1">
      <c r="C1704" s="15" t="str" cm="1">
        <f t="array" ref="C1704">IFERROR(_xlfn.TEXTJOIN("",TRUE,_xlfn._xlws.FILTER(MID(S1704,_xlfn.SEQUENCE(LEN(S1704)),1),ISNUMBER(SEARCH(MID(S1704,_xlfn.SEQUENCE(LEN(S1704)),1),"ABCDEFGHIJKLMNOPQRSTUVWXYZabcdefghijklmnopqrstuvwxyz0123456789,")))),"")</f>
        <v/>
      </c>
      <c r="G1704" s="20" t="str" cm="1">
        <f t="array" ref="G1704">IF(TRIM(P1704)="","",IF(SUM(COUNTIF(P1704,{"*NLGD*","*FWG*"}))&gt;0,P1704,IF(SUM(COUNTIF(P1704,{"*GL*","*DGB*","*DGI*","*GT*","*CS*","*PWU*","*DBI*","*SWU*"}))=0,P1704,IF(IFERROR(VALUE(SUBSTITUTE(SUBSTITUTE(O1704,"W",""),"""","")),0)&gt;52,P1704&amp;"-OVRSIZE-",P1704))))</f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s="18" t="str">
        <v/>
      </c>
      <c r="O1704" s="15" t="str" cm="1">
        <f t="array" ref="O1704">IFERROR(_xlfn.LET(
_xlpm.clean,TRIM(SUBSTITUTE(SUBSTITUTE(P1704,CHAR(160),"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4" t="str">
        <f t="shared" si="27"/>
        <v/>
      </c>
    </row>
    <row r="1705" spans="3:19" ht="15.75" customHeight="1">
      <c r="C1705" s="15" t="str" cm="1">
        <f t="array" ref="C1705">IFERROR(_xlfn.TEXTJOIN("",TRUE,_xlfn._xlws.FILTER(MID(S1705,_xlfn.SEQUENCE(LEN(S1705)),1),ISNUMBER(SEARCH(MID(S1705,_xlfn.SEQUENCE(LEN(S1705)),1),"ABCDEFGHIJKLMNOPQRSTUVWXYZabcdefghijklmnopqrstuvwxyz0123456789,")))),"")</f>
        <v/>
      </c>
      <c r="G1705" s="20" t="str" cm="1">
        <f t="array" ref="G1705">IF(TRIM(P1705)="","",IF(SUM(COUNTIF(P1705,{"*NLGD*","*FWG*"}))&gt;0,P1705,IF(SUM(COUNTIF(P1705,{"*GL*","*DGB*","*DGI*","*GT*","*CS*","*PWU*","*DBI*","*SWU*"}))=0,P1705,IF(IFERROR(VALUE(SUBSTITUTE(SUBSTITUTE(O1705,"W",""),"""","")),0)&gt;52,P1705&amp;"-OVRSIZE-",P1705))))</f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s="18" t="str">
        <v/>
      </c>
      <c r="O1705" s="15" t="str" cm="1">
        <f t="array" ref="O1705">IFERROR(_xlfn.LET(
_xlpm.clean,TRIM(SUBSTITUTE(SUBSTITUTE(P1705,CHAR(160),"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5" t="str">
        <f t="shared" si="27"/>
        <v/>
      </c>
    </row>
    <row r="1706" spans="3:19" ht="15.75" customHeight="1">
      <c r="C1706" s="15" t="str" cm="1">
        <f t="array" ref="C1706">IFERROR(_xlfn.TEXTJOIN("",TRUE,_xlfn._xlws.FILTER(MID(S1706,_xlfn.SEQUENCE(LEN(S1706)),1),ISNUMBER(SEARCH(MID(S1706,_xlfn.SEQUENCE(LEN(S1706)),1),"ABCDEFGHIJKLMNOPQRSTUVWXYZabcdefghijklmnopqrstuvwxyz0123456789,")))),"")</f>
        <v/>
      </c>
      <c r="G1706" s="20" t="str" cm="1">
        <f t="array" ref="G1706">IF(TRIM(P1706)="","",IF(SUM(COUNTIF(P1706,{"*NLGD*","*FWG*"}))&gt;0,P1706,IF(SUM(COUNTIF(P1706,{"*GL*","*DGB*","*DGI*","*GT*","*CS*","*PWU*","*DBI*","*SWU*"}))=0,P1706,IF(IFERROR(VALUE(SUBSTITUTE(SUBSTITUTE(O1706,"W",""),"""","")),0)&gt;52,P1706&amp;"-OVRSIZE-",P1706))))</f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s="18" t="str">
        <v/>
      </c>
      <c r="O1706" s="15" t="str" cm="1">
        <f t="array" ref="O1706">IFERROR(_xlfn.LET(
_xlpm.clean,TRIM(SUBSTITUTE(SUBSTITUTE(P1706,CHAR(160),"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6" t="str">
        <f t="shared" si="27"/>
        <v/>
      </c>
    </row>
    <row r="1707" spans="3:19" ht="15.75" customHeight="1">
      <c r="C1707" s="15" t="str" cm="1">
        <f t="array" ref="C1707">IFERROR(_xlfn.TEXTJOIN("",TRUE,_xlfn._xlws.FILTER(MID(S1707,_xlfn.SEQUENCE(LEN(S1707)),1),ISNUMBER(SEARCH(MID(S1707,_xlfn.SEQUENCE(LEN(S1707)),1),"ABCDEFGHIJKLMNOPQRSTUVWXYZabcdefghijklmnopqrstuvwxyz0123456789,")))),"")</f>
        <v/>
      </c>
      <c r="G1707" s="20" t="str" cm="1">
        <f t="array" ref="G1707">IF(TRIM(P1707)="","",IF(SUM(COUNTIF(P1707,{"*NLGD*","*FWG*"}))&gt;0,P1707,IF(SUM(COUNTIF(P1707,{"*GL*","*DGB*","*DGI*","*GT*","*CS*","*PWU*","*DBI*","*SWU*"}))=0,P1707,IF(IFERROR(VALUE(SUBSTITUTE(SUBSTITUTE(O1707,"W",""),"""","")),0)&gt;52,P1707&amp;"-OVRSIZE-",P1707))))</f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s="18" t="str">
        <v/>
      </c>
      <c r="O1707" s="15" t="str" cm="1">
        <f t="array" ref="O1707">IFERROR(_xlfn.LET(
_xlpm.clean,TRIM(SUBSTITUTE(SUBSTITUTE(P1707,CHAR(160),"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7" t="str">
        <f t="shared" si="27"/>
        <v/>
      </c>
    </row>
    <row r="1708" spans="3:19" ht="15.75" customHeight="1">
      <c r="C1708" s="15" t="str" cm="1">
        <f t="array" ref="C1708">IFERROR(_xlfn.TEXTJOIN("",TRUE,_xlfn._xlws.FILTER(MID(S1708,_xlfn.SEQUENCE(LEN(S1708)),1),ISNUMBER(SEARCH(MID(S1708,_xlfn.SEQUENCE(LEN(S1708)),1),"ABCDEFGHIJKLMNOPQRSTUVWXYZabcdefghijklmnopqrstuvwxyz0123456789,")))),"")</f>
        <v/>
      </c>
      <c r="G1708" s="20" t="str" cm="1">
        <f t="array" ref="G1708">IF(TRIM(P1708)="","",IF(SUM(COUNTIF(P1708,{"*NLGD*","*FWG*"}))&gt;0,P1708,IF(SUM(COUNTIF(P1708,{"*GL*","*DGB*","*DGI*","*GT*","*CS*","*PWU*","*DBI*","*SWU*"}))=0,P1708,IF(IFERROR(VALUE(SUBSTITUTE(SUBSTITUTE(O1708,"W",""),"""","")),0)&gt;52,P1708&amp;"-OVRSIZE-",P1708))))</f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s="18" t="str">
        <v/>
      </c>
      <c r="O1708" s="15" t="str" cm="1">
        <f t="array" ref="O1708">IFERROR(_xlfn.LET(
_xlpm.clean,TRIM(SUBSTITUTE(SUBSTITUTE(P1708,CHAR(160),"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8" t="str">
        <f t="shared" si="27"/>
        <v/>
      </c>
    </row>
    <row r="1709" spans="3:19" ht="15.75" customHeight="1">
      <c r="C1709" s="15" t="str" cm="1">
        <f t="array" ref="C1709">IFERROR(_xlfn.TEXTJOIN("",TRUE,_xlfn._xlws.FILTER(MID(S1709,_xlfn.SEQUENCE(LEN(S1709)),1),ISNUMBER(SEARCH(MID(S1709,_xlfn.SEQUENCE(LEN(S1709)),1),"ABCDEFGHIJKLMNOPQRSTUVWXYZabcdefghijklmnopqrstuvwxyz0123456789,")))),"")</f>
        <v/>
      </c>
      <c r="G1709" s="20" t="str" cm="1">
        <f t="array" ref="G1709">IF(TRIM(P1709)="","",IF(SUM(COUNTIF(P1709,{"*NLGD*","*FWG*"}))&gt;0,P1709,IF(SUM(COUNTIF(P1709,{"*GL*","*DGB*","*DGI*","*GT*","*CS*","*PWU*","*DBI*","*SWU*"}))=0,P1709,IF(IFERROR(VALUE(SUBSTITUTE(SUBSTITUTE(O1709,"W",""),"""","")),0)&gt;52,P1709&amp;"-OVRSIZE-",P1709))))</f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s="18" t="str">
        <v/>
      </c>
      <c r="O1709" s="15" t="str" cm="1">
        <f t="array" ref="O1709">IFERROR(_xlfn.LET(
_xlpm.clean,TRIM(SUBSTITUTE(SUBSTITUTE(P1709,CHAR(160),"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9" t="str">
        <f t="shared" si="27"/>
        <v/>
      </c>
    </row>
    <row r="1710" spans="3:19" ht="15.75" customHeight="1">
      <c r="C1710" s="15" t="str" cm="1">
        <f t="array" ref="C1710">IFERROR(_xlfn.TEXTJOIN("",TRUE,_xlfn._xlws.FILTER(MID(S1710,_xlfn.SEQUENCE(LEN(S1710)),1),ISNUMBER(SEARCH(MID(S1710,_xlfn.SEQUENCE(LEN(S1710)),1),"ABCDEFGHIJKLMNOPQRSTUVWXYZabcdefghijklmnopqrstuvwxyz0123456789,")))),"")</f>
        <v/>
      </c>
      <c r="G1710" s="20" t="str" cm="1">
        <f t="array" ref="G1710">IF(TRIM(P1710)="","",IF(SUM(COUNTIF(P1710,{"*NLGD*","*FWG*"}))&gt;0,P1710,IF(SUM(COUNTIF(P1710,{"*GL*","*DGB*","*DGI*","*GT*","*CS*","*PWU*","*DBI*","*SWU*"}))=0,P1710,IF(IFERROR(VALUE(SUBSTITUTE(SUBSTITUTE(O1710,"W",""),"""","")),0)&gt;52,P1710&amp;"-OVRSIZE-",P1710))))</f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s="18" t="str">
        <v/>
      </c>
      <c r="O1710" s="15" t="str" cm="1">
        <f t="array" ref="O1710">IFERROR(_xlfn.LET(
_xlpm.clean,TRIM(SUBSTITUTE(SUBSTITUTE(P1710,CHAR(160),"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0" t="str">
        <f t="shared" si="27"/>
        <v/>
      </c>
    </row>
    <row r="1711" spans="3:19" ht="15.75" customHeight="1">
      <c r="C1711" s="15" t="str" cm="1">
        <f t="array" ref="C1711">IFERROR(_xlfn.TEXTJOIN("",TRUE,_xlfn._xlws.FILTER(MID(S1711,_xlfn.SEQUENCE(LEN(S1711)),1),ISNUMBER(SEARCH(MID(S1711,_xlfn.SEQUENCE(LEN(S1711)),1),"ABCDEFGHIJKLMNOPQRSTUVWXYZabcdefghijklmnopqrstuvwxyz0123456789,")))),"")</f>
        <v/>
      </c>
      <c r="G1711" s="20" t="str" cm="1">
        <f t="array" ref="G1711">IF(TRIM(P1711)="","",IF(SUM(COUNTIF(P1711,{"*NLGD*","*FWG*"}))&gt;0,P1711,IF(SUM(COUNTIF(P1711,{"*GL*","*DGB*","*DGI*","*GT*","*CS*","*PWU*","*DBI*","*SWU*"}))=0,P1711,IF(IFERROR(VALUE(SUBSTITUTE(SUBSTITUTE(O1711,"W",""),"""","")),0)&gt;52,P1711&amp;"-OVRSIZE-",P1711))))</f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s="18" t="str">
        <v/>
      </c>
      <c r="O1711" s="15" t="str" cm="1">
        <f t="array" ref="O1711">IFERROR(_xlfn.LET(
_xlpm.clean,TRIM(SUBSTITUTE(SUBSTITUTE(P1711,CHAR(160),"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1" t="str">
        <f t="shared" si="27"/>
        <v/>
      </c>
    </row>
    <row r="1712" spans="3:19" ht="15.75" customHeight="1">
      <c r="C1712" s="15" t="str" cm="1">
        <f t="array" ref="C1712">IFERROR(_xlfn.TEXTJOIN("",TRUE,_xlfn._xlws.FILTER(MID(S1712,_xlfn.SEQUENCE(LEN(S1712)),1),ISNUMBER(SEARCH(MID(S1712,_xlfn.SEQUENCE(LEN(S1712)),1),"ABCDEFGHIJKLMNOPQRSTUVWXYZabcdefghijklmnopqrstuvwxyz0123456789,")))),"")</f>
        <v/>
      </c>
      <c r="G1712" s="20" t="str" cm="1">
        <f t="array" ref="G1712">IF(TRIM(P1712)="","",IF(SUM(COUNTIF(P1712,{"*NLGD*","*FWG*"}))&gt;0,P1712,IF(SUM(COUNTIF(P1712,{"*GL*","*DGB*","*DGI*","*GT*","*CS*","*PWU*","*DBI*","*SWU*"}))=0,P1712,IF(IFERROR(VALUE(SUBSTITUTE(SUBSTITUTE(O1712,"W",""),"""","")),0)&gt;52,P1712&amp;"-OVRSIZE-",P1712))))</f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s="18" t="str">
        <v/>
      </c>
      <c r="O1712" s="15" t="str" cm="1">
        <f t="array" ref="O1712">IFERROR(_xlfn.LET(
_xlpm.clean,TRIM(SUBSTITUTE(SUBSTITUTE(P1712,CHAR(160),"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2" t="str">
        <f t="shared" si="27"/>
        <v/>
      </c>
    </row>
    <row r="1713" spans="3:19" ht="15.75" customHeight="1">
      <c r="C1713" s="15" t="str" cm="1">
        <f t="array" ref="C1713">IFERROR(_xlfn.TEXTJOIN("",TRUE,_xlfn._xlws.FILTER(MID(S1713,_xlfn.SEQUENCE(LEN(S1713)),1),ISNUMBER(SEARCH(MID(S1713,_xlfn.SEQUENCE(LEN(S1713)),1),"ABCDEFGHIJKLMNOPQRSTUVWXYZabcdefghijklmnopqrstuvwxyz0123456789,")))),"")</f>
        <v/>
      </c>
      <c r="G1713" s="20" t="str" cm="1">
        <f t="array" ref="G1713">IF(TRIM(P1713)="","",IF(SUM(COUNTIF(P1713,{"*NLGD*","*FWG*"}))&gt;0,P1713,IF(SUM(COUNTIF(P1713,{"*GL*","*DGB*","*DGI*","*GT*","*CS*","*PWU*","*DBI*","*SWU*"}))=0,P1713,IF(IFERROR(VALUE(SUBSTITUTE(SUBSTITUTE(O1713,"W",""),"""","")),0)&gt;52,P1713&amp;"-OVRSIZE-",P1713))))</f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s="18" t="str">
        <v/>
      </c>
      <c r="O1713" s="15" t="str" cm="1">
        <f t="array" ref="O1713">IFERROR(_xlfn.LET(
_xlpm.clean,TRIM(SUBSTITUTE(SUBSTITUTE(P1713,CHAR(160),"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3" t="str">
        <f t="shared" si="27"/>
        <v/>
      </c>
    </row>
    <row r="1714" spans="3:19" ht="15.75" customHeight="1">
      <c r="C1714" s="15" t="str" cm="1">
        <f t="array" ref="C1714">IFERROR(_xlfn.TEXTJOIN("",TRUE,_xlfn._xlws.FILTER(MID(S1714,_xlfn.SEQUENCE(LEN(S1714)),1),ISNUMBER(SEARCH(MID(S1714,_xlfn.SEQUENCE(LEN(S1714)),1),"ABCDEFGHIJKLMNOPQRSTUVWXYZabcdefghijklmnopqrstuvwxyz0123456789,")))),"")</f>
        <v/>
      </c>
      <c r="G1714" s="20" t="str" cm="1">
        <f t="array" ref="G1714">IF(TRIM(P1714)="","",IF(SUM(COUNTIF(P1714,{"*NLGD*","*FWG*"}))&gt;0,P1714,IF(SUM(COUNTIF(P1714,{"*GL*","*DGB*","*DGI*","*GT*","*CS*","*PWU*","*DBI*","*SWU*"}))=0,P1714,IF(IFERROR(VALUE(SUBSTITUTE(SUBSTITUTE(O1714,"W",""),"""","")),0)&gt;52,P1714&amp;"-OVRSIZE-",P1714))))</f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s="18" t="str">
        <v/>
      </c>
      <c r="O1714" s="15" t="str" cm="1">
        <f t="array" ref="O1714">IFERROR(_xlfn.LET(
_xlpm.clean,TRIM(SUBSTITUTE(SUBSTITUTE(P1714,CHAR(160),"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4" t="str">
        <f t="shared" si="27"/>
        <v/>
      </c>
    </row>
    <row r="1715" spans="3:19" ht="15.75" customHeight="1">
      <c r="C1715" s="15" t="str" cm="1">
        <f t="array" ref="C1715">IFERROR(_xlfn.TEXTJOIN("",TRUE,_xlfn._xlws.FILTER(MID(S1715,_xlfn.SEQUENCE(LEN(S1715)),1),ISNUMBER(SEARCH(MID(S1715,_xlfn.SEQUENCE(LEN(S1715)),1),"ABCDEFGHIJKLMNOPQRSTUVWXYZabcdefghijklmnopqrstuvwxyz0123456789,")))),"")</f>
        <v/>
      </c>
      <c r="G1715" s="20" t="str" cm="1">
        <f t="array" ref="G1715">IF(TRIM(P1715)="","",IF(SUM(COUNTIF(P1715,{"*NLGD*","*FWG*"}))&gt;0,P1715,IF(SUM(COUNTIF(P1715,{"*GL*","*DGB*","*DGI*","*GT*","*CS*","*PWU*","*DBI*","*SWU*"}))=0,P1715,IF(IFERROR(VALUE(SUBSTITUTE(SUBSTITUTE(O1715,"W",""),"""","")),0)&gt;52,P1715&amp;"-OVRSIZE-",P1715))))</f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s="18" t="str">
        <v/>
      </c>
      <c r="O1715" s="15" t="str" cm="1">
        <f t="array" ref="O1715">IFERROR(_xlfn.LET(
_xlpm.clean,TRIM(SUBSTITUTE(SUBSTITUTE(P1715,CHAR(160),"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5" t="str">
        <f t="shared" si="27"/>
        <v/>
      </c>
    </row>
    <row r="1716" spans="3:19" ht="15.75" customHeight="1">
      <c r="C1716" s="15" t="str" cm="1">
        <f t="array" ref="C1716">IFERROR(_xlfn.TEXTJOIN("",TRUE,_xlfn._xlws.FILTER(MID(S1716,_xlfn.SEQUENCE(LEN(S1716)),1),ISNUMBER(SEARCH(MID(S1716,_xlfn.SEQUENCE(LEN(S1716)),1),"ABCDEFGHIJKLMNOPQRSTUVWXYZabcdefghijklmnopqrstuvwxyz0123456789,")))),"")</f>
        <v/>
      </c>
      <c r="G1716" s="20" t="str" cm="1">
        <f t="array" ref="G1716">IF(TRIM(P1716)="","",IF(SUM(COUNTIF(P1716,{"*NLGD*","*FWG*"}))&gt;0,P1716,IF(SUM(COUNTIF(P1716,{"*GL*","*DGB*","*DGI*","*GT*","*CS*","*PWU*","*DBI*","*SWU*"}))=0,P1716,IF(IFERROR(VALUE(SUBSTITUTE(SUBSTITUTE(O1716,"W",""),"""","")),0)&gt;52,P1716&amp;"-OVRSIZE-",P1716))))</f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s="18" t="str">
        <v/>
      </c>
      <c r="O1716" s="15" t="str" cm="1">
        <f t="array" ref="O1716">IFERROR(_xlfn.LET(
_xlpm.clean,TRIM(SUBSTITUTE(SUBSTITUTE(P1716,CHAR(160),"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6" t="str">
        <f t="shared" si="27"/>
        <v/>
      </c>
    </row>
    <row r="1717" spans="3:19" ht="15.75" customHeight="1">
      <c r="C1717" s="15" t="str" cm="1">
        <f t="array" ref="C1717">IFERROR(_xlfn.TEXTJOIN("",TRUE,_xlfn._xlws.FILTER(MID(S1717,_xlfn.SEQUENCE(LEN(S1717)),1),ISNUMBER(SEARCH(MID(S1717,_xlfn.SEQUENCE(LEN(S1717)),1),"ABCDEFGHIJKLMNOPQRSTUVWXYZabcdefghijklmnopqrstuvwxyz0123456789,")))),"")</f>
        <v/>
      </c>
      <c r="G1717" s="20" t="str" cm="1">
        <f t="array" ref="G1717">IF(TRIM(P1717)="","",IF(SUM(COUNTIF(P1717,{"*NLGD*","*FWG*"}))&gt;0,P1717,IF(SUM(COUNTIF(P1717,{"*GL*","*DGB*","*DGI*","*GT*","*CS*","*PWU*","*DBI*","*SWU*"}))=0,P1717,IF(IFERROR(VALUE(SUBSTITUTE(SUBSTITUTE(O1717,"W",""),"""","")),0)&gt;52,P1717&amp;"-OVRSIZE-",P1717))))</f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s="18" t="str">
        <v/>
      </c>
      <c r="O1717" s="15" t="str" cm="1">
        <f t="array" ref="O1717">IFERROR(_xlfn.LET(
_xlpm.clean,TRIM(SUBSTITUTE(SUBSTITUTE(P1717,CHAR(160),"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7" t="str">
        <f t="shared" si="27"/>
        <v/>
      </c>
    </row>
    <row r="1718" spans="3:19" ht="15.75" customHeight="1">
      <c r="C1718" s="15" t="str" cm="1">
        <f t="array" ref="C1718">IFERROR(_xlfn.TEXTJOIN("",TRUE,_xlfn._xlws.FILTER(MID(S1718,_xlfn.SEQUENCE(LEN(S1718)),1),ISNUMBER(SEARCH(MID(S1718,_xlfn.SEQUENCE(LEN(S1718)),1),"ABCDEFGHIJKLMNOPQRSTUVWXYZabcdefghijklmnopqrstuvwxyz0123456789,")))),"")</f>
        <v/>
      </c>
      <c r="G1718" s="20" t="str" cm="1">
        <f t="array" ref="G1718">IF(TRIM(P1718)="","",IF(SUM(COUNTIF(P1718,{"*NLGD*","*FWG*"}))&gt;0,P1718,IF(SUM(COUNTIF(P1718,{"*GL*","*DGB*","*DGI*","*GT*","*CS*","*PWU*","*DBI*","*SWU*"}))=0,P1718,IF(IFERROR(VALUE(SUBSTITUTE(SUBSTITUTE(O1718,"W",""),"""","")),0)&gt;52,P1718&amp;"-OVRSIZE-",P1718))))</f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s="18" t="str">
        <v/>
      </c>
      <c r="O1718" s="15" t="str" cm="1">
        <f t="array" ref="O1718">IFERROR(_xlfn.LET(
_xlpm.clean,TRIM(SUBSTITUTE(SUBSTITUTE(P1718,CHAR(160),"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8" t="str">
        <f t="shared" si="27"/>
        <v/>
      </c>
    </row>
    <row r="1719" spans="3:19" ht="15.75" customHeight="1">
      <c r="C1719" s="15" t="str" cm="1">
        <f t="array" ref="C1719">IFERROR(_xlfn.TEXTJOIN("",TRUE,_xlfn._xlws.FILTER(MID(S1719,_xlfn.SEQUENCE(LEN(S1719)),1),ISNUMBER(SEARCH(MID(S1719,_xlfn.SEQUENCE(LEN(S1719)),1),"ABCDEFGHIJKLMNOPQRSTUVWXYZabcdefghijklmnopqrstuvwxyz0123456789,")))),"")</f>
        <v/>
      </c>
      <c r="G1719" s="20" t="str" cm="1">
        <f t="array" ref="G1719">IF(TRIM(P1719)="","",IF(SUM(COUNTIF(P1719,{"*NLGD*","*FWG*"}))&gt;0,P1719,IF(SUM(COUNTIF(P1719,{"*GL*","*DGB*","*DGI*","*GT*","*CS*","*PWU*","*DBI*","*SWU*"}))=0,P1719,IF(IFERROR(VALUE(SUBSTITUTE(SUBSTITUTE(O1719,"W",""),"""","")),0)&gt;52,P1719&amp;"-OVRSIZE-",P1719))))</f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s="18" t="str">
        <v/>
      </c>
      <c r="O1719" s="15" t="str" cm="1">
        <f t="array" ref="O1719">IFERROR(_xlfn.LET(
_xlpm.clean,TRIM(SUBSTITUTE(SUBSTITUTE(P1719,CHAR(160),"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9" t="str">
        <f t="shared" si="27"/>
        <v/>
      </c>
    </row>
    <row r="1720" spans="3:19" ht="15.75" customHeight="1">
      <c r="C1720" s="15" t="str" cm="1">
        <f t="array" ref="C1720">IFERROR(_xlfn.TEXTJOIN("",TRUE,_xlfn._xlws.FILTER(MID(S1720,_xlfn.SEQUENCE(LEN(S1720)),1),ISNUMBER(SEARCH(MID(S1720,_xlfn.SEQUENCE(LEN(S1720)),1),"ABCDEFGHIJKLMNOPQRSTUVWXYZabcdefghijklmnopqrstuvwxyz0123456789,")))),"")</f>
        <v/>
      </c>
      <c r="G1720" s="20" t="str" cm="1">
        <f t="array" ref="G1720">IF(TRIM(P1720)="","",IF(SUM(COUNTIF(P1720,{"*NLGD*","*FWG*"}))&gt;0,P1720,IF(SUM(COUNTIF(P1720,{"*GL*","*DGB*","*DGI*","*GT*","*CS*","*PWU*","*DBI*","*SWU*"}))=0,P1720,IF(IFERROR(VALUE(SUBSTITUTE(SUBSTITUTE(O1720,"W",""),"""","")),0)&gt;52,P1720&amp;"-OVRSIZE-",P1720))))</f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s="18" t="str">
        <v/>
      </c>
      <c r="O1720" s="15" t="str" cm="1">
        <f t="array" ref="O1720">IFERROR(_xlfn.LET(
_xlpm.clean,TRIM(SUBSTITUTE(SUBSTITUTE(P1720,CHAR(160),"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0" t="str">
        <f t="shared" si="27"/>
        <v/>
      </c>
    </row>
    <row r="1721" spans="3:19" ht="15.75" customHeight="1">
      <c r="C1721" s="15" t="str" cm="1">
        <f t="array" ref="C1721">IFERROR(_xlfn.TEXTJOIN("",TRUE,_xlfn._xlws.FILTER(MID(S1721,_xlfn.SEQUENCE(LEN(S1721)),1),ISNUMBER(SEARCH(MID(S1721,_xlfn.SEQUENCE(LEN(S1721)),1),"ABCDEFGHIJKLMNOPQRSTUVWXYZabcdefghijklmnopqrstuvwxyz0123456789,")))),"")</f>
        <v/>
      </c>
      <c r="G1721" s="20" t="str" cm="1">
        <f t="array" ref="G1721">IF(TRIM(P1721)="","",IF(SUM(COUNTIF(P1721,{"*NLGD*","*FWG*"}))&gt;0,P1721,IF(SUM(COUNTIF(P1721,{"*GL*","*DGB*","*DGI*","*GT*","*CS*","*PWU*","*DBI*","*SWU*"}))=0,P1721,IF(IFERROR(VALUE(SUBSTITUTE(SUBSTITUTE(O1721,"W",""),"""","")),0)&gt;52,P1721&amp;"-OVRSIZE-",P1721))))</f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s="18" t="str">
        <v/>
      </c>
      <c r="O1721" s="15" t="str" cm="1">
        <f t="array" ref="O1721">IFERROR(_xlfn.LET(
_xlpm.clean,TRIM(SUBSTITUTE(SUBSTITUTE(P1721,CHAR(160),"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1" t="str">
        <f t="shared" si="27"/>
        <v/>
      </c>
    </row>
    <row r="1722" spans="3:19" ht="15.75" customHeight="1">
      <c r="C1722" s="15" t="str" cm="1">
        <f t="array" ref="C1722">IFERROR(_xlfn.TEXTJOIN("",TRUE,_xlfn._xlws.FILTER(MID(S1722,_xlfn.SEQUENCE(LEN(S1722)),1),ISNUMBER(SEARCH(MID(S1722,_xlfn.SEQUENCE(LEN(S1722)),1),"ABCDEFGHIJKLMNOPQRSTUVWXYZabcdefghijklmnopqrstuvwxyz0123456789,")))),"")</f>
        <v/>
      </c>
      <c r="G1722" s="20" t="str" cm="1">
        <f t="array" ref="G1722">IF(TRIM(P1722)="","",IF(SUM(COUNTIF(P1722,{"*NLGD*","*FWG*"}))&gt;0,P1722,IF(SUM(COUNTIF(P1722,{"*GL*","*DGB*","*DGI*","*GT*","*CS*","*PWU*","*DBI*","*SWU*"}))=0,P1722,IF(IFERROR(VALUE(SUBSTITUTE(SUBSTITUTE(O1722,"W",""),"""","")),0)&gt;52,P1722&amp;"-OVRSIZE-",P1722))))</f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s="18" t="str">
        <v/>
      </c>
      <c r="O1722" s="15" t="str" cm="1">
        <f t="array" ref="O1722">IFERROR(_xlfn.LET(
_xlpm.clean,TRIM(SUBSTITUTE(SUBSTITUTE(P1722,CHAR(160),"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2" t="str">
        <f t="shared" si="27"/>
        <v/>
      </c>
    </row>
    <row r="1723" spans="3:19" ht="15.75" customHeight="1">
      <c r="C1723" s="15" t="str" cm="1">
        <f t="array" ref="C1723">IFERROR(_xlfn.TEXTJOIN("",TRUE,_xlfn._xlws.FILTER(MID(S1723,_xlfn.SEQUENCE(LEN(S1723)),1),ISNUMBER(SEARCH(MID(S1723,_xlfn.SEQUENCE(LEN(S1723)),1),"ABCDEFGHIJKLMNOPQRSTUVWXYZabcdefghijklmnopqrstuvwxyz0123456789,")))),"")</f>
        <v/>
      </c>
      <c r="G1723" s="20" t="str" cm="1">
        <f t="array" ref="G1723">IF(TRIM(P1723)="","",IF(SUM(COUNTIF(P1723,{"*NLGD*","*FWG*"}))&gt;0,P1723,IF(SUM(COUNTIF(P1723,{"*GL*","*DGB*","*DGI*","*GT*","*CS*","*PWU*","*DBI*","*SWU*"}))=0,P1723,IF(IFERROR(VALUE(SUBSTITUTE(SUBSTITUTE(O1723,"W",""),"""","")),0)&gt;52,P1723&amp;"-OVRSIZE-",P1723))))</f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s="18" t="str">
        <v/>
      </c>
      <c r="O1723" s="15" t="str" cm="1">
        <f t="array" ref="O1723">IFERROR(_xlfn.LET(
_xlpm.clean,TRIM(SUBSTITUTE(SUBSTITUTE(P1723,CHAR(160),"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3" t="str">
        <f t="shared" si="27"/>
        <v/>
      </c>
    </row>
    <row r="1724" spans="3:19" ht="15.75" customHeight="1">
      <c r="C1724" s="15" t="str" cm="1">
        <f t="array" ref="C1724">IFERROR(_xlfn.TEXTJOIN("",TRUE,_xlfn._xlws.FILTER(MID(S1724,_xlfn.SEQUENCE(LEN(S1724)),1),ISNUMBER(SEARCH(MID(S1724,_xlfn.SEQUENCE(LEN(S1724)),1),"ABCDEFGHIJKLMNOPQRSTUVWXYZabcdefghijklmnopqrstuvwxyz0123456789,")))),"")</f>
        <v/>
      </c>
      <c r="G1724" s="20" t="str" cm="1">
        <f t="array" ref="G1724">IF(TRIM(P1724)="","",IF(SUM(COUNTIF(P1724,{"*NLGD*","*FWG*"}))&gt;0,P1724,IF(SUM(COUNTIF(P1724,{"*GL*","*DGB*","*DGI*","*GT*","*CS*","*PWU*","*DBI*","*SWU*"}))=0,P1724,IF(IFERROR(VALUE(SUBSTITUTE(SUBSTITUTE(O1724,"W",""),"""","")),0)&gt;52,P1724&amp;"-OVRSIZE-",P1724))))</f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s="18" t="str">
        <v/>
      </c>
      <c r="O1724" s="15" t="str" cm="1">
        <f t="array" ref="O1724">IFERROR(_xlfn.LET(
_xlpm.clean,TRIM(SUBSTITUTE(SUBSTITUTE(P1724,CHAR(160),"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4" t="str">
        <f t="shared" si="27"/>
        <v/>
      </c>
    </row>
    <row r="1725" spans="3:19" ht="15.75" customHeight="1">
      <c r="C1725" s="15" t="str" cm="1">
        <f t="array" ref="C1725">IFERROR(_xlfn.TEXTJOIN("",TRUE,_xlfn._xlws.FILTER(MID(S1725,_xlfn.SEQUENCE(LEN(S1725)),1),ISNUMBER(SEARCH(MID(S1725,_xlfn.SEQUENCE(LEN(S1725)),1),"ABCDEFGHIJKLMNOPQRSTUVWXYZabcdefghijklmnopqrstuvwxyz0123456789,")))),"")</f>
        <v/>
      </c>
      <c r="G1725" s="20" t="str" cm="1">
        <f t="array" ref="G1725">IF(TRIM(P1725)="","",IF(SUM(COUNTIF(P1725,{"*NLGD*","*FWG*"}))&gt;0,P1725,IF(SUM(COUNTIF(P1725,{"*GL*","*DGB*","*DGI*","*GT*","*CS*","*PWU*","*DBI*","*SWU*"}))=0,P1725,IF(IFERROR(VALUE(SUBSTITUTE(SUBSTITUTE(O1725,"W",""),"""","")),0)&gt;52,P1725&amp;"-OVRSIZE-",P1725))))</f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s="18" t="str">
        <v/>
      </c>
      <c r="O1725" s="15" t="str" cm="1">
        <f t="array" ref="O1725">IFERROR(_xlfn.LET(
_xlpm.clean,TRIM(SUBSTITUTE(SUBSTITUTE(P1725,CHAR(160),"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5" t="str">
        <f t="shared" si="27"/>
        <v/>
      </c>
    </row>
    <row r="1726" spans="3:19" ht="15.75" customHeight="1">
      <c r="C1726" s="15" t="str" cm="1">
        <f t="array" ref="C1726">IFERROR(_xlfn.TEXTJOIN("",TRUE,_xlfn._xlws.FILTER(MID(S1726,_xlfn.SEQUENCE(LEN(S1726)),1),ISNUMBER(SEARCH(MID(S1726,_xlfn.SEQUENCE(LEN(S1726)),1),"ABCDEFGHIJKLMNOPQRSTUVWXYZabcdefghijklmnopqrstuvwxyz0123456789,")))),"")</f>
        <v/>
      </c>
      <c r="G1726" s="20" t="str" cm="1">
        <f t="array" ref="G1726">IF(TRIM(P1726)="","",IF(SUM(COUNTIF(P1726,{"*NLGD*","*FWG*"}))&gt;0,P1726,IF(SUM(COUNTIF(P1726,{"*GL*","*DGB*","*DGI*","*GT*","*CS*","*PWU*","*DBI*","*SWU*"}))=0,P1726,IF(IFERROR(VALUE(SUBSTITUTE(SUBSTITUTE(O1726,"W",""),"""","")),0)&gt;52,P1726&amp;"-OVRSIZE-",P1726))))</f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s="18" t="str">
        <v/>
      </c>
      <c r="O1726" s="15" t="str" cm="1">
        <f t="array" ref="O1726">IFERROR(_xlfn.LET(
_xlpm.clean,TRIM(SUBSTITUTE(SUBSTITUTE(P1726,CHAR(160),"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6" t="str">
        <f t="shared" si="27"/>
        <v/>
      </c>
    </row>
    <row r="1727" spans="3:19" ht="15.75" customHeight="1">
      <c r="C1727" s="15" t="str" cm="1">
        <f t="array" ref="C1727">IFERROR(_xlfn.TEXTJOIN("",TRUE,_xlfn._xlws.FILTER(MID(S1727,_xlfn.SEQUENCE(LEN(S1727)),1),ISNUMBER(SEARCH(MID(S1727,_xlfn.SEQUENCE(LEN(S1727)),1),"ABCDEFGHIJKLMNOPQRSTUVWXYZabcdefghijklmnopqrstuvwxyz0123456789,")))),"")</f>
        <v/>
      </c>
      <c r="G1727" s="20" t="str" cm="1">
        <f t="array" ref="G1727">IF(TRIM(P1727)="","",IF(SUM(COUNTIF(P1727,{"*NLGD*","*FWG*"}))&gt;0,P1727,IF(SUM(COUNTIF(P1727,{"*GL*","*DGB*","*DGI*","*GT*","*CS*","*PWU*","*DBI*","*SWU*"}))=0,P1727,IF(IFERROR(VALUE(SUBSTITUTE(SUBSTITUTE(O1727,"W",""),"""","")),0)&gt;52,P1727&amp;"-OVRSIZE-",P1727))))</f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s="18" t="str">
        <v/>
      </c>
      <c r="O1727" s="15" t="str" cm="1">
        <f t="array" ref="O1727">IFERROR(_xlfn.LET(
_xlpm.clean,TRIM(SUBSTITUTE(SUBSTITUTE(P1727,CHAR(160),"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7" t="str">
        <f t="shared" si="27"/>
        <v/>
      </c>
    </row>
    <row r="1728" spans="3:19" ht="15.75" customHeight="1">
      <c r="C1728" s="15" t="str" cm="1">
        <f t="array" ref="C1728">IFERROR(_xlfn.TEXTJOIN("",TRUE,_xlfn._xlws.FILTER(MID(S1728,_xlfn.SEQUENCE(LEN(S1728)),1),ISNUMBER(SEARCH(MID(S1728,_xlfn.SEQUENCE(LEN(S1728)),1),"ABCDEFGHIJKLMNOPQRSTUVWXYZabcdefghijklmnopqrstuvwxyz0123456789,")))),"")</f>
        <v/>
      </c>
      <c r="G1728" s="20" t="str" cm="1">
        <f t="array" ref="G1728">IF(TRIM(P1728)="","",IF(SUM(COUNTIF(P1728,{"*NLGD*","*FWG*"}))&gt;0,P1728,IF(SUM(COUNTIF(P1728,{"*GL*","*DGB*","*DGI*","*GT*","*CS*","*PWU*","*DBI*","*SWU*"}))=0,P1728,IF(IFERROR(VALUE(SUBSTITUTE(SUBSTITUTE(O1728,"W",""),"""","")),0)&gt;52,P1728&amp;"-OVRSIZE-",P1728))))</f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s="18" t="str">
        <v/>
      </c>
      <c r="O1728" s="15" t="str" cm="1">
        <f t="array" ref="O1728">IFERROR(_xlfn.LET(
_xlpm.clean,TRIM(SUBSTITUTE(SUBSTITUTE(P1728,CHAR(160),"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8" t="str">
        <f t="shared" si="27"/>
        <v/>
      </c>
    </row>
    <row r="1729" spans="3:19" ht="15.75" customHeight="1">
      <c r="C1729" s="15" t="str" cm="1">
        <f t="array" ref="C1729">IFERROR(_xlfn.TEXTJOIN("",TRUE,_xlfn._xlws.FILTER(MID(S1729,_xlfn.SEQUENCE(LEN(S1729)),1),ISNUMBER(SEARCH(MID(S1729,_xlfn.SEQUENCE(LEN(S1729)),1),"ABCDEFGHIJKLMNOPQRSTUVWXYZabcdefghijklmnopqrstuvwxyz0123456789,")))),"")</f>
        <v/>
      </c>
      <c r="G1729" s="20" t="str" cm="1">
        <f t="array" ref="G1729">IF(TRIM(P1729)="","",IF(SUM(COUNTIF(P1729,{"*NLGD*","*FWG*"}))&gt;0,P1729,IF(SUM(COUNTIF(P1729,{"*GL*","*DGB*","*DGI*","*GT*","*CS*","*PWU*","*DBI*","*SWU*"}))=0,P1729,IF(IFERROR(VALUE(SUBSTITUTE(SUBSTITUTE(O1729,"W",""),"""","")),0)&gt;52,P1729&amp;"-OVRSIZE-",P1729))))</f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s="18" t="str">
        <v/>
      </c>
      <c r="O1729" s="15" t="str" cm="1">
        <f t="array" ref="O1729">IFERROR(_xlfn.LET(
_xlpm.clean,TRIM(SUBSTITUTE(SUBSTITUTE(P1729,CHAR(160),"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9" t="str">
        <f t="shared" si="27"/>
        <v/>
      </c>
    </row>
    <row r="1730" spans="3:19" ht="15.75" customHeight="1">
      <c r="C1730" s="15" t="str" cm="1">
        <f t="array" ref="C1730">IFERROR(_xlfn.TEXTJOIN("",TRUE,_xlfn._xlws.FILTER(MID(S1730,_xlfn.SEQUENCE(LEN(S1730)),1),ISNUMBER(SEARCH(MID(S1730,_xlfn.SEQUENCE(LEN(S1730)),1),"ABCDEFGHIJKLMNOPQRSTUVWXYZabcdefghijklmnopqrstuvwxyz0123456789,")))),"")</f>
        <v/>
      </c>
      <c r="G1730" s="20" t="str" cm="1">
        <f t="array" ref="G1730">IF(TRIM(P1730)="","",IF(SUM(COUNTIF(P1730,{"*NLGD*","*FWG*"}))&gt;0,P1730,IF(SUM(COUNTIF(P1730,{"*GL*","*DGB*","*DGI*","*GT*","*CS*","*PWU*","*DBI*","*SWU*"}))=0,P1730,IF(IFERROR(VALUE(SUBSTITUTE(SUBSTITUTE(O1730,"W",""),"""","")),0)&gt;52,P1730&amp;"-OVRSIZE-",P1730))))</f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s="18" t="str">
        <v/>
      </c>
      <c r="O1730" s="15" t="str" cm="1">
        <f t="array" ref="O1730">IFERROR(_xlfn.LET(
_xlpm.clean,TRIM(SUBSTITUTE(SUBSTITUTE(P1730,CHAR(160),"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0" t="str">
        <f t="shared" si="27"/>
        <v/>
      </c>
    </row>
    <row r="1731" spans="3:19" ht="15.75" customHeight="1">
      <c r="C1731" s="15" t="str" cm="1">
        <f t="array" ref="C1731">IFERROR(_xlfn.TEXTJOIN("",TRUE,_xlfn._xlws.FILTER(MID(S1731,_xlfn.SEQUENCE(LEN(S1731)),1),ISNUMBER(SEARCH(MID(S1731,_xlfn.SEQUENCE(LEN(S1731)),1),"ABCDEFGHIJKLMNOPQRSTUVWXYZabcdefghijklmnopqrstuvwxyz0123456789,")))),"")</f>
        <v/>
      </c>
      <c r="G1731" s="20" t="str" cm="1">
        <f t="array" ref="G1731">IF(TRIM(P1731)="","",IF(SUM(COUNTIF(P1731,{"*NLGD*","*FWG*"}))&gt;0,P1731,IF(SUM(COUNTIF(P1731,{"*GL*","*DGB*","*DGI*","*GT*","*CS*","*PWU*","*DBI*","*SWU*"}))=0,P1731,IF(IFERROR(VALUE(SUBSTITUTE(SUBSTITUTE(O1731,"W",""),"""","")),0)&gt;52,P1731&amp;"-OVRSIZE-",P1731))))</f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s="18" t="str">
        <v/>
      </c>
      <c r="O1731" s="15" t="str" cm="1">
        <f t="array" ref="O1731">IFERROR(_xlfn.LET(
_xlpm.clean,TRIM(SUBSTITUTE(SUBSTITUTE(P1731,CHAR(160),"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1" t="str">
        <f t="shared" si="27"/>
        <v/>
      </c>
    </row>
    <row r="1732" spans="3:19" ht="15.75" customHeight="1">
      <c r="C1732" s="15" t="str" cm="1">
        <f t="array" ref="C1732">IFERROR(_xlfn.TEXTJOIN("",TRUE,_xlfn._xlws.FILTER(MID(S1732,_xlfn.SEQUENCE(LEN(S1732)),1),ISNUMBER(SEARCH(MID(S1732,_xlfn.SEQUENCE(LEN(S1732)),1),"ABCDEFGHIJKLMNOPQRSTUVWXYZabcdefghijklmnopqrstuvwxyz0123456789,")))),"")</f>
        <v/>
      </c>
      <c r="G1732" s="20" t="str" cm="1">
        <f t="array" ref="G1732">IF(TRIM(P1732)="","",IF(SUM(COUNTIF(P1732,{"*NLGD*","*FWG*"}))&gt;0,P1732,IF(SUM(COUNTIF(P1732,{"*GL*","*DGB*","*DGI*","*GT*","*CS*","*PWU*","*DBI*","*SWU*"}))=0,P1732,IF(IFERROR(VALUE(SUBSTITUTE(SUBSTITUTE(O1732,"W",""),"""","")),0)&gt;52,P1732&amp;"-OVRSIZE-",P1732))))</f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s="18" t="str">
        <v/>
      </c>
      <c r="O1732" s="15" t="str" cm="1">
        <f t="array" ref="O1732">IFERROR(_xlfn.LET(
_xlpm.clean,TRIM(SUBSTITUTE(SUBSTITUTE(P1732,CHAR(160),"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2" t="str">
        <f t="shared" si="27"/>
        <v/>
      </c>
    </row>
    <row r="1733" spans="3:19" ht="15.75" customHeight="1">
      <c r="C1733" s="15" t="str" cm="1">
        <f t="array" ref="C1733">IFERROR(_xlfn.TEXTJOIN("",TRUE,_xlfn._xlws.FILTER(MID(S1733,_xlfn.SEQUENCE(LEN(S1733)),1),ISNUMBER(SEARCH(MID(S1733,_xlfn.SEQUENCE(LEN(S1733)),1),"ABCDEFGHIJKLMNOPQRSTUVWXYZabcdefghijklmnopqrstuvwxyz0123456789,")))),"")</f>
        <v/>
      </c>
      <c r="G1733" s="20" t="str" cm="1">
        <f t="array" ref="G1733">IF(TRIM(P1733)="","",IF(SUM(COUNTIF(P1733,{"*NLGD*","*FWG*"}))&gt;0,P1733,IF(SUM(COUNTIF(P1733,{"*GL*","*DGB*","*DGI*","*GT*","*CS*","*PWU*","*DBI*","*SWU*"}))=0,P1733,IF(IFERROR(VALUE(SUBSTITUTE(SUBSTITUTE(O1733,"W",""),"""","")),0)&gt;52,P1733&amp;"-OVRSIZE-",P1733))))</f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s="18" t="str">
        <v/>
      </c>
      <c r="O1733" s="15" t="str" cm="1">
        <f t="array" ref="O1733">IFERROR(_xlfn.LET(
_xlpm.clean,TRIM(SUBSTITUTE(SUBSTITUTE(P1733,CHAR(160),"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3" t="str">
        <f t="shared" si="27"/>
        <v/>
      </c>
    </row>
    <row r="1734" spans="3:19" ht="15.75" customHeight="1">
      <c r="C1734" s="15" t="str" cm="1">
        <f t="array" ref="C1734">IFERROR(_xlfn.TEXTJOIN("",TRUE,_xlfn._xlws.FILTER(MID(S1734,_xlfn.SEQUENCE(LEN(S1734)),1),ISNUMBER(SEARCH(MID(S1734,_xlfn.SEQUENCE(LEN(S1734)),1),"ABCDEFGHIJKLMNOPQRSTUVWXYZabcdefghijklmnopqrstuvwxyz0123456789,")))),"")</f>
        <v/>
      </c>
      <c r="G1734" s="20" t="str" cm="1">
        <f t="array" ref="G1734">IF(TRIM(P1734)="","",IF(SUM(COUNTIF(P1734,{"*NLGD*","*FWG*"}))&gt;0,P1734,IF(SUM(COUNTIF(P1734,{"*GL*","*DGB*","*DGI*","*GT*","*CS*","*PWU*","*DBI*","*SWU*"}))=0,P1734,IF(IFERROR(VALUE(SUBSTITUTE(SUBSTITUTE(O1734,"W",""),"""","")),0)&gt;52,P1734&amp;"-OVRSIZE-",P1734))))</f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s="18" t="str">
        <v/>
      </c>
      <c r="O1734" s="15" t="str" cm="1">
        <f t="array" ref="O1734">IFERROR(_xlfn.LET(
_xlpm.clean,TRIM(SUBSTITUTE(SUBSTITUTE(P1734,CHAR(160),"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4" t="str">
        <f t="shared" si="27"/>
        <v/>
      </c>
    </row>
    <row r="1735" spans="3:19" ht="15.75" customHeight="1">
      <c r="C1735" s="15" t="str" cm="1">
        <f t="array" ref="C1735">IFERROR(_xlfn.TEXTJOIN("",TRUE,_xlfn._xlws.FILTER(MID(S1735,_xlfn.SEQUENCE(LEN(S1735)),1),ISNUMBER(SEARCH(MID(S1735,_xlfn.SEQUENCE(LEN(S1735)),1),"ABCDEFGHIJKLMNOPQRSTUVWXYZabcdefghijklmnopqrstuvwxyz0123456789,")))),"")</f>
        <v/>
      </c>
      <c r="G1735" s="20" t="str" cm="1">
        <f t="array" ref="G1735">IF(TRIM(P1735)="","",IF(SUM(COUNTIF(P1735,{"*NLGD*","*FWG*"}))&gt;0,P1735,IF(SUM(COUNTIF(P1735,{"*GL*","*DGB*","*DGI*","*GT*","*CS*","*PWU*","*DBI*","*SWU*"}))=0,P1735,IF(IFERROR(VALUE(SUBSTITUTE(SUBSTITUTE(O1735,"W",""),"""","")),0)&gt;52,P1735&amp;"-OVRSIZE-",P1735))))</f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s="18" t="str">
        <v/>
      </c>
      <c r="O1735" s="15" t="str" cm="1">
        <f t="array" ref="O1735">IFERROR(_xlfn.LET(
_xlpm.clean,TRIM(SUBSTITUTE(SUBSTITUTE(P1735,CHAR(160),"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5" t="str">
        <f t="shared" si="27"/>
        <v/>
      </c>
    </row>
    <row r="1736" spans="3:19" ht="15.75" customHeight="1">
      <c r="C1736" s="15" t="str" cm="1">
        <f t="array" ref="C1736">IFERROR(_xlfn.TEXTJOIN("",TRUE,_xlfn._xlws.FILTER(MID(S1736,_xlfn.SEQUENCE(LEN(S1736)),1),ISNUMBER(SEARCH(MID(S1736,_xlfn.SEQUENCE(LEN(S1736)),1),"ABCDEFGHIJKLMNOPQRSTUVWXYZabcdefghijklmnopqrstuvwxyz0123456789,")))),"")</f>
        <v/>
      </c>
      <c r="G1736" s="20" t="str" cm="1">
        <f t="array" ref="G1736">IF(TRIM(P1736)="","",IF(SUM(COUNTIF(P1736,{"*NLGD*","*FWG*"}))&gt;0,P1736,IF(SUM(COUNTIF(P1736,{"*GL*","*DGB*","*DGI*","*GT*","*CS*","*PWU*","*DBI*","*SWU*"}))=0,P1736,IF(IFERROR(VALUE(SUBSTITUTE(SUBSTITUTE(O1736,"W",""),"""","")),0)&gt;52,P1736&amp;"-OVRSIZE-",P1736))))</f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s="18" t="str">
        <v/>
      </c>
      <c r="O1736" s="15" t="str" cm="1">
        <f t="array" ref="O1736">IFERROR(_xlfn.LET(
_xlpm.clean,TRIM(SUBSTITUTE(SUBSTITUTE(P1736,CHAR(160),"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6" t="str">
        <f t="shared" ref="S1736:S1799" si="28">IF(R1736="","",_xlfn.LET(
_xlpm.x,TRIM(SUBSTITUTE(SUBSTITUTE(SUBSTITUTE(SUBSTITUTE(R1736,":","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737" spans="3:19" ht="15.75" customHeight="1">
      <c r="C1737" s="15" t="str" cm="1">
        <f t="array" ref="C1737">IFERROR(_xlfn.TEXTJOIN("",TRUE,_xlfn._xlws.FILTER(MID(S1737,_xlfn.SEQUENCE(LEN(S1737)),1),ISNUMBER(SEARCH(MID(S1737,_xlfn.SEQUENCE(LEN(S1737)),1),"ABCDEFGHIJKLMNOPQRSTUVWXYZabcdefghijklmnopqrstuvwxyz0123456789,")))),"")</f>
        <v/>
      </c>
      <c r="G1737" s="20" t="str" cm="1">
        <f t="array" ref="G1737">IF(TRIM(P1737)="","",IF(SUM(COUNTIF(P1737,{"*NLGD*","*FWG*"}))&gt;0,P1737,IF(SUM(COUNTIF(P1737,{"*GL*","*DGB*","*DGI*","*GT*","*CS*","*PWU*","*DBI*","*SWU*"}))=0,P1737,IF(IFERROR(VALUE(SUBSTITUTE(SUBSTITUTE(O1737,"W",""),"""","")),0)&gt;52,P1737&amp;"-OVRSIZE-",P1737))))</f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s="18" t="str">
        <v/>
      </c>
      <c r="O1737" s="15" t="str" cm="1">
        <f t="array" ref="O1737">IFERROR(_xlfn.LET(
_xlpm.clean,TRIM(SUBSTITUTE(SUBSTITUTE(P1737,CHAR(160),"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7" t="str">
        <f t="shared" si="28"/>
        <v/>
      </c>
    </row>
    <row r="1738" spans="3:19" ht="15.75" customHeight="1">
      <c r="C1738" s="15" t="str" cm="1">
        <f t="array" ref="C1738">IFERROR(_xlfn.TEXTJOIN("",TRUE,_xlfn._xlws.FILTER(MID(S1738,_xlfn.SEQUENCE(LEN(S1738)),1),ISNUMBER(SEARCH(MID(S1738,_xlfn.SEQUENCE(LEN(S1738)),1),"ABCDEFGHIJKLMNOPQRSTUVWXYZabcdefghijklmnopqrstuvwxyz0123456789,")))),"")</f>
        <v/>
      </c>
      <c r="G1738" s="20" t="str" cm="1">
        <f t="array" ref="G1738">IF(TRIM(P1738)="","",IF(SUM(COUNTIF(P1738,{"*NLGD*","*FWG*"}))&gt;0,P1738,IF(SUM(COUNTIF(P1738,{"*GL*","*DGB*","*DGI*","*GT*","*CS*","*PWU*","*DBI*","*SWU*"}))=0,P1738,IF(IFERROR(VALUE(SUBSTITUTE(SUBSTITUTE(O1738,"W",""),"""","")),0)&gt;52,P1738&amp;"-OVRSIZE-",P1738))))</f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s="18" t="str">
        <v/>
      </c>
      <c r="O1738" s="15" t="str" cm="1">
        <f t="array" ref="O1738">IFERROR(_xlfn.LET(
_xlpm.clean,TRIM(SUBSTITUTE(SUBSTITUTE(P1738,CHAR(160),"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8" t="str">
        <f t="shared" si="28"/>
        <v/>
      </c>
    </row>
    <row r="1739" spans="3:19" ht="15.75" customHeight="1">
      <c r="C1739" s="15" t="str" cm="1">
        <f t="array" ref="C1739">IFERROR(_xlfn.TEXTJOIN("",TRUE,_xlfn._xlws.FILTER(MID(S1739,_xlfn.SEQUENCE(LEN(S1739)),1),ISNUMBER(SEARCH(MID(S1739,_xlfn.SEQUENCE(LEN(S1739)),1),"ABCDEFGHIJKLMNOPQRSTUVWXYZabcdefghijklmnopqrstuvwxyz0123456789,")))),"")</f>
        <v/>
      </c>
      <c r="G1739" s="20" t="str" cm="1">
        <f t="array" ref="G1739">IF(TRIM(P1739)="","",IF(SUM(COUNTIF(P1739,{"*NLGD*","*FWG*"}))&gt;0,P1739,IF(SUM(COUNTIF(P1739,{"*GL*","*DGB*","*DGI*","*GT*","*CS*","*PWU*","*DBI*","*SWU*"}))=0,P1739,IF(IFERROR(VALUE(SUBSTITUTE(SUBSTITUTE(O1739,"W",""),"""","")),0)&gt;52,P1739&amp;"-OVRSIZE-",P1739))))</f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s="18" t="str">
        <v/>
      </c>
      <c r="O1739" s="15" t="str" cm="1">
        <f t="array" ref="O1739">IFERROR(_xlfn.LET(
_xlpm.clean,TRIM(SUBSTITUTE(SUBSTITUTE(P1739,CHAR(160),"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9" t="str">
        <f t="shared" si="28"/>
        <v/>
      </c>
    </row>
    <row r="1740" spans="3:19" ht="15.75" customHeight="1">
      <c r="C1740" s="15" t="str" cm="1">
        <f t="array" ref="C1740">IFERROR(_xlfn.TEXTJOIN("",TRUE,_xlfn._xlws.FILTER(MID(S1740,_xlfn.SEQUENCE(LEN(S1740)),1),ISNUMBER(SEARCH(MID(S1740,_xlfn.SEQUENCE(LEN(S1740)),1),"ABCDEFGHIJKLMNOPQRSTUVWXYZabcdefghijklmnopqrstuvwxyz0123456789,")))),"")</f>
        <v/>
      </c>
      <c r="G1740" s="20" t="str" cm="1">
        <f t="array" ref="G1740">IF(TRIM(P1740)="","",IF(SUM(COUNTIF(P1740,{"*NLGD*","*FWG*"}))&gt;0,P1740,IF(SUM(COUNTIF(P1740,{"*GL*","*DGB*","*DGI*","*GT*","*CS*","*PWU*","*DBI*","*SWU*"}))=0,P1740,IF(IFERROR(VALUE(SUBSTITUTE(SUBSTITUTE(O1740,"W",""),"""","")),0)&gt;52,P1740&amp;"-OVRSIZE-",P1740))))</f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s="18" t="str">
        <v/>
      </c>
      <c r="O1740" s="15" t="str" cm="1">
        <f t="array" ref="O1740">IFERROR(_xlfn.LET(
_xlpm.clean,TRIM(SUBSTITUTE(SUBSTITUTE(P1740,CHAR(160),"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0" t="str">
        <f t="shared" si="28"/>
        <v/>
      </c>
    </row>
    <row r="1741" spans="3:19" ht="15.75" customHeight="1">
      <c r="C1741" s="15" t="str" cm="1">
        <f t="array" ref="C1741">IFERROR(_xlfn.TEXTJOIN("",TRUE,_xlfn._xlws.FILTER(MID(S1741,_xlfn.SEQUENCE(LEN(S1741)),1),ISNUMBER(SEARCH(MID(S1741,_xlfn.SEQUENCE(LEN(S1741)),1),"ABCDEFGHIJKLMNOPQRSTUVWXYZabcdefghijklmnopqrstuvwxyz0123456789,")))),"")</f>
        <v/>
      </c>
      <c r="G1741" s="20" t="str" cm="1">
        <f t="array" ref="G1741">IF(TRIM(P1741)="","",IF(SUM(COUNTIF(P1741,{"*NLGD*","*FWG*"}))&gt;0,P1741,IF(SUM(COUNTIF(P1741,{"*GL*","*DGB*","*DGI*","*GT*","*CS*","*PWU*","*DBI*","*SWU*"}))=0,P1741,IF(IFERROR(VALUE(SUBSTITUTE(SUBSTITUTE(O1741,"W",""),"""","")),0)&gt;52,P1741&amp;"-OVRSIZE-",P1741))))</f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s="18" t="str">
        <v/>
      </c>
      <c r="O1741" s="15" t="str" cm="1">
        <f t="array" ref="O1741">IFERROR(_xlfn.LET(
_xlpm.clean,TRIM(SUBSTITUTE(SUBSTITUTE(P1741,CHAR(160),"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1" t="str">
        <f t="shared" si="28"/>
        <v/>
      </c>
    </row>
    <row r="1742" spans="3:19" ht="15.75" customHeight="1">
      <c r="C1742" s="15" t="str" cm="1">
        <f t="array" ref="C1742">IFERROR(_xlfn.TEXTJOIN("",TRUE,_xlfn._xlws.FILTER(MID(S1742,_xlfn.SEQUENCE(LEN(S1742)),1),ISNUMBER(SEARCH(MID(S1742,_xlfn.SEQUENCE(LEN(S1742)),1),"ABCDEFGHIJKLMNOPQRSTUVWXYZabcdefghijklmnopqrstuvwxyz0123456789,")))),"")</f>
        <v/>
      </c>
      <c r="G1742" s="20" t="str" cm="1">
        <f t="array" ref="G1742">IF(TRIM(P1742)="","",IF(SUM(COUNTIF(P1742,{"*NLGD*","*FWG*"}))&gt;0,P1742,IF(SUM(COUNTIF(P1742,{"*GL*","*DGB*","*DGI*","*GT*","*CS*","*PWU*","*DBI*","*SWU*"}))=0,P1742,IF(IFERROR(VALUE(SUBSTITUTE(SUBSTITUTE(O1742,"W",""),"""","")),0)&gt;52,P1742&amp;"-OVRSIZE-",P1742))))</f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s="18" t="str">
        <v/>
      </c>
      <c r="O1742" s="15" t="str" cm="1">
        <f t="array" ref="O1742">IFERROR(_xlfn.LET(
_xlpm.clean,TRIM(SUBSTITUTE(SUBSTITUTE(P1742,CHAR(160),"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2" t="str">
        <f t="shared" si="28"/>
        <v/>
      </c>
    </row>
    <row r="1743" spans="3:19" ht="15.75" customHeight="1">
      <c r="C1743" s="15" t="str" cm="1">
        <f t="array" ref="C1743">IFERROR(_xlfn.TEXTJOIN("",TRUE,_xlfn._xlws.FILTER(MID(S1743,_xlfn.SEQUENCE(LEN(S1743)),1),ISNUMBER(SEARCH(MID(S1743,_xlfn.SEQUENCE(LEN(S1743)),1),"ABCDEFGHIJKLMNOPQRSTUVWXYZabcdefghijklmnopqrstuvwxyz0123456789,")))),"")</f>
        <v/>
      </c>
      <c r="G1743" s="20" t="str" cm="1">
        <f t="array" ref="G1743">IF(TRIM(P1743)="","",IF(SUM(COUNTIF(P1743,{"*NLGD*","*FWG*"}))&gt;0,P1743,IF(SUM(COUNTIF(P1743,{"*GL*","*DGB*","*DGI*","*GT*","*CS*","*PWU*","*DBI*","*SWU*"}))=0,P1743,IF(IFERROR(VALUE(SUBSTITUTE(SUBSTITUTE(O1743,"W",""),"""","")),0)&gt;52,P1743&amp;"-OVRSIZE-",P1743))))</f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s="18" t="str">
        <v/>
      </c>
      <c r="O1743" s="15" t="str" cm="1">
        <f t="array" ref="O1743">IFERROR(_xlfn.LET(
_xlpm.clean,TRIM(SUBSTITUTE(SUBSTITUTE(P1743,CHAR(160),"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3" t="str">
        <f t="shared" si="28"/>
        <v/>
      </c>
    </row>
    <row r="1744" spans="3:19" ht="15.75" customHeight="1">
      <c r="C1744" s="15" t="str" cm="1">
        <f t="array" ref="C1744">IFERROR(_xlfn.TEXTJOIN("",TRUE,_xlfn._xlws.FILTER(MID(S1744,_xlfn.SEQUENCE(LEN(S1744)),1),ISNUMBER(SEARCH(MID(S1744,_xlfn.SEQUENCE(LEN(S1744)),1),"ABCDEFGHIJKLMNOPQRSTUVWXYZabcdefghijklmnopqrstuvwxyz0123456789,")))),"")</f>
        <v/>
      </c>
      <c r="G1744" s="20" t="str" cm="1">
        <f t="array" ref="G1744">IF(TRIM(P1744)="","",IF(SUM(COUNTIF(P1744,{"*NLGD*","*FWG*"}))&gt;0,P1744,IF(SUM(COUNTIF(P1744,{"*GL*","*DGB*","*DGI*","*GT*","*CS*","*PWU*","*DBI*","*SWU*"}))=0,P1744,IF(IFERROR(VALUE(SUBSTITUTE(SUBSTITUTE(O1744,"W",""),"""","")),0)&gt;52,P1744&amp;"-OVRSIZE-",P1744))))</f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s="18" t="str">
        <v/>
      </c>
      <c r="O1744" s="15" t="str" cm="1">
        <f t="array" ref="O1744">IFERROR(_xlfn.LET(
_xlpm.clean,TRIM(SUBSTITUTE(SUBSTITUTE(P1744,CHAR(160),"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4" t="str">
        <f t="shared" si="28"/>
        <v/>
      </c>
    </row>
    <row r="1745" spans="3:19" ht="15.75" customHeight="1">
      <c r="C1745" s="15" t="str" cm="1">
        <f t="array" ref="C1745">IFERROR(_xlfn.TEXTJOIN("",TRUE,_xlfn._xlws.FILTER(MID(S1745,_xlfn.SEQUENCE(LEN(S1745)),1),ISNUMBER(SEARCH(MID(S1745,_xlfn.SEQUENCE(LEN(S1745)),1),"ABCDEFGHIJKLMNOPQRSTUVWXYZabcdefghijklmnopqrstuvwxyz0123456789,")))),"")</f>
        <v/>
      </c>
      <c r="G1745" s="20" t="str" cm="1">
        <f t="array" ref="G1745">IF(TRIM(P1745)="","",IF(SUM(COUNTIF(P1745,{"*NLGD*","*FWG*"}))&gt;0,P1745,IF(SUM(COUNTIF(P1745,{"*GL*","*DGB*","*DGI*","*GT*","*CS*","*PWU*","*DBI*","*SWU*"}))=0,P1745,IF(IFERROR(VALUE(SUBSTITUTE(SUBSTITUTE(O1745,"W",""),"""","")),0)&gt;52,P1745&amp;"-OVRSIZE-",P1745))))</f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s="18" t="str">
        <v/>
      </c>
      <c r="O1745" s="15" t="str" cm="1">
        <f t="array" ref="O1745">IFERROR(_xlfn.LET(
_xlpm.clean,TRIM(SUBSTITUTE(SUBSTITUTE(P1745,CHAR(160),"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5" t="str">
        <f t="shared" si="28"/>
        <v/>
      </c>
    </row>
    <row r="1746" spans="3:19" ht="15.75" customHeight="1">
      <c r="C1746" s="15" t="str" cm="1">
        <f t="array" ref="C1746">IFERROR(_xlfn.TEXTJOIN("",TRUE,_xlfn._xlws.FILTER(MID(S1746,_xlfn.SEQUENCE(LEN(S1746)),1),ISNUMBER(SEARCH(MID(S1746,_xlfn.SEQUENCE(LEN(S1746)),1),"ABCDEFGHIJKLMNOPQRSTUVWXYZabcdefghijklmnopqrstuvwxyz0123456789,")))),"")</f>
        <v/>
      </c>
      <c r="G1746" s="20" t="str" cm="1">
        <f t="array" ref="G1746">IF(TRIM(P1746)="","",IF(SUM(COUNTIF(P1746,{"*NLGD*","*FWG*"}))&gt;0,P1746,IF(SUM(COUNTIF(P1746,{"*GL*","*DGB*","*DGI*","*GT*","*CS*","*PWU*","*DBI*","*SWU*"}))=0,P1746,IF(IFERROR(VALUE(SUBSTITUTE(SUBSTITUTE(O1746,"W",""),"""","")),0)&gt;52,P1746&amp;"-OVRSIZE-",P1746))))</f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s="18" t="str">
        <v/>
      </c>
      <c r="O1746" s="15" t="str" cm="1">
        <f t="array" ref="O1746">IFERROR(_xlfn.LET(
_xlpm.clean,TRIM(SUBSTITUTE(SUBSTITUTE(P1746,CHAR(160),"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6" t="str">
        <f t="shared" si="28"/>
        <v/>
      </c>
    </row>
    <row r="1747" spans="3:19" ht="15.75" customHeight="1">
      <c r="C1747" s="15" t="str" cm="1">
        <f t="array" ref="C1747">IFERROR(_xlfn.TEXTJOIN("",TRUE,_xlfn._xlws.FILTER(MID(S1747,_xlfn.SEQUENCE(LEN(S1747)),1),ISNUMBER(SEARCH(MID(S1747,_xlfn.SEQUENCE(LEN(S1747)),1),"ABCDEFGHIJKLMNOPQRSTUVWXYZabcdefghijklmnopqrstuvwxyz0123456789,")))),"")</f>
        <v/>
      </c>
      <c r="G1747" s="20" t="str" cm="1">
        <f t="array" ref="G1747">IF(TRIM(P1747)="","",IF(SUM(COUNTIF(P1747,{"*NLGD*","*FWG*"}))&gt;0,P1747,IF(SUM(COUNTIF(P1747,{"*GL*","*DGB*","*DGI*","*GT*","*CS*","*PWU*","*DBI*","*SWU*"}))=0,P1747,IF(IFERROR(VALUE(SUBSTITUTE(SUBSTITUTE(O1747,"W",""),"""","")),0)&gt;52,P1747&amp;"-OVRSIZE-",P1747))))</f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s="18" t="str">
        <v/>
      </c>
      <c r="O1747" s="15" t="str" cm="1">
        <f t="array" ref="O1747">IFERROR(_xlfn.LET(
_xlpm.clean,TRIM(SUBSTITUTE(SUBSTITUTE(P1747,CHAR(160),"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7" t="str">
        <f t="shared" si="28"/>
        <v/>
      </c>
    </row>
    <row r="1748" spans="3:19" ht="15.75" customHeight="1">
      <c r="C1748" s="15" t="str" cm="1">
        <f t="array" ref="C1748">IFERROR(_xlfn.TEXTJOIN("",TRUE,_xlfn._xlws.FILTER(MID(S1748,_xlfn.SEQUENCE(LEN(S1748)),1),ISNUMBER(SEARCH(MID(S1748,_xlfn.SEQUENCE(LEN(S1748)),1),"ABCDEFGHIJKLMNOPQRSTUVWXYZabcdefghijklmnopqrstuvwxyz0123456789,")))),"")</f>
        <v/>
      </c>
      <c r="G1748" s="20" t="str" cm="1">
        <f t="array" ref="G1748">IF(TRIM(P1748)="","",IF(SUM(COUNTIF(P1748,{"*NLGD*","*FWG*"}))&gt;0,P1748,IF(SUM(COUNTIF(P1748,{"*GL*","*DGB*","*DGI*","*GT*","*CS*","*PWU*","*DBI*","*SWU*"}))=0,P1748,IF(IFERROR(VALUE(SUBSTITUTE(SUBSTITUTE(O1748,"W",""),"""","")),0)&gt;52,P1748&amp;"-OVRSIZE-",P1748))))</f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s="18" t="str">
        <v/>
      </c>
      <c r="O1748" s="15" t="str" cm="1">
        <f t="array" ref="O1748">IFERROR(_xlfn.LET(
_xlpm.clean,TRIM(SUBSTITUTE(SUBSTITUTE(P1748,CHAR(160),"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8" t="str">
        <f t="shared" si="28"/>
        <v/>
      </c>
    </row>
    <row r="1749" spans="3:19" ht="15.75" customHeight="1">
      <c r="C1749" s="15" t="str" cm="1">
        <f t="array" ref="C1749">IFERROR(_xlfn.TEXTJOIN("",TRUE,_xlfn._xlws.FILTER(MID(S1749,_xlfn.SEQUENCE(LEN(S1749)),1),ISNUMBER(SEARCH(MID(S1749,_xlfn.SEQUENCE(LEN(S1749)),1),"ABCDEFGHIJKLMNOPQRSTUVWXYZabcdefghijklmnopqrstuvwxyz0123456789,")))),"")</f>
        <v/>
      </c>
      <c r="G1749" s="20" t="str" cm="1">
        <f t="array" ref="G1749">IF(TRIM(P1749)="","",IF(SUM(COUNTIF(P1749,{"*NLGD*","*FWG*"}))&gt;0,P1749,IF(SUM(COUNTIF(P1749,{"*GL*","*DGB*","*DGI*","*GT*","*CS*","*PWU*","*DBI*","*SWU*"}))=0,P1749,IF(IFERROR(VALUE(SUBSTITUTE(SUBSTITUTE(O1749,"W",""),"""","")),0)&gt;52,P1749&amp;"-OVRSIZE-",P1749))))</f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s="18" t="str">
        <v/>
      </c>
      <c r="O1749" s="15" t="str" cm="1">
        <f t="array" ref="O1749">IFERROR(_xlfn.LET(
_xlpm.clean,TRIM(SUBSTITUTE(SUBSTITUTE(P1749,CHAR(160),"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9" t="str">
        <f t="shared" si="28"/>
        <v/>
      </c>
    </row>
    <row r="1750" spans="3:19" ht="15.75" customHeight="1">
      <c r="C1750" s="15" t="str" cm="1">
        <f t="array" ref="C1750">IFERROR(_xlfn.TEXTJOIN("",TRUE,_xlfn._xlws.FILTER(MID(S1750,_xlfn.SEQUENCE(LEN(S1750)),1),ISNUMBER(SEARCH(MID(S1750,_xlfn.SEQUENCE(LEN(S1750)),1),"ABCDEFGHIJKLMNOPQRSTUVWXYZabcdefghijklmnopqrstuvwxyz0123456789,")))),"")</f>
        <v/>
      </c>
      <c r="G1750" s="20" t="str" cm="1">
        <f t="array" ref="G1750">IF(TRIM(P1750)="","",IF(SUM(COUNTIF(P1750,{"*NLGD*","*FWG*"}))&gt;0,P1750,IF(SUM(COUNTIF(P1750,{"*GL*","*DGB*","*DGI*","*GT*","*CS*","*PWU*","*DBI*","*SWU*"}))=0,P1750,IF(IFERROR(VALUE(SUBSTITUTE(SUBSTITUTE(O1750,"W",""),"""","")),0)&gt;52,P1750&amp;"-OVRSIZE-",P1750))))</f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s="18" t="str">
        <v/>
      </c>
      <c r="O1750" s="15" t="str" cm="1">
        <f t="array" ref="O1750">IFERROR(_xlfn.LET(
_xlpm.clean,TRIM(SUBSTITUTE(SUBSTITUTE(P1750,CHAR(160),"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0" t="str">
        <f t="shared" si="28"/>
        <v/>
      </c>
    </row>
    <row r="1751" spans="3:19" ht="15.75" customHeight="1">
      <c r="C1751" s="15" t="str" cm="1">
        <f t="array" ref="C1751">IFERROR(_xlfn.TEXTJOIN("",TRUE,_xlfn._xlws.FILTER(MID(S1751,_xlfn.SEQUENCE(LEN(S1751)),1),ISNUMBER(SEARCH(MID(S1751,_xlfn.SEQUENCE(LEN(S1751)),1),"ABCDEFGHIJKLMNOPQRSTUVWXYZabcdefghijklmnopqrstuvwxyz0123456789,")))),"")</f>
        <v/>
      </c>
      <c r="G1751" s="20" t="str" cm="1">
        <f t="array" ref="G1751">IF(TRIM(P1751)="","",IF(SUM(COUNTIF(P1751,{"*NLGD*","*FWG*"}))&gt;0,P1751,IF(SUM(COUNTIF(P1751,{"*GL*","*DGB*","*DGI*","*GT*","*CS*","*PWU*","*DBI*","*SWU*"}))=0,P1751,IF(IFERROR(VALUE(SUBSTITUTE(SUBSTITUTE(O1751,"W",""),"""","")),0)&gt;52,P1751&amp;"-OVRSIZE-",P1751))))</f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s="18" t="str">
        <v/>
      </c>
      <c r="O1751" s="15" t="str" cm="1">
        <f t="array" ref="O1751">IFERROR(_xlfn.LET(
_xlpm.clean,TRIM(SUBSTITUTE(SUBSTITUTE(P1751,CHAR(160),"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1" t="str">
        <f t="shared" si="28"/>
        <v/>
      </c>
    </row>
    <row r="1752" spans="3:19" ht="15.75" customHeight="1">
      <c r="C1752" s="15" t="str" cm="1">
        <f t="array" ref="C1752">IFERROR(_xlfn.TEXTJOIN("",TRUE,_xlfn._xlws.FILTER(MID(S1752,_xlfn.SEQUENCE(LEN(S1752)),1),ISNUMBER(SEARCH(MID(S1752,_xlfn.SEQUENCE(LEN(S1752)),1),"ABCDEFGHIJKLMNOPQRSTUVWXYZabcdefghijklmnopqrstuvwxyz0123456789,")))),"")</f>
        <v/>
      </c>
      <c r="G1752" s="20" t="str" cm="1">
        <f t="array" ref="G1752">IF(TRIM(P1752)="","",IF(SUM(COUNTIF(P1752,{"*NLGD*","*FWG*"}))&gt;0,P1752,IF(SUM(COUNTIF(P1752,{"*GL*","*DGB*","*DGI*","*GT*","*CS*","*PWU*","*DBI*","*SWU*"}))=0,P1752,IF(IFERROR(VALUE(SUBSTITUTE(SUBSTITUTE(O1752,"W",""),"""","")),0)&gt;52,P1752&amp;"-OVRSIZE-",P1752))))</f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s="18" t="str">
        <v/>
      </c>
      <c r="O1752" s="15" t="str" cm="1">
        <f t="array" ref="O1752">IFERROR(_xlfn.LET(
_xlpm.clean,TRIM(SUBSTITUTE(SUBSTITUTE(P1752,CHAR(160),"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2" t="str">
        <f t="shared" si="28"/>
        <v/>
      </c>
    </row>
    <row r="1753" spans="3:19" ht="15.75" customHeight="1">
      <c r="C1753" s="15" t="str" cm="1">
        <f t="array" ref="C1753">IFERROR(_xlfn.TEXTJOIN("",TRUE,_xlfn._xlws.FILTER(MID(S1753,_xlfn.SEQUENCE(LEN(S1753)),1),ISNUMBER(SEARCH(MID(S1753,_xlfn.SEQUENCE(LEN(S1753)),1),"ABCDEFGHIJKLMNOPQRSTUVWXYZabcdefghijklmnopqrstuvwxyz0123456789,")))),"")</f>
        <v/>
      </c>
      <c r="G1753" s="20" t="str" cm="1">
        <f t="array" ref="G1753">IF(TRIM(P1753)="","",IF(SUM(COUNTIF(P1753,{"*NLGD*","*FWG*"}))&gt;0,P1753,IF(SUM(COUNTIF(P1753,{"*GL*","*DGB*","*DGI*","*GT*","*CS*","*PWU*","*DBI*","*SWU*"}))=0,P1753,IF(IFERROR(VALUE(SUBSTITUTE(SUBSTITUTE(O1753,"W",""),"""","")),0)&gt;52,P1753&amp;"-OVRSIZE-",P1753))))</f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s="18" t="str">
        <v/>
      </c>
      <c r="O1753" s="15" t="str" cm="1">
        <f t="array" ref="O1753">IFERROR(_xlfn.LET(
_xlpm.clean,TRIM(SUBSTITUTE(SUBSTITUTE(P1753,CHAR(160),"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3" t="str">
        <f t="shared" si="28"/>
        <v/>
      </c>
    </row>
    <row r="1754" spans="3:19" ht="15.75" customHeight="1">
      <c r="C1754" s="15" t="str" cm="1">
        <f t="array" ref="C1754">IFERROR(_xlfn.TEXTJOIN("",TRUE,_xlfn._xlws.FILTER(MID(S1754,_xlfn.SEQUENCE(LEN(S1754)),1),ISNUMBER(SEARCH(MID(S1754,_xlfn.SEQUENCE(LEN(S1754)),1),"ABCDEFGHIJKLMNOPQRSTUVWXYZabcdefghijklmnopqrstuvwxyz0123456789,")))),"")</f>
        <v/>
      </c>
      <c r="G1754" s="20" t="str" cm="1">
        <f t="array" ref="G1754">IF(TRIM(P1754)="","",IF(SUM(COUNTIF(P1754,{"*NLGD*","*FWG*"}))&gt;0,P1754,IF(SUM(COUNTIF(P1754,{"*GL*","*DGB*","*DGI*","*GT*","*CS*","*PWU*","*DBI*","*SWU*"}))=0,P1754,IF(IFERROR(VALUE(SUBSTITUTE(SUBSTITUTE(O1754,"W",""),"""","")),0)&gt;52,P1754&amp;"-OVRSIZE-",P1754))))</f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s="18" t="str">
        <v/>
      </c>
      <c r="O1754" s="15" t="str" cm="1">
        <f t="array" ref="O1754">IFERROR(_xlfn.LET(
_xlpm.clean,TRIM(SUBSTITUTE(SUBSTITUTE(P1754,CHAR(160),"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4" t="str">
        <f t="shared" si="28"/>
        <v/>
      </c>
    </row>
    <row r="1755" spans="3:19" ht="15.75" customHeight="1">
      <c r="C1755" s="15" t="str" cm="1">
        <f t="array" ref="C1755">IFERROR(_xlfn.TEXTJOIN("",TRUE,_xlfn._xlws.FILTER(MID(S1755,_xlfn.SEQUENCE(LEN(S1755)),1),ISNUMBER(SEARCH(MID(S1755,_xlfn.SEQUENCE(LEN(S1755)),1),"ABCDEFGHIJKLMNOPQRSTUVWXYZabcdefghijklmnopqrstuvwxyz0123456789,")))),"")</f>
        <v/>
      </c>
      <c r="G1755" s="20" t="str" cm="1">
        <f t="array" ref="G1755">IF(TRIM(P1755)="","",IF(SUM(COUNTIF(P1755,{"*NLGD*","*FWG*"}))&gt;0,P1755,IF(SUM(COUNTIF(P1755,{"*GL*","*DGB*","*DGI*","*GT*","*CS*","*PWU*","*DBI*","*SWU*"}))=0,P1755,IF(IFERROR(VALUE(SUBSTITUTE(SUBSTITUTE(O1755,"W",""),"""","")),0)&gt;52,P1755&amp;"-OVRSIZE-",P1755))))</f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s="18" t="str">
        <v/>
      </c>
      <c r="O1755" s="15" t="str" cm="1">
        <f t="array" ref="O1755">IFERROR(_xlfn.LET(
_xlpm.clean,TRIM(SUBSTITUTE(SUBSTITUTE(P1755,CHAR(160),"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5" t="str">
        <f t="shared" si="28"/>
        <v/>
      </c>
    </row>
    <row r="1756" spans="3:19" ht="15.75" customHeight="1">
      <c r="C1756" s="15" t="str" cm="1">
        <f t="array" ref="C1756">IFERROR(_xlfn.TEXTJOIN("",TRUE,_xlfn._xlws.FILTER(MID(S1756,_xlfn.SEQUENCE(LEN(S1756)),1),ISNUMBER(SEARCH(MID(S1756,_xlfn.SEQUENCE(LEN(S1756)),1),"ABCDEFGHIJKLMNOPQRSTUVWXYZabcdefghijklmnopqrstuvwxyz0123456789,")))),"")</f>
        <v/>
      </c>
      <c r="G1756" s="20" t="str" cm="1">
        <f t="array" ref="G1756">IF(TRIM(P1756)="","",IF(SUM(COUNTIF(P1756,{"*NLGD*","*FWG*"}))&gt;0,P1756,IF(SUM(COUNTIF(P1756,{"*GL*","*DGB*","*DGI*","*GT*","*CS*","*PWU*","*DBI*","*SWU*"}))=0,P1756,IF(IFERROR(VALUE(SUBSTITUTE(SUBSTITUTE(O1756,"W",""),"""","")),0)&gt;52,P1756&amp;"-OVRSIZE-",P1756))))</f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s="18" t="str">
        <v/>
      </c>
      <c r="O1756" s="15" t="str" cm="1">
        <f t="array" ref="O1756">IFERROR(_xlfn.LET(
_xlpm.clean,TRIM(SUBSTITUTE(SUBSTITUTE(P1756,CHAR(160),"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6" t="str">
        <f t="shared" si="28"/>
        <v/>
      </c>
    </row>
    <row r="1757" spans="3:19" ht="15.75" customHeight="1">
      <c r="C1757" s="15" t="str" cm="1">
        <f t="array" ref="C1757">IFERROR(_xlfn.TEXTJOIN("",TRUE,_xlfn._xlws.FILTER(MID(S1757,_xlfn.SEQUENCE(LEN(S1757)),1),ISNUMBER(SEARCH(MID(S1757,_xlfn.SEQUENCE(LEN(S1757)),1),"ABCDEFGHIJKLMNOPQRSTUVWXYZabcdefghijklmnopqrstuvwxyz0123456789,")))),"")</f>
        <v/>
      </c>
      <c r="G1757" s="20" t="str" cm="1">
        <f t="array" ref="G1757">IF(TRIM(P1757)="","",IF(SUM(COUNTIF(P1757,{"*NLGD*","*FWG*"}))&gt;0,P1757,IF(SUM(COUNTIF(P1757,{"*GL*","*DGB*","*DGI*","*GT*","*CS*","*PWU*","*DBI*","*SWU*"}))=0,P1757,IF(IFERROR(VALUE(SUBSTITUTE(SUBSTITUTE(O1757,"W",""),"""","")),0)&gt;52,P1757&amp;"-OVRSIZE-",P1757))))</f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s="18" t="str">
        <v/>
      </c>
      <c r="O1757" s="15" t="str" cm="1">
        <f t="array" ref="O1757">IFERROR(_xlfn.LET(
_xlpm.clean,TRIM(SUBSTITUTE(SUBSTITUTE(P1757,CHAR(160),"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7" t="str">
        <f t="shared" si="28"/>
        <v/>
      </c>
    </row>
    <row r="1758" spans="3:19" ht="15.75" customHeight="1">
      <c r="C1758" s="15" t="str" cm="1">
        <f t="array" ref="C1758">IFERROR(_xlfn.TEXTJOIN("",TRUE,_xlfn._xlws.FILTER(MID(S1758,_xlfn.SEQUENCE(LEN(S1758)),1),ISNUMBER(SEARCH(MID(S1758,_xlfn.SEQUENCE(LEN(S1758)),1),"ABCDEFGHIJKLMNOPQRSTUVWXYZabcdefghijklmnopqrstuvwxyz0123456789,")))),"")</f>
        <v/>
      </c>
      <c r="G1758" s="20" t="str" cm="1">
        <f t="array" ref="G1758">IF(TRIM(P1758)="","",IF(SUM(COUNTIF(P1758,{"*NLGD*","*FWG*"}))&gt;0,P1758,IF(SUM(COUNTIF(P1758,{"*GL*","*DGB*","*DGI*","*GT*","*CS*","*PWU*","*DBI*","*SWU*"}))=0,P1758,IF(IFERROR(VALUE(SUBSTITUTE(SUBSTITUTE(O1758,"W",""),"""","")),0)&gt;52,P1758&amp;"-OVRSIZE-",P1758))))</f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s="18" t="str">
        <v/>
      </c>
      <c r="O1758" s="15" t="str" cm="1">
        <f t="array" ref="O1758">IFERROR(_xlfn.LET(
_xlpm.clean,TRIM(SUBSTITUTE(SUBSTITUTE(P1758,CHAR(160),"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8" t="str">
        <f t="shared" si="28"/>
        <v/>
      </c>
    </row>
    <row r="1759" spans="3:19" ht="15.75" customHeight="1">
      <c r="C1759" s="15" t="str" cm="1">
        <f t="array" ref="C1759">IFERROR(_xlfn.TEXTJOIN("",TRUE,_xlfn._xlws.FILTER(MID(S1759,_xlfn.SEQUENCE(LEN(S1759)),1),ISNUMBER(SEARCH(MID(S1759,_xlfn.SEQUENCE(LEN(S1759)),1),"ABCDEFGHIJKLMNOPQRSTUVWXYZabcdefghijklmnopqrstuvwxyz0123456789,")))),"")</f>
        <v/>
      </c>
      <c r="G1759" s="20" t="str" cm="1">
        <f t="array" ref="G1759">IF(TRIM(P1759)="","",IF(SUM(COUNTIF(P1759,{"*NLGD*","*FWG*"}))&gt;0,P1759,IF(SUM(COUNTIF(P1759,{"*GL*","*DGB*","*DGI*","*GT*","*CS*","*PWU*","*DBI*","*SWU*"}))=0,P1759,IF(IFERROR(VALUE(SUBSTITUTE(SUBSTITUTE(O1759,"W",""),"""","")),0)&gt;52,P1759&amp;"-OVRSIZE-",P1759))))</f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s="18" t="str">
        <v/>
      </c>
      <c r="O1759" s="15" t="str" cm="1">
        <f t="array" ref="O1759">IFERROR(_xlfn.LET(
_xlpm.clean,TRIM(SUBSTITUTE(SUBSTITUTE(P1759,CHAR(160),"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9" t="str">
        <f t="shared" si="28"/>
        <v/>
      </c>
    </row>
    <row r="1760" spans="3:19" ht="15.75" customHeight="1">
      <c r="C1760" s="15" t="str" cm="1">
        <f t="array" ref="C1760">IFERROR(_xlfn.TEXTJOIN("",TRUE,_xlfn._xlws.FILTER(MID(S1760,_xlfn.SEQUENCE(LEN(S1760)),1),ISNUMBER(SEARCH(MID(S1760,_xlfn.SEQUENCE(LEN(S1760)),1),"ABCDEFGHIJKLMNOPQRSTUVWXYZabcdefghijklmnopqrstuvwxyz0123456789,")))),"")</f>
        <v/>
      </c>
      <c r="G1760" s="20" t="str" cm="1">
        <f t="array" ref="G1760">IF(TRIM(P1760)="","",IF(SUM(COUNTIF(P1760,{"*NLGD*","*FWG*"}))&gt;0,P1760,IF(SUM(COUNTIF(P1760,{"*GL*","*DGB*","*DGI*","*GT*","*CS*","*PWU*","*DBI*","*SWU*"}))=0,P1760,IF(IFERROR(VALUE(SUBSTITUTE(SUBSTITUTE(O1760,"W",""),"""","")),0)&gt;52,P1760&amp;"-OVRSIZE-",P1760))))</f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s="18" t="str">
        <v/>
      </c>
      <c r="O1760" s="15" t="str" cm="1">
        <f t="array" ref="O1760">IFERROR(_xlfn.LET(
_xlpm.clean,TRIM(SUBSTITUTE(SUBSTITUTE(P1760,CHAR(160),"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0" t="str">
        <f t="shared" si="28"/>
        <v/>
      </c>
    </row>
    <row r="1761" spans="3:19" ht="15.75" customHeight="1">
      <c r="C1761" s="15" t="str" cm="1">
        <f t="array" ref="C1761">IFERROR(_xlfn.TEXTJOIN("",TRUE,_xlfn._xlws.FILTER(MID(S1761,_xlfn.SEQUENCE(LEN(S1761)),1),ISNUMBER(SEARCH(MID(S1761,_xlfn.SEQUENCE(LEN(S1761)),1),"ABCDEFGHIJKLMNOPQRSTUVWXYZabcdefghijklmnopqrstuvwxyz0123456789,")))),"")</f>
        <v/>
      </c>
      <c r="G1761" s="20" t="str" cm="1">
        <f t="array" ref="G1761">IF(TRIM(P1761)="","",IF(SUM(COUNTIF(P1761,{"*NLGD*","*FWG*"}))&gt;0,P1761,IF(SUM(COUNTIF(P1761,{"*GL*","*DGB*","*DGI*","*GT*","*CS*","*PWU*","*DBI*","*SWU*"}))=0,P1761,IF(IFERROR(VALUE(SUBSTITUTE(SUBSTITUTE(O1761,"W",""),"""","")),0)&gt;52,P1761&amp;"-OVRSIZE-",P1761))))</f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s="18" t="str">
        <v/>
      </c>
      <c r="O1761" s="15" t="str" cm="1">
        <f t="array" ref="O1761">IFERROR(_xlfn.LET(
_xlpm.clean,TRIM(SUBSTITUTE(SUBSTITUTE(P1761,CHAR(160),"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1" t="str">
        <f t="shared" si="28"/>
        <v/>
      </c>
    </row>
    <row r="1762" spans="3:19" ht="15.75" customHeight="1">
      <c r="C1762" s="15" t="str" cm="1">
        <f t="array" ref="C1762">IFERROR(_xlfn.TEXTJOIN("",TRUE,_xlfn._xlws.FILTER(MID(S1762,_xlfn.SEQUENCE(LEN(S1762)),1),ISNUMBER(SEARCH(MID(S1762,_xlfn.SEQUENCE(LEN(S1762)),1),"ABCDEFGHIJKLMNOPQRSTUVWXYZabcdefghijklmnopqrstuvwxyz0123456789,")))),"")</f>
        <v/>
      </c>
      <c r="G1762" s="20" t="str" cm="1">
        <f t="array" ref="G1762">IF(TRIM(P1762)="","",IF(SUM(COUNTIF(P1762,{"*NLGD*","*FWG*"}))&gt;0,P1762,IF(SUM(COUNTIF(P1762,{"*GL*","*DGB*","*DGI*","*GT*","*CS*","*PWU*","*DBI*","*SWU*"}))=0,P1762,IF(IFERROR(VALUE(SUBSTITUTE(SUBSTITUTE(O1762,"W",""),"""","")),0)&gt;52,P1762&amp;"-OVRSIZE-",P1762))))</f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s="18" t="str">
        <v/>
      </c>
      <c r="O1762" s="15" t="str" cm="1">
        <f t="array" ref="O1762">IFERROR(_xlfn.LET(
_xlpm.clean,TRIM(SUBSTITUTE(SUBSTITUTE(P1762,CHAR(160),"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2" t="str">
        <f t="shared" si="28"/>
        <v/>
      </c>
    </row>
    <row r="1763" spans="3:19" ht="15.75" customHeight="1">
      <c r="C1763" s="15" t="str" cm="1">
        <f t="array" ref="C1763">IFERROR(_xlfn.TEXTJOIN("",TRUE,_xlfn._xlws.FILTER(MID(S1763,_xlfn.SEQUENCE(LEN(S1763)),1),ISNUMBER(SEARCH(MID(S1763,_xlfn.SEQUENCE(LEN(S1763)),1),"ABCDEFGHIJKLMNOPQRSTUVWXYZabcdefghijklmnopqrstuvwxyz0123456789,")))),"")</f>
        <v/>
      </c>
      <c r="G1763" s="20" t="str" cm="1">
        <f t="array" ref="G1763">IF(TRIM(P1763)="","",IF(SUM(COUNTIF(P1763,{"*NLGD*","*FWG*"}))&gt;0,P1763,IF(SUM(COUNTIF(P1763,{"*GL*","*DGB*","*DGI*","*GT*","*CS*","*PWU*","*DBI*","*SWU*"}))=0,P1763,IF(IFERROR(VALUE(SUBSTITUTE(SUBSTITUTE(O1763,"W",""),"""","")),0)&gt;52,P1763&amp;"-OVRSIZE-",P1763))))</f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s="18" t="str">
        <v/>
      </c>
      <c r="O1763" s="15" t="str" cm="1">
        <f t="array" ref="O1763">IFERROR(_xlfn.LET(
_xlpm.clean,TRIM(SUBSTITUTE(SUBSTITUTE(P1763,CHAR(160),"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3" t="str">
        <f t="shared" si="28"/>
        <v/>
      </c>
    </row>
    <row r="1764" spans="3:19" ht="15.75" customHeight="1">
      <c r="C1764" s="15" t="str" cm="1">
        <f t="array" ref="C1764">IFERROR(_xlfn.TEXTJOIN("",TRUE,_xlfn._xlws.FILTER(MID(S1764,_xlfn.SEQUENCE(LEN(S1764)),1),ISNUMBER(SEARCH(MID(S1764,_xlfn.SEQUENCE(LEN(S1764)),1),"ABCDEFGHIJKLMNOPQRSTUVWXYZabcdefghijklmnopqrstuvwxyz0123456789,")))),"")</f>
        <v/>
      </c>
      <c r="G1764" s="20" t="str" cm="1">
        <f t="array" ref="G1764">IF(TRIM(P1764)="","",IF(SUM(COUNTIF(P1764,{"*NLGD*","*FWG*"}))&gt;0,P1764,IF(SUM(COUNTIF(P1764,{"*GL*","*DGB*","*DGI*","*GT*","*CS*","*PWU*","*DBI*","*SWU*"}))=0,P1764,IF(IFERROR(VALUE(SUBSTITUTE(SUBSTITUTE(O1764,"W",""),"""","")),0)&gt;52,P1764&amp;"-OVRSIZE-",P1764))))</f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s="18" t="str">
        <v/>
      </c>
      <c r="O1764" s="15" t="str" cm="1">
        <f t="array" ref="O1764">IFERROR(_xlfn.LET(
_xlpm.clean,TRIM(SUBSTITUTE(SUBSTITUTE(P1764,CHAR(160),"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4" t="str">
        <f t="shared" si="28"/>
        <v/>
      </c>
    </row>
    <row r="1765" spans="3:19" ht="15.75" customHeight="1">
      <c r="C1765" s="15" t="str" cm="1">
        <f t="array" ref="C1765">IFERROR(_xlfn.TEXTJOIN("",TRUE,_xlfn._xlws.FILTER(MID(S1765,_xlfn.SEQUENCE(LEN(S1765)),1),ISNUMBER(SEARCH(MID(S1765,_xlfn.SEQUENCE(LEN(S1765)),1),"ABCDEFGHIJKLMNOPQRSTUVWXYZabcdefghijklmnopqrstuvwxyz0123456789,")))),"")</f>
        <v/>
      </c>
      <c r="G1765" s="20" t="str" cm="1">
        <f t="array" ref="G1765">IF(TRIM(P1765)="","",IF(SUM(COUNTIF(P1765,{"*NLGD*","*FWG*"}))&gt;0,P1765,IF(SUM(COUNTIF(P1765,{"*GL*","*DGB*","*DGI*","*GT*","*CS*","*PWU*","*DBI*","*SWU*"}))=0,P1765,IF(IFERROR(VALUE(SUBSTITUTE(SUBSTITUTE(O1765,"W",""),"""","")),0)&gt;52,P1765&amp;"-OVRSIZE-",P1765))))</f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s="18" t="str">
        <v/>
      </c>
      <c r="O1765" s="15" t="str" cm="1">
        <f t="array" ref="O1765">IFERROR(_xlfn.LET(
_xlpm.clean,TRIM(SUBSTITUTE(SUBSTITUTE(P1765,CHAR(160),"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5" t="str">
        <f t="shared" si="28"/>
        <v/>
      </c>
    </row>
    <row r="1766" spans="3:19" ht="15.75" customHeight="1">
      <c r="C1766" s="15" t="str" cm="1">
        <f t="array" ref="C1766">IFERROR(_xlfn.TEXTJOIN("",TRUE,_xlfn._xlws.FILTER(MID(S1766,_xlfn.SEQUENCE(LEN(S1766)),1),ISNUMBER(SEARCH(MID(S1766,_xlfn.SEQUENCE(LEN(S1766)),1),"ABCDEFGHIJKLMNOPQRSTUVWXYZabcdefghijklmnopqrstuvwxyz0123456789,")))),"")</f>
        <v/>
      </c>
      <c r="G1766" s="20" t="str" cm="1">
        <f t="array" ref="G1766">IF(TRIM(P1766)="","",IF(SUM(COUNTIF(P1766,{"*NLGD*","*FWG*"}))&gt;0,P1766,IF(SUM(COUNTIF(P1766,{"*GL*","*DGB*","*DGI*","*GT*","*CS*","*PWU*","*DBI*","*SWU*"}))=0,P1766,IF(IFERROR(VALUE(SUBSTITUTE(SUBSTITUTE(O1766,"W",""),"""","")),0)&gt;52,P1766&amp;"-OVRSIZE-",P1766))))</f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s="18" t="str">
        <v/>
      </c>
      <c r="O1766" s="15" t="str" cm="1">
        <f t="array" ref="O1766">IFERROR(_xlfn.LET(
_xlpm.clean,TRIM(SUBSTITUTE(SUBSTITUTE(P1766,CHAR(160),"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6" t="str">
        <f t="shared" si="28"/>
        <v/>
      </c>
    </row>
    <row r="1767" spans="3:19" ht="15.75" customHeight="1">
      <c r="C1767" s="15" t="str" cm="1">
        <f t="array" ref="C1767">IFERROR(_xlfn.TEXTJOIN("",TRUE,_xlfn._xlws.FILTER(MID(S1767,_xlfn.SEQUENCE(LEN(S1767)),1),ISNUMBER(SEARCH(MID(S1767,_xlfn.SEQUENCE(LEN(S1767)),1),"ABCDEFGHIJKLMNOPQRSTUVWXYZabcdefghijklmnopqrstuvwxyz0123456789,")))),"")</f>
        <v/>
      </c>
      <c r="G1767" s="20" t="str" cm="1">
        <f t="array" ref="G1767">IF(TRIM(P1767)="","",IF(SUM(COUNTIF(P1767,{"*NLGD*","*FWG*"}))&gt;0,P1767,IF(SUM(COUNTIF(P1767,{"*GL*","*DGB*","*DGI*","*GT*","*CS*","*PWU*","*DBI*","*SWU*"}))=0,P1767,IF(IFERROR(VALUE(SUBSTITUTE(SUBSTITUTE(O1767,"W",""),"""","")),0)&gt;52,P1767&amp;"-OVRSIZE-",P1767))))</f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s="18" t="str">
        <v/>
      </c>
      <c r="O1767" s="15" t="str" cm="1">
        <f t="array" ref="O1767">IFERROR(_xlfn.LET(
_xlpm.clean,TRIM(SUBSTITUTE(SUBSTITUTE(P1767,CHAR(160),"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7" t="str">
        <f t="shared" si="28"/>
        <v/>
      </c>
    </row>
    <row r="1768" spans="3:19" ht="15.75" customHeight="1">
      <c r="C1768" s="15" t="str" cm="1">
        <f t="array" ref="C1768">IFERROR(_xlfn.TEXTJOIN("",TRUE,_xlfn._xlws.FILTER(MID(S1768,_xlfn.SEQUENCE(LEN(S1768)),1),ISNUMBER(SEARCH(MID(S1768,_xlfn.SEQUENCE(LEN(S1768)),1),"ABCDEFGHIJKLMNOPQRSTUVWXYZabcdefghijklmnopqrstuvwxyz0123456789,")))),"")</f>
        <v/>
      </c>
      <c r="G1768" s="20" t="str" cm="1">
        <f t="array" ref="G1768">IF(TRIM(P1768)="","",IF(SUM(COUNTIF(P1768,{"*NLGD*","*FWG*"}))&gt;0,P1768,IF(SUM(COUNTIF(P1768,{"*GL*","*DGB*","*DGI*","*GT*","*CS*","*PWU*","*DBI*","*SWU*"}))=0,P1768,IF(IFERROR(VALUE(SUBSTITUTE(SUBSTITUTE(O1768,"W",""),"""","")),0)&gt;52,P1768&amp;"-OVRSIZE-",P1768))))</f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s="18" t="str">
        <v/>
      </c>
      <c r="O1768" s="15" t="str" cm="1">
        <f t="array" ref="O1768">IFERROR(_xlfn.LET(
_xlpm.clean,TRIM(SUBSTITUTE(SUBSTITUTE(P1768,CHAR(160),"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8" t="str">
        <f t="shared" si="28"/>
        <v/>
      </c>
    </row>
    <row r="1769" spans="3:19" ht="15.75" customHeight="1">
      <c r="C1769" s="15" t="str" cm="1">
        <f t="array" ref="C1769">IFERROR(_xlfn.TEXTJOIN("",TRUE,_xlfn._xlws.FILTER(MID(S1769,_xlfn.SEQUENCE(LEN(S1769)),1),ISNUMBER(SEARCH(MID(S1769,_xlfn.SEQUENCE(LEN(S1769)),1),"ABCDEFGHIJKLMNOPQRSTUVWXYZabcdefghijklmnopqrstuvwxyz0123456789,")))),"")</f>
        <v/>
      </c>
      <c r="G1769" s="20" t="str" cm="1">
        <f t="array" ref="G1769">IF(TRIM(P1769)="","",IF(SUM(COUNTIF(P1769,{"*NLGD*","*FWG*"}))&gt;0,P1769,IF(SUM(COUNTIF(P1769,{"*GL*","*DGB*","*DGI*","*GT*","*CS*","*PWU*","*DBI*","*SWU*"}))=0,P1769,IF(IFERROR(VALUE(SUBSTITUTE(SUBSTITUTE(O1769,"W",""),"""","")),0)&gt;52,P1769&amp;"-OVRSIZE-",P1769))))</f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s="18" t="str">
        <v/>
      </c>
      <c r="O1769" s="15" t="str" cm="1">
        <f t="array" ref="O1769">IFERROR(_xlfn.LET(
_xlpm.clean,TRIM(SUBSTITUTE(SUBSTITUTE(P1769,CHAR(160),"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9" t="str">
        <f t="shared" si="28"/>
        <v/>
      </c>
    </row>
    <row r="1770" spans="3:19" ht="15.75" customHeight="1">
      <c r="C1770" s="15" t="str" cm="1">
        <f t="array" ref="C1770">IFERROR(_xlfn.TEXTJOIN("",TRUE,_xlfn._xlws.FILTER(MID(S1770,_xlfn.SEQUENCE(LEN(S1770)),1),ISNUMBER(SEARCH(MID(S1770,_xlfn.SEQUENCE(LEN(S1770)),1),"ABCDEFGHIJKLMNOPQRSTUVWXYZabcdefghijklmnopqrstuvwxyz0123456789,")))),"")</f>
        <v/>
      </c>
      <c r="G1770" s="20" t="str" cm="1">
        <f t="array" ref="G1770">IF(TRIM(P1770)="","",IF(SUM(COUNTIF(P1770,{"*NLGD*","*FWG*"}))&gt;0,P1770,IF(SUM(COUNTIF(P1770,{"*GL*","*DGB*","*DGI*","*GT*","*CS*","*PWU*","*DBI*","*SWU*"}))=0,P1770,IF(IFERROR(VALUE(SUBSTITUTE(SUBSTITUTE(O1770,"W",""),"""","")),0)&gt;52,P1770&amp;"-OVRSIZE-",P1770))))</f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s="18" t="str">
        <v/>
      </c>
      <c r="O1770" s="15" t="str" cm="1">
        <f t="array" ref="O1770">IFERROR(_xlfn.LET(
_xlpm.clean,TRIM(SUBSTITUTE(SUBSTITUTE(P1770,CHAR(160),"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0" t="str">
        <f t="shared" si="28"/>
        <v/>
      </c>
    </row>
    <row r="1771" spans="3:19" ht="15.75" customHeight="1">
      <c r="C1771" s="15" t="str" cm="1">
        <f t="array" ref="C1771">IFERROR(_xlfn.TEXTJOIN("",TRUE,_xlfn._xlws.FILTER(MID(S1771,_xlfn.SEQUENCE(LEN(S1771)),1),ISNUMBER(SEARCH(MID(S1771,_xlfn.SEQUENCE(LEN(S1771)),1),"ABCDEFGHIJKLMNOPQRSTUVWXYZabcdefghijklmnopqrstuvwxyz0123456789,")))),"")</f>
        <v/>
      </c>
      <c r="G1771" s="20" t="str" cm="1">
        <f t="array" ref="G1771">IF(TRIM(P1771)="","",IF(SUM(COUNTIF(P1771,{"*NLGD*","*FWG*"}))&gt;0,P1771,IF(SUM(COUNTIF(P1771,{"*GL*","*DGB*","*DGI*","*GT*","*CS*","*PWU*","*DBI*","*SWU*"}))=0,P1771,IF(IFERROR(VALUE(SUBSTITUTE(SUBSTITUTE(O1771,"W",""),"""","")),0)&gt;52,P1771&amp;"-OVRSIZE-",P1771))))</f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s="18" t="str">
        <v/>
      </c>
      <c r="O1771" s="15" t="str" cm="1">
        <f t="array" ref="O1771">IFERROR(_xlfn.LET(
_xlpm.clean,TRIM(SUBSTITUTE(SUBSTITUTE(P1771,CHAR(160),"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1" t="str">
        <f t="shared" si="28"/>
        <v/>
      </c>
    </row>
    <row r="1772" spans="3:19" ht="15.75" customHeight="1">
      <c r="C1772" s="15" t="str" cm="1">
        <f t="array" ref="C1772">IFERROR(_xlfn.TEXTJOIN("",TRUE,_xlfn._xlws.FILTER(MID(S1772,_xlfn.SEQUENCE(LEN(S1772)),1),ISNUMBER(SEARCH(MID(S1772,_xlfn.SEQUENCE(LEN(S1772)),1),"ABCDEFGHIJKLMNOPQRSTUVWXYZabcdefghijklmnopqrstuvwxyz0123456789,")))),"")</f>
        <v/>
      </c>
      <c r="G1772" s="20" t="str" cm="1">
        <f t="array" ref="G1772">IF(TRIM(P1772)="","",IF(SUM(COUNTIF(P1772,{"*NLGD*","*FWG*"}))&gt;0,P1772,IF(SUM(COUNTIF(P1772,{"*GL*","*DGB*","*DGI*","*GT*","*CS*","*PWU*","*DBI*","*SWU*"}))=0,P1772,IF(IFERROR(VALUE(SUBSTITUTE(SUBSTITUTE(O1772,"W",""),"""","")),0)&gt;52,P1772&amp;"-OVRSIZE-",P1772))))</f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s="18" t="str">
        <v/>
      </c>
      <c r="O1772" s="15" t="str" cm="1">
        <f t="array" ref="O1772">IFERROR(_xlfn.LET(
_xlpm.clean,TRIM(SUBSTITUTE(SUBSTITUTE(P1772,CHAR(160),"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2" t="str">
        <f t="shared" si="28"/>
        <v/>
      </c>
    </row>
    <row r="1773" spans="3:19" ht="15.75" customHeight="1">
      <c r="C1773" s="15" t="str" cm="1">
        <f t="array" ref="C1773">IFERROR(_xlfn.TEXTJOIN("",TRUE,_xlfn._xlws.FILTER(MID(S1773,_xlfn.SEQUENCE(LEN(S1773)),1),ISNUMBER(SEARCH(MID(S1773,_xlfn.SEQUENCE(LEN(S1773)),1),"ABCDEFGHIJKLMNOPQRSTUVWXYZabcdefghijklmnopqrstuvwxyz0123456789,")))),"")</f>
        <v/>
      </c>
      <c r="G1773" s="20" t="str" cm="1">
        <f t="array" ref="G1773">IF(TRIM(P1773)="","",IF(SUM(COUNTIF(P1773,{"*NLGD*","*FWG*"}))&gt;0,P1773,IF(SUM(COUNTIF(P1773,{"*GL*","*DGB*","*DGI*","*GT*","*CS*","*PWU*","*DBI*","*SWU*"}))=0,P1773,IF(IFERROR(VALUE(SUBSTITUTE(SUBSTITUTE(O1773,"W",""),"""","")),0)&gt;52,P1773&amp;"-OVRSIZE-",P1773))))</f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s="18" t="str">
        <v/>
      </c>
      <c r="O1773" s="15" t="str" cm="1">
        <f t="array" ref="O1773">IFERROR(_xlfn.LET(
_xlpm.clean,TRIM(SUBSTITUTE(SUBSTITUTE(P1773,CHAR(160),"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3" t="str">
        <f t="shared" si="28"/>
        <v/>
      </c>
    </row>
    <row r="1774" spans="3:19" ht="15.75" customHeight="1">
      <c r="C1774" s="15" t="str" cm="1">
        <f t="array" ref="C1774">IFERROR(_xlfn.TEXTJOIN("",TRUE,_xlfn._xlws.FILTER(MID(S1774,_xlfn.SEQUENCE(LEN(S1774)),1),ISNUMBER(SEARCH(MID(S1774,_xlfn.SEQUENCE(LEN(S1774)),1),"ABCDEFGHIJKLMNOPQRSTUVWXYZabcdefghijklmnopqrstuvwxyz0123456789,")))),"")</f>
        <v/>
      </c>
      <c r="G1774" s="20" t="str" cm="1">
        <f t="array" ref="G1774">IF(TRIM(P1774)="","",IF(SUM(COUNTIF(P1774,{"*NLGD*","*FWG*"}))&gt;0,P1774,IF(SUM(COUNTIF(P1774,{"*GL*","*DGB*","*DGI*","*GT*","*CS*","*PWU*","*DBI*","*SWU*"}))=0,P1774,IF(IFERROR(VALUE(SUBSTITUTE(SUBSTITUTE(O1774,"W",""),"""","")),0)&gt;52,P1774&amp;"-OVRSIZE-",P1774))))</f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s="18" t="str">
        <v/>
      </c>
      <c r="O1774" s="15" t="str" cm="1">
        <f t="array" ref="O1774">IFERROR(_xlfn.LET(
_xlpm.clean,TRIM(SUBSTITUTE(SUBSTITUTE(P1774,CHAR(160),"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4" t="str">
        <f t="shared" si="28"/>
        <v/>
      </c>
    </row>
    <row r="1775" spans="3:19" ht="15.75" customHeight="1">
      <c r="C1775" s="15" t="str" cm="1">
        <f t="array" ref="C1775">IFERROR(_xlfn.TEXTJOIN("",TRUE,_xlfn._xlws.FILTER(MID(S1775,_xlfn.SEQUENCE(LEN(S1775)),1),ISNUMBER(SEARCH(MID(S1775,_xlfn.SEQUENCE(LEN(S1775)),1),"ABCDEFGHIJKLMNOPQRSTUVWXYZabcdefghijklmnopqrstuvwxyz0123456789,")))),"")</f>
        <v/>
      </c>
      <c r="G1775" s="20" t="str" cm="1">
        <f t="array" ref="G1775">IF(TRIM(P1775)="","",IF(SUM(COUNTIF(P1775,{"*NLGD*","*FWG*"}))&gt;0,P1775,IF(SUM(COUNTIF(P1775,{"*GL*","*DGB*","*DGI*","*GT*","*CS*","*PWU*","*DBI*","*SWU*"}))=0,P1775,IF(IFERROR(VALUE(SUBSTITUTE(SUBSTITUTE(O1775,"W",""),"""","")),0)&gt;52,P1775&amp;"-OVRSIZE-",P1775))))</f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s="18" t="str">
        <v/>
      </c>
      <c r="O1775" s="15" t="str" cm="1">
        <f t="array" ref="O1775">IFERROR(_xlfn.LET(
_xlpm.clean,TRIM(SUBSTITUTE(SUBSTITUTE(P1775,CHAR(160),"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5" t="str">
        <f t="shared" si="28"/>
        <v/>
      </c>
    </row>
    <row r="1776" spans="3:19" ht="15.75" customHeight="1">
      <c r="C1776" s="15" t="str" cm="1">
        <f t="array" ref="C1776">IFERROR(_xlfn.TEXTJOIN("",TRUE,_xlfn._xlws.FILTER(MID(S1776,_xlfn.SEQUENCE(LEN(S1776)),1),ISNUMBER(SEARCH(MID(S1776,_xlfn.SEQUENCE(LEN(S1776)),1),"ABCDEFGHIJKLMNOPQRSTUVWXYZabcdefghijklmnopqrstuvwxyz0123456789,")))),"")</f>
        <v/>
      </c>
      <c r="G1776" s="20" t="str" cm="1">
        <f t="array" ref="G1776">IF(TRIM(P1776)="","",IF(SUM(COUNTIF(P1776,{"*NLGD*","*FWG*"}))&gt;0,P1776,IF(SUM(COUNTIF(P1776,{"*GL*","*DGB*","*DGI*","*GT*","*CS*","*PWU*","*DBI*","*SWU*"}))=0,P1776,IF(IFERROR(VALUE(SUBSTITUTE(SUBSTITUTE(O1776,"W",""),"""","")),0)&gt;52,P1776&amp;"-OVRSIZE-",P1776))))</f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s="18" t="str">
        <v/>
      </c>
      <c r="O1776" s="15" t="str" cm="1">
        <f t="array" ref="O1776">IFERROR(_xlfn.LET(
_xlpm.clean,TRIM(SUBSTITUTE(SUBSTITUTE(P1776,CHAR(160),"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6" t="str">
        <f t="shared" si="28"/>
        <v/>
      </c>
    </row>
    <row r="1777" spans="3:19" ht="15.75" customHeight="1">
      <c r="C1777" s="15" t="str" cm="1">
        <f t="array" ref="C1777">IFERROR(_xlfn.TEXTJOIN("",TRUE,_xlfn._xlws.FILTER(MID(S1777,_xlfn.SEQUENCE(LEN(S1777)),1),ISNUMBER(SEARCH(MID(S1777,_xlfn.SEQUENCE(LEN(S1777)),1),"ABCDEFGHIJKLMNOPQRSTUVWXYZabcdefghijklmnopqrstuvwxyz0123456789,")))),"")</f>
        <v/>
      </c>
      <c r="G1777" s="20" t="str" cm="1">
        <f t="array" ref="G1777">IF(TRIM(P1777)="","",IF(SUM(COUNTIF(P1777,{"*NLGD*","*FWG*"}))&gt;0,P1777,IF(SUM(COUNTIF(P1777,{"*GL*","*DGB*","*DGI*","*GT*","*CS*","*PWU*","*DBI*","*SWU*"}))=0,P1777,IF(IFERROR(VALUE(SUBSTITUTE(SUBSTITUTE(O1777,"W",""),"""","")),0)&gt;52,P1777&amp;"-OVRSIZE-",P1777))))</f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s="18" t="str">
        <v/>
      </c>
      <c r="O1777" s="15" t="str" cm="1">
        <f t="array" ref="O1777">IFERROR(_xlfn.LET(
_xlpm.clean,TRIM(SUBSTITUTE(SUBSTITUTE(P1777,CHAR(160),"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7" t="str">
        <f t="shared" si="28"/>
        <v/>
      </c>
    </row>
    <row r="1778" spans="3:19" ht="15.75" customHeight="1">
      <c r="C1778" s="15" t="str" cm="1">
        <f t="array" ref="C1778">IFERROR(_xlfn.TEXTJOIN("",TRUE,_xlfn._xlws.FILTER(MID(S1778,_xlfn.SEQUENCE(LEN(S1778)),1),ISNUMBER(SEARCH(MID(S1778,_xlfn.SEQUENCE(LEN(S1778)),1),"ABCDEFGHIJKLMNOPQRSTUVWXYZabcdefghijklmnopqrstuvwxyz0123456789,")))),"")</f>
        <v/>
      </c>
      <c r="G1778" s="20" t="str" cm="1">
        <f t="array" ref="G1778">IF(TRIM(P1778)="","",IF(SUM(COUNTIF(P1778,{"*NLGD*","*FWG*"}))&gt;0,P1778,IF(SUM(COUNTIF(P1778,{"*GL*","*DGB*","*DGI*","*GT*","*CS*","*PWU*","*DBI*","*SWU*"}))=0,P1778,IF(IFERROR(VALUE(SUBSTITUTE(SUBSTITUTE(O1778,"W",""),"""","")),0)&gt;52,P1778&amp;"-OVRSIZE-",P1778))))</f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s="18" t="str">
        <v/>
      </c>
      <c r="O1778" s="15" t="str" cm="1">
        <f t="array" ref="O1778">IFERROR(_xlfn.LET(
_xlpm.clean,TRIM(SUBSTITUTE(SUBSTITUTE(P1778,CHAR(160),"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8" t="str">
        <f t="shared" si="28"/>
        <v/>
      </c>
    </row>
    <row r="1779" spans="3:19" ht="15.75" customHeight="1">
      <c r="C1779" s="15" t="str" cm="1">
        <f t="array" ref="C1779">IFERROR(_xlfn.TEXTJOIN("",TRUE,_xlfn._xlws.FILTER(MID(S1779,_xlfn.SEQUENCE(LEN(S1779)),1),ISNUMBER(SEARCH(MID(S1779,_xlfn.SEQUENCE(LEN(S1779)),1),"ABCDEFGHIJKLMNOPQRSTUVWXYZabcdefghijklmnopqrstuvwxyz0123456789,")))),"")</f>
        <v/>
      </c>
      <c r="G1779" s="20" t="str" cm="1">
        <f t="array" ref="G1779">IF(TRIM(P1779)="","",IF(SUM(COUNTIF(P1779,{"*NLGD*","*FWG*"}))&gt;0,P1779,IF(SUM(COUNTIF(P1779,{"*GL*","*DGB*","*DGI*","*GT*","*CS*","*PWU*","*DBI*","*SWU*"}))=0,P1779,IF(IFERROR(VALUE(SUBSTITUTE(SUBSTITUTE(O1779,"W",""),"""","")),0)&gt;52,P1779&amp;"-OVRSIZE-",P1779))))</f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s="18" t="str">
        <v/>
      </c>
      <c r="O1779" s="15" t="str" cm="1">
        <f t="array" ref="O1779">IFERROR(_xlfn.LET(
_xlpm.clean,TRIM(SUBSTITUTE(SUBSTITUTE(P1779,CHAR(160),"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9" t="str">
        <f t="shared" si="28"/>
        <v/>
      </c>
    </row>
    <row r="1780" spans="3:19" ht="15.75" customHeight="1">
      <c r="C1780" s="15" t="str" cm="1">
        <f t="array" ref="C1780">IFERROR(_xlfn.TEXTJOIN("",TRUE,_xlfn._xlws.FILTER(MID(S1780,_xlfn.SEQUENCE(LEN(S1780)),1),ISNUMBER(SEARCH(MID(S1780,_xlfn.SEQUENCE(LEN(S1780)),1),"ABCDEFGHIJKLMNOPQRSTUVWXYZabcdefghijklmnopqrstuvwxyz0123456789,")))),"")</f>
        <v/>
      </c>
      <c r="G1780" s="20" t="str" cm="1">
        <f t="array" ref="G1780">IF(TRIM(P1780)="","",IF(SUM(COUNTIF(P1780,{"*NLGD*","*FWG*"}))&gt;0,P1780,IF(SUM(COUNTIF(P1780,{"*GL*","*DGB*","*DGI*","*GT*","*CS*","*PWU*","*DBI*","*SWU*"}))=0,P1780,IF(IFERROR(VALUE(SUBSTITUTE(SUBSTITUTE(O1780,"W",""),"""","")),0)&gt;52,P1780&amp;"-OVRSIZE-",P1780))))</f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s="18" t="str">
        <v/>
      </c>
      <c r="O1780" s="15" t="str" cm="1">
        <f t="array" ref="O1780">IFERROR(_xlfn.LET(
_xlpm.clean,TRIM(SUBSTITUTE(SUBSTITUTE(P1780,CHAR(160),"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0" t="str">
        <f t="shared" si="28"/>
        <v/>
      </c>
    </row>
    <row r="1781" spans="3:19" ht="15.75" customHeight="1">
      <c r="C1781" s="15" t="str" cm="1">
        <f t="array" ref="C1781">IFERROR(_xlfn.TEXTJOIN("",TRUE,_xlfn._xlws.FILTER(MID(S1781,_xlfn.SEQUENCE(LEN(S1781)),1),ISNUMBER(SEARCH(MID(S1781,_xlfn.SEQUENCE(LEN(S1781)),1),"ABCDEFGHIJKLMNOPQRSTUVWXYZabcdefghijklmnopqrstuvwxyz0123456789,")))),"")</f>
        <v/>
      </c>
      <c r="G1781" s="20" t="str" cm="1">
        <f t="array" ref="G1781">IF(TRIM(P1781)="","",IF(SUM(COUNTIF(P1781,{"*NLGD*","*FWG*"}))&gt;0,P1781,IF(SUM(COUNTIF(P1781,{"*GL*","*DGB*","*DGI*","*GT*","*CS*","*PWU*","*DBI*","*SWU*"}))=0,P1781,IF(IFERROR(VALUE(SUBSTITUTE(SUBSTITUTE(O1781,"W",""),"""","")),0)&gt;52,P1781&amp;"-OVRSIZE-",P1781))))</f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s="18" t="str">
        <v/>
      </c>
      <c r="O1781" s="15" t="str" cm="1">
        <f t="array" ref="O1781">IFERROR(_xlfn.LET(
_xlpm.clean,TRIM(SUBSTITUTE(SUBSTITUTE(P1781,CHAR(160),"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1" t="str">
        <f t="shared" si="28"/>
        <v/>
      </c>
    </row>
    <row r="1782" spans="3:19" ht="15.75" customHeight="1">
      <c r="C1782" s="15" t="str" cm="1">
        <f t="array" ref="C1782">IFERROR(_xlfn.TEXTJOIN("",TRUE,_xlfn._xlws.FILTER(MID(S1782,_xlfn.SEQUENCE(LEN(S1782)),1),ISNUMBER(SEARCH(MID(S1782,_xlfn.SEQUENCE(LEN(S1782)),1),"ABCDEFGHIJKLMNOPQRSTUVWXYZabcdefghijklmnopqrstuvwxyz0123456789,")))),"")</f>
        <v/>
      </c>
      <c r="G1782" s="20" t="str" cm="1">
        <f t="array" ref="G1782">IF(TRIM(P1782)="","",IF(SUM(COUNTIF(P1782,{"*NLGD*","*FWG*"}))&gt;0,P1782,IF(SUM(COUNTIF(P1782,{"*GL*","*DGB*","*DGI*","*GT*","*CS*","*PWU*","*DBI*","*SWU*"}))=0,P1782,IF(IFERROR(VALUE(SUBSTITUTE(SUBSTITUTE(O1782,"W",""),"""","")),0)&gt;52,P1782&amp;"-OVRSIZE-",P1782))))</f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s="18" t="str">
        <v/>
      </c>
      <c r="O1782" s="15" t="str" cm="1">
        <f t="array" ref="O1782">IFERROR(_xlfn.LET(
_xlpm.clean,TRIM(SUBSTITUTE(SUBSTITUTE(P1782,CHAR(160),"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2" t="str">
        <f t="shared" si="28"/>
        <v/>
      </c>
    </row>
    <row r="1783" spans="3:19" ht="15.75" customHeight="1">
      <c r="C1783" s="15" t="str" cm="1">
        <f t="array" ref="C1783">IFERROR(_xlfn.TEXTJOIN("",TRUE,_xlfn._xlws.FILTER(MID(S1783,_xlfn.SEQUENCE(LEN(S1783)),1),ISNUMBER(SEARCH(MID(S1783,_xlfn.SEQUENCE(LEN(S1783)),1),"ABCDEFGHIJKLMNOPQRSTUVWXYZabcdefghijklmnopqrstuvwxyz0123456789,")))),"")</f>
        <v/>
      </c>
      <c r="G1783" s="20" t="str" cm="1">
        <f t="array" ref="G1783">IF(TRIM(P1783)="","",IF(SUM(COUNTIF(P1783,{"*NLGD*","*FWG*"}))&gt;0,P1783,IF(SUM(COUNTIF(P1783,{"*GL*","*DGB*","*DGI*","*GT*","*CS*","*PWU*","*DBI*","*SWU*"}))=0,P1783,IF(IFERROR(VALUE(SUBSTITUTE(SUBSTITUTE(O1783,"W",""),"""","")),0)&gt;52,P1783&amp;"-OVRSIZE-",P1783))))</f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s="18" t="str">
        <v/>
      </c>
      <c r="O1783" s="15" t="str" cm="1">
        <f t="array" ref="O1783">IFERROR(_xlfn.LET(
_xlpm.clean,TRIM(SUBSTITUTE(SUBSTITUTE(P1783,CHAR(160),"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3" t="str">
        <f t="shared" si="28"/>
        <v/>
      </c>
    </row>
    <row r="1784" spans="3:19" ht="15.75" customHeight="1">
      <c r="C1784" s="15" t="str" cm="1">
        <f t="array" ref="C1784">IFERROR(_xlfn.TEXTJOIN("",TRUE,_xlfn._xlws.FILTER(MID(S1784,_xlfn.SEQUENCE(LEN(S1784)),1),ISNUMBER(SEARCH(MID(S1784,_xlfn.SEQUENCE(LEN(S1784)),1),"ABCDEFGHIJKLMNOPQRSTUVWXYZabcdefghijklmnopqrstuvwxyz0123456789,")))),"")</f>
        <v/>
      </c>
      <c r="G1784" s="20" t="str" cm="1">
        <f t="array" ref="G1784">IF(TRIM(P1784)="","",IF(SUM(COUNTIF(P1784,{"*NLGD*","*FWG*"}))&gt;0,P1784,IF(SUM(COUNTIF(P1784,{"*GL*","*DGB*","*DGI*","*GT*","*CS*","*PWU*","*DBI*","*SWU*"}))=0,P1784,IF(IFERROR(VALUE(SUBSTITUTE(SUBSTITUTE(O1784,"W",""),"""","")),0)&gt;52,P1784&amp;"-OVRSIZE-",P1784))))</f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s="18" t="str">
        <v/>
      </c>
      <c r="O1784" s="15" t="str" cm="1">
        <f t="array" ref="O1784">IFERROR(_xlfn.LET(
_xlpm.clean,TRIM(SUBSTITUTE(SUBSTITUTE(P1784,CHAR(160),"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4" t="str">
        <f t="shared" si="28"/>
        <v/>
      </c>
    </row>
    <row r="1785" spans="3:19" ht="15.75" customHeight="1">
      <c r="C1785" s="15" t="str" cm="1">
        <f t="array" ref="C1785">IFERROR(_xlfn.TEXTJOIN("",TRUE,_xlfn._xlws.FILTER(MID(S1785,_xlfn.SEQUENCE(LEN(S1785)),1),ISNUMBER(SEARCH(MID(S1785,_xlfn.SEQUENCE(LEN(S1785)),1),"ABCDEFGHIJKLMNOPQRSTUVWXYZabcdefghijklmnopqrstuvwxyz0123456789,")))),"")</f>
        <v/>
      </c>
      <c r="G1785" s="20" t="str" cm="1">
        <f t="array" ref="G1785">IF(TRIM(P1785)="","",IF(SUM(COUNTIF(P1785,{"*NLGD*","*FWG*"}))&gt;0,P1785,IF(SUM(COUNTIF(P1785,{"*GL*","*DGB*","*DGI*","*GT*","*CS*","*PWU*","*DBI*","*SWU*"}))=0,P1785,IF(IFERROR(VALUE(SUBSTITUTE(SUBSTITUTE(O1785,"W",""),"""","")),0)&gt;52,P1785&amp;"-OVRSIZE-",P1785))))</f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s="18" t="str">
        <v/>
      </c>
      <c r="O1785" s="15" t="str" cm="1">
        <f t="array" ref="O1785">IFERROR(_xlfn.LET(
_xlpm.clean,TRIM(SUBSTITUTE(SUBSTITUTE(P1785,CHAR(160),"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5" t="str">
        <f t="shared" si="28"/>
        <v/>
      </c>
    </row>
    <row r="1786" spans="3:19" ht="15.75" customHeight="1">
      <c r="C1786" s="15" t="str" cm="1">
        <f t="array" ref="C1786">IFERROR(_xlfn.TEXTJOIN("",TRUE,_xlfn._xlws.FILTER(MID(S1786,_xlfn.SEQUENCE(LEN(S1786)),1),ISNUMBER(SEARCH(MID(S1786,_xlfn.SEQUENCE(LEN(S1786)),1),"ABCDEFGHIJKLMNOPQRSTUVWXYZabcdefghijklmnopqrstuvwxyz0123456789,")))),"")</f>
        <v/>
      </c>
      <c r="G1786" s="20" t="str" cm="1">
        <f t="array" ref="G1786">IF(TRIM(P1786)="","",IF(SUM(COUNTIF(P1786,{"*NLGD*","*FWG*"}))&gt;0,P1786,IF(SUM(COUNTIF(P1786,{"*GL*","*DGB*","*DGI*","*GT*","*CS*","*PWU*","*DBI*","*SWU*"}))=0,P1786,IF(IFERROR(VALUE(SUBSTITUTE(SUBSTITUTE(O1786,"W",""),"""","")),0)&gt;52,P1786&amp;"-OVRSIZE-",P1786))))</f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s="18" t="str">
        <v/>
      </c>
      <c r="O1786" s="15" t="str" cm="1">
        <f t="array" ref="O1786">IFERROR(_xlfn.LET(
_xlpm.clean,TRIM(SUBSTITUTE(SUBSTITUTE(P1786,CHAR(160),"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6" t="str">
        <f t="shared" si="28"/>
        <v/>
      </c>
    </row>
    <row r="1787" spans="3:19" ht="15.75" customHeight="1">
      <c r="C1787" s="15" t="str" cm="1">
        <f t="array" ref="C1787">IFERROR(_xlfn.TEXTJOIN("",TRUE,_xlfn._xlws.FILTER(MID(S1787,_xlfn.SEQUENCE(LEN(S1787)),1),ISNUMBER(SEARCH(MID(S1787,_xlfn.SEQUENCE(LEN(S1787)),1),"ABCDEFGHIJKLMNOPQRSTUVWXYZabcdefghijklmnopqrstuvwxyz0123456789,")))),"")</f>
        <v/>
      </c>
      <c r="G1787" s="20" t="str" cm="1">
        <f t="array" ref="G1787">IF(TRIM(P1787)="","",IF(SUM(COUNTIF(P1787,{"*NLGD*","*FWG*"}))&gt;0,P1787,IF(SUM(COUNTIF(P1787,{"*GL*","*DGB*","*DGI*","*GT*","*CS*","*PWU*","*DBI*","*SWU*"}))=0,P1787,IF(IFERROR(VALUE(SUBSTITUTE(SUBSTITUTE(O1787,"W",""),"""","")),0)&gt;52,P1787&amp;"-OVRSIZE-",P1787))))</f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s="18" t="str">
        <v/>
      </c>
      <c r="O1787" s="15" t="str" cm="1">
        <f t="array" ref="O1787">IFERROR(_xlfn.LET(
_xlpm.clean,TRIM(SUBSTITUTE(SUBSTITUTE(P1787,CHAR(160),"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7" t="str">
        <f t="shared" si="28"/>
        <v/>
      </c>
    </row>
    <row r="1788" spans="3:19" ht="15.75" customHeight="1">
      <c r="C1788" s="15" t="str" cm="1">
        <f t="array" ref="C1788">IFERROR(_xlfn.TEXTJOIN("",TRUE,_xlfn._xlws.FILTER(MID(S1788,_xlfn.SEQUENCE(LEN(S1788)),1),ISNUMBER(SEARCH(MID(S1788,_xlfn.SEQUENCE(LEN(S1788)),1),"ABCDEFGHIJKLMNOPQRSTUVWXYZabcdefghijklmnopqrstuvwxyz0123456789,")))),"")</f>
        <v/>
      </c>
      <c r="G1788" s="20" t="str" cm="1">
        <f t="array" ref="G1788">IF(TRIM(P1788)="","",IF(SUM(COUNTIF(P1788,{"*NLGD*","*FWG*"}))&gt;0,P1788,IF(SUM(COUNTIF(P1788,{"*GL*","*DGB*","*DGI*","*GT*","*CS*","*PWU*","*DBI*","*SWU*"}))=0,P1788,IF(IFERROR(VALUE(SUBSTITUTE(SUBSTITUTE(O1788,"W",""),"""","")),0)&gt;52,P1788&amp;"-OVRSIZE-",P1788))))</f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s="18" t="str">
        <v/>
      </c>
      <c r="O1788" s="15" t="str" cm="1">
        <f t="array" ref="O1788">IFERROR(_xlfn.LET(
_xlpm.clean,TRIM(SUBSTITUTE(SUBSTITUTE(P1788,CHAR(160),"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8" t="str">
        <f t="shared" si="28"/>
        <v/>
      </c>
    </row>
    <row r="1789" spans="3:19" ht="15.75" customHeight="1">
      <c r="C1789" s="15" t="str" cm="1">
        <f t="array" ref="C1789">IFERROR(_xlfn.TEXTJOIN("",TRUE,_xlfn._xlws.FILTER(MID(S1789,_xlfn.SEQUENCE(LEN(S1789)),1),ISNUMBER(SEARCH(MID(S1789,_xlfn.SEQUENCE(LEN(S1789)),1),"ABCDEFGHIJKLMNOPQRSTUVWXYZabcdefghijklmnopqrstuvwxyz0123456789,")))),"")</f>
        <v/>
      </c>
      <c r="G1789" s="20" t="str" cm="1">
        <f t="array" ref="G1789">IF(TRIM(P1789)="","",IF(SUM(COUNTIF(P1789,{"*NLGD*","*FWG*"}))&gt;0,P1789,IF(SUM(COUNTIF(P1789,{"*GL*","*DGB*","*DGI*","*GT*","*CS*","*PWU*","*DBI*","*SWU*"}))=0,P1789,IF(IFERROR(VALUE(SUBSTITUTE(SUBSTITUTE(O1789,"W",""),"""","")),0)&gt;52,P1789&amp;"-OVRSIZE-",P1789))))</f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s="18" t="str">
        <v/>
      </c>
      <c r="O1789" s="15" t="str" cm="1">
        <f t="array" ref="O1789">IFERROR(_xlfn.LET(
_xlpm.clean,TRIM(SUBSTITUTE(SUBSTITUTE(P1789,CHAR(160),"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9" t="str">
        <f t="shared" si="28"/>
        <v/>
      </c>
    </row>
    <row r="1790" spans="3:19" ht="15.75" customHeight="1">
      <c r="C1790" s="15" t="str" cm="1">
        <f t="array" ref="C1790">IFERROR(_xlfn.TEXTJOIN("",TRUE,_xlfn._xlws.FILTER(MID(S1790,_xlfn.SEQUENCE(LEN(S1790)),1),ISNUMBER(SEARCH(MID(S1790,_xlfn.SEQUENCE(LEN(S1790)),1),"ABCDEFGHIJKLMNOPQRSTUVWXYZabcdefghijklmnopqrstuvwxyz0123456789,")))),"")</f>
        <v/>
      </c>
      <c r="G1790" s="20" t="str" cm="1">
        <f t="array" ref="G1790">IF(TRIM(P1790)="","",IF(SUM(COUNTIF(P1790,{"*NLGD*","*FWG*"}))&gt;0,P1790,IF(SUM(COUNTIF(P1790,{"*GL*","*DGB*","*DGI*","*GT*","*CS*","*PWU*","*DBI*","*SWU*"}))=0,P1790,IF(IFERROR(VALUE(SUBSTITUTE(SUBSTITUTE(O1790,"W",""),"""","")),0)&gt;52,P1790&amp;"-OVRSIZE-",P1790))))</f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s="18" t="str">
        <v/>
      </c>
      <c r="O1790" s="15" t="str" cm="1">
        <f t="array" ref="O1790">IFERROR(_xlfn.LET(
_xlpm.clean,TRIM(SUBSTITUTE(SUBSTITUTE(P1790,CHAR(160),"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0" t="str">
        <f t="shared" si="28"/>
        <v/>
      </c>
    </row>
    <row r="1791" spans="3:19" ht="15.75" customHeight="1">
      <c r="C1791" s="15" t="str" cm="1">
        <f t="array" ref="C1791">IFERROR(_xlfn.TEXTJOIN("",TRUE,_xlfn._xlws.FILTER(MID(S1791,_xlfn.SEQUENCE(LEN(S1791)),1),ISNUMBER(SEARCH(MID(S1791,_xlfn.SEQUENCE(LEN(S1791)),1),"ABCDEFGHIJKLMNOPQRSTUVWXYZabcdefghijklmnopqrstuvwxyz0123456789,")))),"")</f>
        <v/>
      </c>
      <c r="G1791" s="20" t="str" cm="1">
        <f t="array" ref="G1791">IF(TRIM(P1791)="","",IF(SUM(COUNTIF(P1791,{"*NLGD*","*FWG*"}))&gt;0,P1791,IF(SUM(COUNTIF(P1791,{"*GL*","*DGB*","*DGI*","*GT*","*CS*","*PWU*","*DBI*","*SWU*"}))=0,P1791,IF(IFERROR(VALUE(SUBSTITUTE(SUBSTITUTE(O1791,"W",""),"""","")),0)&gt;52,P1791&amp;"-OVRSIZE-",P1791))))</f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s="18" t="str">
        <v/>
      </c>
      <c r="O1791" s="15" t="str" cm="1">
        <f t="array" ref="O1791">IFERROR(_xlfn.LET(
_xlpm.clean,TRIM(SUBSTITUTE(SUBSTITUTE(P1791,CHAR(160),"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1" t="str">
        <f t="shared" si="28"/>
        <v/>
      </c>
    </row>
    <row r="1792" spans="3:19" ht="15.75" customHeight="1">
      <c r="C1792" s="15" t="str" cm="1">
        <f t="array" ref="C1792">IFERROR(_xlfn.TEXTJOIN("",TRUE,_xlfn._xlws.FILTER(MID(S1792,_xlfn.SEQUENCE(LEN(S1792)),1),ISNUMBER(SEARCH(MID(S1792,_xlfn.SEQUENCE(LEN(S1792)),1),"ABCDEFGHIJKLMNOPQRSTUVWXYZabcdefghijklmnopqrstuvwxyz0123456789,")))),"")</f>
        <v/>
      </c>
      <c r="G1792" s="20" t="str" cm="1">
        <f t="array" ref="G1792">IF(TRIM(P1792)="","",IF(SUM(COUNTIF(P1792,{"*NLGD*","*FWG*"}))&gt;0,P1792,IF(SUM(COUNTIF(P1792,{"*GL*","*DGB*","*DGI*","*GT*","*CS*","*PWU*","*DBI*","*SWU*"}))=0,P1792,IF(IFERROR(VALUE(SUBSTITUTE(SUBSTITUTE(O1792,"W",""),"""","")),0)&gt;52,P1792&amp;"-OVRSIZE-",P1792))))</f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s="18" t="str">
        <v/>
      </c>
      <c r="O1792" s="15" t="str" cm="1">
        <f t="array" ref="O1792">IFERROR(_xlfn.LET(
_xlpm.clean,TRIM(SUBSTITUTE(SUBSTITUTE(P1792,CHAR(160),"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2" t="str">
        <f t="shared" si="28"/>
        <v/>
      </c>
    </row>
    <row r="1793" spans="3:19" ht="15.75" customHeight="1">
      <c r="C1793" s="15" t="str" cm="1">
        <f t="array" ref="C1793">IFERROR(_xlfn.TEXTJOIN("",TRUE,_xlfn._xlws.FILTER(MID(S1793,_xlfn.SEQUENCE(LEN(S1793)),1),ISNUMBER(SEARCH(MID(S1793,_xlfn.SEQUENCE(LEN(S1793)),1),"ABCDEFGHIJKLMNOPQRSTUVWXYZabcdefghijklmnopqrstuvwxyz0123456789,")))),"")</f>
        <v/>
      </c>
      <c r="G1793" s="20" t="str" cm="1">
        <f t="array" ref="G1793">IF(TRIM(P1793)="","",IF(SUM(COUNTIF(P1793,{"*NLGD*","*FWG*"}))&gt;0,P1793,IF(SUM(COUNTIF(P1793,{"*GL*","*DGB*","*DGI*","*GT*","*CS*","*PWU*","*DBI*","*SWU*"}))=0,P1793,IF(IFERROR(VALUE(SUBSTITUTE(SUBSTITUTE(O1793,"W",""),"""","")),0)&gt;52,P1793&amp;"-OVRSIZE-",P1793))))</f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s="18" t="str">
        <v/>
      </c>
      <c r="O1793" s="15" t="str" cm="1">
        <f t="array" ref="O1793">IFERROR(_xlfn.LET(
_xlpm.clean,TRIM(SUBSTITUTE(SUBSTITUTE(P1793,CHAR(160),"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3" t="str">
        <f t="shared" si="28"/>
        <v/>
      </c>
    </row>
    <row r="1794" spans="3:19" ht="15.75" customHeight="1">
      <c r="C1794" s="15" t="str" cm="1">
        <f t="array" ref="C1794">IFERROR(_xlfn.TEXTJOIN("",TRUE,_xlfn._xlws.FILTER(MID(S1794,_xlfn.SEQUENCE(LEN(S1794)),1),ISNUMBER(SEARCH(MID(S1794,_xlfn.SEQUENCE(LEN(S1794)),1),"ABCDEFGHIJKLMNOPQRSTUVWXYZabcdefghijklmnopqrstuvwxyz0123456789,")))),"")</f>
        <v/>
      </c>
      <c r="G1794" s="20" t="str" cm="1">
        <f t="array" ref="G1794">IF(TRIM(P1794)="","",IF(SUM(COUNTIF(P1794,{"*NLGD*","*FWG*"}))&gt;0,P1794,IF(SUM(COUNTIF(P1794,{"*GL*","*DGB*","*DGI*","*GT*","*CS*","*PWU*","*DBI*","*SWU*"}))=0,P1794,IF(IFERROR(VALUE(SUBSTITUTE(SUBSTITUTE(O1794,"W",""),"""","")),0)&gt;52,P1794&amp;"-OVRSIZE-",P1794))))</f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s="18" t="str">
        <v/>
      </c>
      <c r="O1794" s="15" t="str" cm="1">
        <f t="array" ref="O1794">IFERROR(_xlfn.LET(
_xlpm.clean,TRIM(SUBSTITUTE(SUBSTITUTE(P1794,CHAR(160),"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4" t="str">
        <f t="shared" si="28"/>
        <v/>
      </c>
    </row>
    <row r="1795" spans="3:19" ht="15.75" customHeight="1">
      <c r="C1795" s="15" t="str" cm="1">
        <f t="array" ref="C1795">IFERROR(_xlfn.TEXTJOIN("",TRUE,_xlfn._xlws.FILTER(MID(S1795,_xlfn.SEQUENCE(LEN(S1795)),1),ISNUMBER(SEARCH(MID(S1795,_xlfn.SEQUENCE(LEN(S1795)),1),"ABCDEFGHIJKLMNOPQRSTUVWXYZabcdefghijklmnopqrstuvwxyz0123456789,")))),"")</f>
        <v/>
      </c>
      <c r="G1795" s="20" t="str" cm="1">
        <f t="array" ref="G1795">IF(TRIM(P1795)="","",IF(SUM(COUNTIF(P1795,{"*NLGD*","*FWG*"}))&gt;0,P1795,IF(SUM(COUNTIF(P1795,{"*GL*","*DGB*","*DGI*","*GT*","*CS*","*PWU*","*DBI*","*SWU*"}))=0,P1795,IF(IFERROR(VALUE(SUBSTITUTE(SUBSTITUTE(O1795,"W",""),"""","")),0)&gt;52,P1795&amp;"-OVRSIZE-",P1795))))</f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s="18" t="str">
        <v/>
      </c>
      <c r="O1795" s="15" t="str" cm="1">
        <f t="array" ref="O1795">IFERROR(_xlfn.LET(
_xlpm.clean,TRIM(SUBSTITUTE(SUBSTITUTE(P1795,CHAR(160),"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5" t="str">
        <f t="shared" si="28"/>
        <v/>
      </c>
    </row>
    <row r="1796" spans="3:19" ht="15.75" customHeight="1">
      <c r="C1796" s="15" t="str" cm="1">
        <f t="array" ref="C1796">IFERROR(_xlfn.TEXTJOIN("",TRUE,_xlfn._xlws.FILTER(MID(S1796,_xlfn.SEQUENCE(LEN(S1796)),1),ISNUMBER(SEARCH(MID(S1796,_xlfn.SEQUENCE(LEN(S1796)),1),"ABCDEFGHIJKLMNOPQRSTUVWXYZabcdefghijklmnopqrstuvwxyz0123456789,")))),"")</f>
        <v/>
      </c>
      <c r="G1796" s="20" t="str" cm="1">
        <f t="array" ref="G1796">IF(TRIM(P1796)="","",IF(SUM(COUNTIF(P1796,{"*NLGD*","*FWG*"}))&gt;0,P1796,IF(SUM(COUNTIF(P1796,{"*GL*","*DGB*","*DGI*","*GT*","*CS*","*PWU*","*DBI*","*SWU*"}))=0,P1796,IF(IFERROR(VALUE(SUBSTITUTE(SUBSTITUTE(O1796,"W",""),"""","")),0)&gt;52,P1796&amp;"-OVRSIZE-",P1796))))</f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s="18" t="str">
        <v/>
      </c>
      <c r="O1796" s="15" t="str" cm="1">
        <f t="array" ref="O1796">IFERROR(_xlfn.LET(
_xlpm.clean,TRIM(SUBSTITUTE(SUBSTITUTE(P1796,CHAR(160),"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6" t="str">
        <f t="shared" si="28"/>
        <v/>
      </c>
    </row>
    <row r="1797" spans="3:19" ht="15.75" customHeight="1">
      <c r="C1797" s="15" t="str" cm="1">
        <f t="array" ref="C1797">IFERROR(_xlfn.TEXTJOIN("",TRUE,_xlfn._xlws.FILTER(MID(S1797,_xlfn.SEQUENCE(LEN(S1797)),1),ISNUMBER(SEARCH(MID(S1797,_xlfn.SEQUENCE(LEN(S1797)),1),"ABCDEFGHIJKLMNOPQRSTUVWXYZabcdefghijklmnopqrstuvwxyz0123456789,")))),"")</f>
        <v/>
      </c>
      <c r="G1797" s="20" t="str" cm="1">
        <f t="array" ref="G1797">IF(TRIM(P1797)="","",IF(SUM(COUNTIF(P1797,{"*NLGD*","*FWG*"}))&gt;0,P1797,IF(SUM(COUNTIF(P1797,{"*GL*","*DGB*","*DGI*","*GT*","*CS*","*PWU*","*DBI*","*SWU*"}))=0,P1797,IF(IFERROR(VALUE(SUBSTITUTE(SUBSTITUTE(O1797,"W",""),"""","")),0)&gt;52,P1797&amp;"-OVRSIZE-",P1797))))</f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s="18" t="str">
        <v/>
      </c>
      <c r="O1797" s="15" t="str" cm="1">
        <f t="array" ref="O1797">IFERROR(_xlfn.LET(
_xlpm.clean,TRIM(SUBSTITUTE(SUBSTITUTE(P1797,CHAR(160),"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7" t="str">
        <f t="shared" si="28"/>
        <v/>
      </c>
    </row>
    <row r="1798" spans="3:19" ht="15.75" customHeight="1">
      <c r="C1798" s="15" t="str" cm="1">
        <f t="array" ref="C1798">IFERROR(_xlfn.TEXTJOIN("",TRUE,_xlfn._xlws.FILTER(MID(S1798,_xlfn.SEQUENCE(LEN(S1798)),1),ISNUMBER(SEARCH(MID(S1798,_xlfn.SEQUENCE(LEN(S1798)),1),"ABCDEFGHIJKLMNOPQRSTUVWXYZabcdefghijklmnopqrstuvwxyz0123456789,")))),"")</f>
        <v/>
      </c>
      <c r="G1798" s="20" t="str" cm="1">
        <f t="array" ref="G1798">IF(TRIM(P1798)="","",IF(SUM(COUNTIF(P1798,{"*NLGD*","*FWG*"}))&gt;0,P1798,IF(SUM(COUNTIF(P1798,{"*GL*","*DGB*","*DGI*","*GT*","*CS*","*PWU*","*DBI*","*SWU*"}))=0,P1798,IF(IFERROR(VALUE(SUBSTITUTE(SUBSTITUTE(O1798,"W",""),"""","")),0)&gt;52,P1798&amp;"-OVRSIZE-",P1798))))</f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s="18" t="str">
        <v/>
      </c>
      <c r="O1798" s="15" t="str" cm="1">
        <f t="array" ref="O1798">IFERROR(_xlfn.LET(
_xlpm.clean,TRIM(SUBSTITUTE(SUBSTITUTE(P1798,CHAR(160),"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8" t="str">
        <f t="shared" si="28"/>
        <v/>
      </c>
    </row>
    <row r="1799" spans="3:19" ht="15.75" customHeight="1">
      <c r="C1799" s="15" t="str" cm="1">
        <f t="array" ref="C1799">IFERROR(_xlfn.TEXTJOIN("",TRUE,_xlfn._xlws.FILTER(MID(S1799,_xlfn.SEQUENCE(LEN(S1799)),1),ISNUMBER(SEARCH(MID(S1799,_xlfn.SEQUENCE(LEN(S1799)),1),"ABCDEFGHIJKLMNOPQRSTUVWXYZabcdefghijklmnopqrstuvwxyz0123456789,")))),"")</f>
        <v/>
      </c>
      <c r="G1799" s="20" t="str" cm="1">
        <f t="array" ref="G1799">IF(TRIM(P1799)="","",IF(SUM(COUNTIF(P1799,{"*NLGD*","*FWG*"}))&gt;0,P1799,IF(SUM(COUNTIF(P1799,{"*GL*","*DGB*","*DGI*","*GT*","*CS*","*PWU*","*DBI*","*SWU*"}))=0,P1799,IF(IFERROR(VALUE(SUBSTITUTE(SUBSTITUTE(O1799,"W",""),"""","")),0)&gt;52,P1799&amp;"-OVRSIZE-",P1799))))</f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s="18" t="str">
        <v/>
      </c>
      <c r="O1799" s="15" t="str" cm="1">
        <f t="array" ref="O1799">IFERROR(_xlfn.LET(
_xlpm.clean,TRIM(SUBSTITUTE(SUBSTITUTE(P1799,CHAR(160),"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9" t="str">
        <f t="shared" si="28"/>
        <v/>
      </c>
    </row>
    <row r="1800" spans="3:19" ht="15.75" customHeight="1">
      <c r="C1800" s="15" t="str" cm="1">
        <f t="array" ref="C1800">IFERROR(_xlfn.TEXTJOIN("",TRUE,_xlfn._xlws.FILTER(MID(S1800,_xlfn.SEQUENCE(LEN(S1800)),1),ISNUMBER(SEARCH(MID(S1800,_xlfn.SEQUENCE(LEN(S1800)),1),"ABCDEFGHIJKLMNOPQRSTUVWXYZabcdefghijklmnopqrstuvwxyz0123456789,")))),"")</f>
        <v/>
      </c>
      <c r="G1800" s="20" t="str" cm="1">
        <f t="array" ref="G1800">IF(TRIM(P1800)="","",IF(SUM(COUNTIF(P1800,{"*NLGD*","*FWG*"}))&gt;0,P1800,IF(SUM(COUNTIF(P1800,{"*GL*","*DGB*","*DGI*","*GT*","*CS*","*PWU*","*DBI*","*SWU*"}))=0,P1800,IF(IFERROR(VALUE(SUBSTITUTE(SUBSTITUTE(O1800,"W",""),"""","")),0)&gt;52,P1800&amp;"-OVRSIZE-",P1800))))</f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s="18" t="str">
        <v/>
      </c>
      <c r="O1800" s="15" t="str" cm="1">
        <f t="array" ref="O1800">IFERROR(_xlfn.LET(
_xlpm.clean,TRIM(SUBSTITUTE(SUBSTITUTE(P1800,CHAR(160),"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0" t="str">
        <f t="shared" ref="S1800:S1863" si="29">IF(R1800="","",_xlfn.LET(
_xlpm.x,TRIM(SUBSTITUTE(SUBSTITUTE(SUBSTITUTE(SUBSTITUTE(R1800,":","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801" spans="3:19" ht="15.75" customHeight="1">
      <c r="C1801" s="15" t="str" cm="1">
        <f t="array" ref="C1801">IFERROR(_xlfn.TEXTJOIN("",TRUE,_xlfn._xlws.FILTER(MID(S1801,_xlfn.SEQUENCE(LEN(S1801)),1),ISNUMBER(SEARCH(MID(S1801,_xlfn.SEQUENCE(LEN(S1801)),1),"ABCDEFGHIJKLMNOPQRSTUVWXYZabcdefghijklmnopqrstuvwxyz0123456789,")))),"")</f>
        <v/>
      </c>
      <c r="G1801" s="20" t="str" cm="1">
        <f t="array" ref="G1801">IF(TRIM(P1801)="","",IF(SUM(COUNTIF(P1801,{"*NLGD*","*FWG*"}))&gt;0,P1801,IF(SUM(COUNTIF(P1801,{"*GL*","*DGB*","*DGI*","*GT*","*CS*","*PWU*","*DBI*","*SWU*"}))=0,P1801,IF(IFERROR(VALUE(SUBSTITUTE(SUBSTITUTE(O1801,"W",""),"""","")),0)&gt;52,P1801&amp;"-OVRSIZE-",P1801))))</f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s="18" t="str">
        <v/>
      </c>
      <c r="O1801" s="15" t="str" cm="1">
        <f t="array" ref="O1801">IFERROR(_xlfn.LET(
_xlpm.clean,TRIM(SUBSTITUTE(SUBSTITUTE(P1801,CHAR(160),"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1" t="str">
        <f t="shared" si="29"/>
        <v/>
      </c>
    </row>
    <row r="1802" spans="3:19" ht="15.75" customHeight="1">
      <c r="C1802" s="15" t="str" cm="1">
        <f t="array" ref="C1802">IFERROR(_xlfn.TEXTJOIN("",TRUE,_xlfn._xlws.FILTER(MID(S1802,_xlfn.SEQUENCE(LEN(S1802)),1),ISNUMBER(SEARCH(MID(S1802,_xlfn.SEQUENCE(LEN(S1802)),1),"ABCDEFGHIJKLMNOPQRSTUVWXYZabcdefghijklmnopqrstuvwxyz0123456789,")))),"")</f>
        <v/>
      </c>
      <c r="G1802" s="20" t="str" cm="1">
        <f t="array" ref="G1802">IF(TRIM(P1802)="","",IF(SUM(COUNTIF(P1802,{"*NLGD*","*FWG*"}))&gt;0,P1802,IF(SUM(COUNTIF(P1802,{"*GL*","*DGB*","*DGI*","*GT*","*CS*","*PWU*","*DBI*","*SWU*"}))=0,P1802,IF(IFERROR(VALUE(SUBSTITUTE(SUBSTITUTE(O1802,"W",""),"""","")),0)&gt;52,P1802&amp;"-OVRSIZE-",P1802))))</f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s="18" t="str">
        <v/>
      </c>
      <c r="O1802" s="15" t="str" cm="1">
        <f t="array" ref="O1802">IFERROR(_xlfn.LET(
_xlpm.clean,TRIM(SUBSTITUTE(SUBSTITUTE(P1802,CHAR(160),"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2" t="str">
        <f t="shared" si="29"/>
        <v/>
      </c>
    </row>
    <row r="1803" spans="3:19" ht="15.75" customHeight="1">
      <c r="C1803" s="15" t="str" cm="1">
        <f t="array" ref="C1803">IFERROR(_xlfn.TEXTJOIN("",TRUE,_xlfn._xlws.FILTER(MID(S1803,_xlfn.SEQUENCE(LEN(S1803)),1),ISNUMBER(SEARCH(MID(S1803,_xlfn.SEQUENCE(LEN(S1803)),1),"ABCDEFGHIJKLMNOPQRSTUVWXYZabcdefghijklmnopqrstuvwxyz0123456789,")))),"")</f>
        <v/>
      </c>
      <c r="G1803" s="20" t="str" cm="1">
        <f t="array" ref="G1803">IF(TRIM(P1803)="","",IF(SUM(COUNTIF(P1803,{"*NLGD*","*FWG*"}))&gt;0,P1803,IF(SUM(COUNTIF(P1803,{"*GL*","*DGB*","*DGI*","*GT*","*CS*","*PWU*","*DBI*","*SWU*"}))=0,P1803,IF(IFERROR(VALUE(SUBSTITUTE(SUBSTITUTE(O1803,"W",""),"""","")),0)&gt;52,P1803&amp;"-OVRSIZE-",P1803))))</f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s="18" t="str">
        <v/>
      </c>
      <c r="O1803" s="15" t="str" cm="1">
        <f t="array" ref="O1803">IFERROR(_xlfn.LET(
_xlpm.clean,TRIM(SUBSTITUTE(SUBSTITUTE(P1803,CHAR(160),"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3" t="str">
        <f t="shared" si="29"/>
        <v/>
      </c>
    </row>
    <row r="1804" spans="3:19" ht="15.75" customHeight="1">
      <c r="C1804" s="15" t="str" cm="1">
        <f t="array" ref="C1804">IFERROR(_xlfn.TEXTJOIN("",TRUE,_xlfn._xlws.FILTER(MID(S1804,_xlfn.SEQUENCE(LEN(S1804)),1),ISNUMBER(SEARCH(MID(S1804,_xlfn.SEQUENCE(LEN(S1804)),1),"ABCDEFGHIJKLMNOPQRSTUVWXYZabcdefghijklmnopqrstuvwxyz0123456789,")))),"")</f>
        <v/>
      </c>
      <c r="G1804" s="20" t="str" cm="1">
        <f t="array" ref="G1804">IF(TRIM(P1804)="","",IF(SUM(COUNTIF(P1804,{"*NLGD*","*FWG*"}))&gt;0,P1804,IF(SUM(COUNTIF(P1804,{"*GL*","*DGB*","*DGI*","*GT*","*CS*","*PWU*","*DBI*","*SWU*"}))=0,P1804,IF(IFERROR(VALUE(SUBSTITUTE(SUBSTITUTE(O1804,"W",""),"""","")),0)&gt;52,P1804&amp;"-OVRSIZE-",P1804))))</f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s="18" t="str">
        <v/>
      </c>
      <c r="O1804" s="15" t="str" cm="1">
        <f t="array" ref="O1804">IFERROR(_xlfn.LET(
_xlpm.clean,TRIM(SUBSTITUTE(SUBSTITUTE(P1804,CHAR(160),"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4" t="str">
        <f t="shared" si="29"/>
        <v/>
      </c>
    </row>
    <row r="1805" spans="3:19" ht="15.75" customHeight="1">
      <c r="C1805" s="15" t="str" cm="1">
        <f t="array" ref="C1805">IFERROR(_xlfn.TEXTJOIN("",TRUE,_xlfn._xlws.FILTER(MID(S1805,_xlfn.SEQUENCE(LEN(S1805)),1),ISNUMBER(SEARCH(MID(S1805,_xlfn.SEQUENCE(LEN(S1805)),1),"ABCDEFGHIJKLMNOPQRSTUVWXYZabcdefghijklmnopqrstuvwxyz0123456789,")))),"")</f>
        <v/>
      </c>
      <c r="G1805" s="20" t="str" cm="1">
        <f t="array" ref="G1805">IF(TRIM(P1805)="","",IF(SUM(COUNTIF(P1805,{"*NLGD*","*FWG*"}))&gt;0,P1805,IF(SUM(COUNTIF(P1805,{"*GL*","*DGB*","*DGI*","*GT*","*CS*","*PWU*","*DBI*","*SWU*"}))=0,P1805,IF(IFERROR(VALUE(SUBSTITUTE(SUBSTITUTE(O1805,"W",""),"""","")),0)&gt;52,P1805&amp;"-OVRSIZE-",P1805))))</f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s="18" t="str">
        <v/>
      </c>
      <c r="O1805" s="15" t="str" cm="1">
        <f t="array" ref="O1805">IFERROR(_xlfn.LET(
_xlpm.clean,TRIM(SUBSTITUTE(SUBSTITUTE(P1805,CHAR(160),"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5" t="str">
        <f t="shared" si="29"/>
        <v/>
      </c>
    </row>
    <row r="1806" spans="3:19" ht="15.75" customHeight="1">
      <c r="C1806" s="15" t="str" cm="1">
        <f t="array" ref="C1806">IFERROR(_xlfn.TEXTJOIN("",TRUE,_xlfn._xlws.FILTER(MID(S1806,_xlfn.SEQUENCE(LEN(S1806)),1),ISNUMBER(SEARCH(MID(S1806,_xlfn.SEQUENCE(LEN(S1806)),1),"ABCDEFGHIJKLMNOPQRSTUVWXYZabcdefghijklmnopqrstuvwxyz0123456789,")))),"")</f>
        <v/>
      </c>
      <c r="G1806" s="20" t="str" cm="1">
        <f t="array" ref="G1806">IF(TRIM(P1806)="","",IF(SUM(COUNTIF(P1806,{"*NLGD*","*FWG*"}))&gt;0,P1806,IF(SUM(COUNTIF(P1806,{"*GL*","*DGB*","*DGI*","*GT*","*CS*","*PWU*","*DBI*","*SWU*"}))=0,P1806,IF(IFERROR(VALUE(SUBSTITUTE(SUBSTITUTE(O1806,"W",""),"""","")),0)&gt;52,P1806&amp;"-OVRSIZE-",P1806))))</f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s="18" t="str">
        <v/>
      </c>
      <c r="O1806" s="15" t="str" cm="1">
        <f t="array" ref="O1806">IFERROR(_xlfn.LET(
_xlpm.clean,TRIM(SUBSTITUTE(SUBSTITUTE(P1806,CHAR(160),"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6" t="str">
        <f t="shared" si="29"/>
        <v/>
      </c>
    </row>
    <row r="1807" spans="3:19" ht="15.75" customHeight="1">
      <c r="C1807" s="15" t="str" cm="1">
        <f t="array" ref="C1807">IFERROR(_xlfn.TEXTJOIN("",TRUE,_xlfn._xlws.FILTER(MID(S1807,_xlfn.SEQUENCE(LEN(S1807)),1),ISNUMBER(SEARCH(MID(S1807,_xlfn.SEQUENCE(LEN(S1807)),1),"ABCDEFGHIJKLMNOPQRSTUVWXYZabcdefghijklmnopqrstuvwxyz0123456789,")))),"")</f>
        <v/>
      </c>
      <c r="G1807" s="20" t="str" cm="1">
        <f t="array" ref="G1807">IF(TRIM(P1807)="","",IF(SUM(COUNTIF(P1807,{"*NLGD*","*FWG*"}))&gt;0,P1807,IF(SUM(COUNTIF(P1807,{"*GL*","*DGB*","*DGI*","*GT*","*CS*","*PWU*","*DBI*","*SWU*"}))=0,P1807,IF(IFERROR(VALUE(SUBSTITUTE(SUBSTITUTE(O1807,"W",""),"""","")),0)&gt;52,P1807&amp;"-OVRSIZE-",P1807))))</f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s="18" t="str">
        <v/>
      </c>
      <c r="O1807" s="15" t="str" cm="1">
        <f t="array" ref="O1807">IFERROR(_xlfn.LET(
_xlpm.clean,TRIM(SUBSTITUTE(SUBSTITUTE(P1807,CHAR(160),"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7" t="str">
        <f t="shared" si="29"/>
        <v/>
      </c>
    </row>
    <row r="1808" spans="3:19" ht="15.75" customHeight="1">
      <c r="C1808" s="15" t="str" cm="1">
        <f t="array" ref="C1808">IFERROR(_xlfn.TEXTJOIN("",TRUE,_xlfn._xlws.FILTER(MID(S1808,_xlfn.SEQUENCE(LEN(S1808)),1),ISNUMBER(SEARCH(MID(S1808,_xlfn.SEQUENCE(LEN(S1808)),1),"ABCDEFGHIJKLMNOPQRSTUVWXYZabcdefghijklmnopqrstuvwxyz0123456789,")))),"")</f>
        <v/>
      </c>
      <c r="G1808" s="20" t="str" cm="1">
        <f t="array" ref="G1808">IF(TRIM(P1808)="","",IF(SUM(COUNTIF(P1808,{"*NLGD*","*FWG*"}))&gt;0,P1808,IF(SUM(COUNTIF(P1808,{"*GL*","*DGB*","*DGI*","*GT*","*CS*","*PWU*","*DBI*","*SWU*"}))=0,P1808,IF(IFERROR(VALUE(SUBSTITUTE(SUBSTITUTE(O1808,"W",""),"""","")),0)&gt;52,P1808&amp;"-OVRSIZE-",P1808))))</f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s="18" t="str">
        <v/>
      </c>
      <c r="O1808" s="15" t="str" cm="1">
        <f t="array" ref="O1808">IFERROR(_xlfn.LET(
_xlpm.clean,TRIM(SUBSTITUTE(SUBSTITUTE(P1808,CHAR(160),"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8" t="str">
        <f t="shared" si="29"/>
        <v/>
      </c>
    </row>
    <row r="1809" spans="3:19" ht="15.75" customHeight="1">
      <c r="C1809" s="15" t="str" cm="1">
        <f t="array" ref="C1809">IFERROR(_xlfn.TEXTJOIN("",TRUE,_xlfn._xlws.FILTER(MID(S1809,_xlfn.SEQUENCE(LEN(S1809)),1),ISNUMBER(SEARCH(MID(S1809,_xlfn.SEQUENCE(LEN(S1809)),1),"ABCDEFGHIJKLMNOPQRSTUVWXYZabcdefghijklmnopqrstuvwxyz0123456789,")))),"")</f>
        <v/>
      </c>
      <c r="G1809" s="20" t="str" cm="1">
        <f t="array" ref="G1809">IF(TRIM(P1809)="","",IF(SUM(COUNTIF(P1809,{"*NLGD*","*FWG*"}))&gt;0,P1809,IF(SUM(COUNTIF(P1809,{"*GL*","*DGB*","*DGI*","*GT*","*CS*","*PWU*","*DBI*","*SWU*"}))=0,P1809,IF(IFERROR(VALUE(SUBSTITUTE(SUBSTITUTE(O1809,"W",""),"""","")),0)&gt;52,P1809&amp;"-OVRSIZE-",P1809))))</f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s="18" t="str">
        <v/>
      </c>
      <c r="O1809" s="15" t="str" cm="1">
        <f t="array" ref="O1809">IFERROR(_xlfn.LET(
_xlpm.clean,TRIM(SUBSTITUTE(SUBSTITUTE(P1809,CHAR(160),"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9" t="str">
        <f t="shared" si="29"/>
        <v/>
      </c>
    </row>
    <row r="1810" spans="3:19" ht="15.75" customHeight="1">
      <c r="C1810" s="15" t="str" cm="1">
        <f t="array" ref="C1810">IFERROR(_xlfn.TEXTJOIN("",TRUE,_xlfn._xlws.FILTER(MID(S1810,_xlfn.SEQUENCE(LEN(S1810)),1),ISNUMBER(SEARCH(MID(S1810,_xlfn.SEQUENCE(LEN(S1810)),1),"ABCDEFGHIJKLMNOPQRSTUVWXYZabcdefghijklmnopqrstuvwxyz0123456789,")))),"")</f>
        <v/>
      </c>
      <c r="G1810" s="20" t="str" cm="1">
        <f t="array" ref="G1810">IF(TRIM(P1810)="","",IF(SUM(COUNTIF(P1810,{"*NLGD*","*FWG*"}))&gt;0,P1810,IF(SUM(COUNTIF(P1810,{"*GL*","*DGB*","*DGI*","*GT*","*CS*","*PWU*","*DBI*","*SWU*"}))=0,P1810,IF(IFERROR(VALUE(SUBSTITUTE(SUBSTITUTE(O1810,"W",""),"""","")),0)&gt;52,P1810&amp;"-OVRSIZE-",P1810))))</f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s="18" t="str">
        <v/>
      </c>
      <c r="O1810" s="15" t="str" cm="1">
        <f t="array" ref="O1810">IFERROR(_xlfn.LET(
_xlpm.clean,TRIM(SUBSTITUTE(SUBSTITUTE(P1810,CHAR(160),"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0" t="str">
        <f t="shared" si="29"/>
        <v/>
      </c>
    </row>
    <row r="1811" spans="3:19" ht="15.75" customHeight="1">
      <c r="C1811" s="15" t="str" cm="1">
        <f t="array" ref="C1811">IFERROR(_xlfn.TEXTJOIN("",TRUE,_xlfn._xlws.FILTER(MID(S1811,_xlfn.SEQUENCE(LEN(S1811)),1),ISNUMBER(SEARCH(MID(S1811,_xlfn.SEQUENCE(LEN(S1811)),1),"ABCDEFGHIJKLMNOPQRSTUVWXYZabcdefghijklmnopqrstuvwxyz0123456789,")))),"")</f>
        <v/>
      </c>
      <c r="G1811" s="20" t="str" cm="1">
        <f t="array" ref="G1811">IF(TRIM(P1811)="","",IF(SUM(COUNTIF(P1811,{"*NLGD*","*FWG*"}))&gt;0,P1811,IF(SUM(COUNTIF(P1811,{"*GL*","*DGB*","*DGI*","*GT*","*CS*","*PWU*","*DBI*","*SWU*"}))=0,P1811,IF(IFERROR(VALUE(SUBSTITUTE(SUBSTITUTE(O1811,"W",""),"""","")),0)&gt;52,P1811&amp;"-OVRSIZE-",P1811))))</f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s="18" t="str">
        <v/>
      </c>
      <c r="O1811" s="15" t="str" cm="1">
        <f t="array" ref="O1811">IFERROR(_xlfn.LET(
_xlpm.clean,TRIM(SUBSTITUTE(SUBSTITUTE(P1811,CHAR(160),"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1" t="str">
        <f t="shared" si="29"/>
        <v/>
      </c>
    </row>
    <row r="1812" spans="3:19" ht="15.75" customHeight="1">
      <c r="C1812" s="15" t="str" cm="1">
        <f t="array" ref="C1812">IFERROR(_xlfn.TEXTJOIN("",TRUE,_xlfn._xlws.FILTER(MID(S1812,_xlfn.SEQUENCE(LEN(S1812)),1),ISNUMBER(SEARCH(MID(S1812,_xlfn.SEQUENCE(LEN(S1812)),1),"ABCDEFGHIJKLMNOPQRSTUVWXYZabcdefghijklmnopqrstuvwxyz0123456789,")))),"")</f>
        <v/>
      </c>
      <c r="G1812" s="20" t="str" cm="1">
        <f t="array" ref="G1812">IF(TRIM(P1812)="","",IF(SUM(COUNTIF(P1812,{"*NLGD*","*FWG*"}))&gt;0,P1812,IF(SUM(COUNTIF(P1812,{"*GL*","*DGB*","*DGI*","*GT*","*CS*","*PWU*","*DBI*","*SWU*"}))=0,P1812,IF(IFERROR(VALUE(SUBSTITUTE(SUBSTITUTE(O1812,"W",""),"""","")),0)&gt;52,P1812&amp;"-OVRSIZE-",P1812))))</f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s="18" t="str">
        <v/>
      </c>
      <c r="O1812" s="15" t="str" cm="1">
        <f t="array" ref="O1812">IFERROR(_xlfn.LET(
_xlpm.clean,TRIM(SUBSTITUTE(SUBSTITUTE(P1812,CHAR(160),"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2" t="str">
        <f t="shared" si="29"/>
        <v/>
      </c>
    </row>
    <row r="1813" spans="3:19" ht="15.75" customHeight="1">
      <c r="C1813" s="15" t="str" cm="1">
        <f t="array" ref="C1813">IFERROR(_xlfn.TEXTJOIN("",TRUE,_xlfn._xlws.FILTER(MID(S1813,_xlfn.SEQUENCE(LEN(S1813)),1),ISNUMBER(SEARCH(MID(S1813,_xlfn.SEQUENCE(LEN(S1813)),1),"ABCDEFGHIJKLMNOPQRSTUVWXYZabcdefghijklmnopqrstuvwxyz0123456789,")))),"")</f>
        <v/>
      </c>
      <c r="G1813" s="20" t="str" cm="1">
        <f t="array" ref="G1813">IF(TRIM(P1813)="","",IF(SUM(COUNTIF(P1813,{"*NLGD*","*FWG*"}))&gt;0,P1813,IF(SUM(COUNTIF(P1813,{"*GL*","*DGB*","*DGI*","*GT*","*CS*","*PWU*","*DBI*","*SWU*"}))=0,P1813,IF(IFERROR(VALUE(SUBSTITUTE(SUBSTITUTE(O1813,"W",""),"""","")),0)&gt;52,P1813&amp;"-OVRSIZE-",P1813))))</f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s="18" t="str">
        <v/>
      </c>
      <c r="O1813" s="15" t="str" cm="1">
        <f t="array" ref="O1813">IFERROR(_xlfn.LET(
_xlpm.clean,TRIM(SUBSTITUTE(SUBSTITUTE(P1813,CHAR(160),"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3" t="str">
        <f t="shared" si="29"/>
        <v/>
      </c>
    </row>
    <row r="1814" spans="3:19" ht="15.75" customHeight="1">
      <c r="C1814" s="15" t="str" cm="1">
        <f t="array" ref="C1814">IFERROR(_xlfn.TEXTJOIN("",TRUE,_xlfn._xlws.FILTER(MID(S1814,_xlfn.SEQUENCE(LEN(S1814)),1),ISNUMBER(SEARCH(MID(S1814,_xlfn.SEQUENCE(LEN(S1814)),1),"ABCDEFGHIJKLMNOPQRSTUVWXYZabcdefghijklmnopqrstuvwxyz0123456789,")))),"")</f>
        <v/>
      </c>
      <c r="G1814" s="20" t="str" cm="1">
        <f t="array" ref="G1814">IF(TRIM(P1814)="","",IF(SUM(COUNTIF(P1814,{"*NLGD*","*FWG*"}))&gt;0,P1814,IF(SUM(COUNTIF(P1814,{"*GL*","*DGB*","*DGI*","*GT*","*CS*","*PWU*","*DBI*","*SWU*"}))=0,P1814,IF(IFERROR(VALUE(SUBSTITUTE(SUBSTITUTE(O1814,"W",""),"""","")),0)&gt;52,P1814&amp;"-OVRSIZE-",P1814))))</f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s="18" t="str">
        <v/>
      </c>
      <c r="O1814" s="15" t="str" cm="1">
        <f t="array" ref="O1814">IFERROR(_xlfn.LET(
_xlpm.clean,TRIM(SUBSTITUTE(SUBSTITUTE(P1814,CHAR(160),"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4" t="str">
        <f t="shared" si="29"/>
        <v/>
      </c>
    </row>
    <row r="1815" spans="3:19" ht="15.75" customHeight="1">
      <c r="C1815" s="15" t="str" cm="1">
        <f t="array" ref="C1815">IFERROR(_xlfn.TEXTJOIN("",TRUE,_xlfn._xlws.FILTER(MID(S1815,_xlfn.SEQUENCE(LEN(S1815)),1),ISNUMBER(SEARCH(MID(S1815,_xlfn.SEQUENCE(LEN(S1815)),1),"ABCDEFGHIJKLMNOPQRSTUVWXYZabcdefghijklmnopqrstuvwxyz0123456789,")))),"")</f>
        <v/>
      </c>
      <c r="G1815" s="20" t="str" cm="1">
        <f t="array" ref="G1815">IF(TRIM(P1815)="","",IF(SUM(COUNTIF(P1815,{"*NLGD*","*FWG*"}))&gt;0,P1815,IF(SUM(COUNTIF(P1815,{"*GL*","*DGB*","*DGI*","*GT*","*CS*","*PWU*","*DBI*","*SWU*"}))=0,P1815,IF(IFERROR(VALUE(SUBSTITUTE(SUBSTITUTE(O1815,"W",""),"""","")),0)&gt;52,P1815&amp;"-OVRSIZE-",P1815))))</f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s="18" t="str">
        <v/>
      </c>
      <c r="O1815" s="15" t="str" cm="1">
        <f t="array" ref="O1815">IFERROR(_xlfn.LET(
_xlpm.clean,TRIM(SUBSTITUTE(SUBSTITUTE(P1815,CHAR(160),"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5" t="str">
        <f t="shared" si="29"/>
        <v/>
      </c>
    </row>
    <row r="1816" spans="3:19" ht="15.75" customHeight="1">
      <c r="C1816" s="15" t="str" cm="1">
        <f t="array" ref="C1816">IFERROR(_xlfn.TEXTJOIN("",TRUE,_xlfn._xlws.FILTER(MID(S1816,_xlfn.SEQUENCE(LEN(S1816)),1),ISNUMBER(SEARCH(MID(S1816,_xlfn.SEQUENCE(LEN(S1816)),1),"ABCDEFGHIJKLMNOPQRSTUVWXYZabcdefghijklmnopqrstuvwxyz0123456789,")))),"")</f>
        <v/>
      </c>
      <c r="G1816" s="20" t="str" cm="1">
        <f t="array" ref="G1816">IF(TRIM(P1816)="","",IF(SUM(COUNTIF(P1816,{"*NLGD*","*FWG*"}))&gt;0,P1816,IF(SUM(COUNTIF(P1816,{"*GL*","*DGB*","*DGI*","*GT*","*CS*","*PWU*","*DBI*","*SWU*"}))=0,P1816,IF(IFERROR(VALUE(SUBSTITUTE(SUBSTITUTE(O1816,"W",""),"""","")),0)&gt;52,P1816&amp;"-OVRSIZE-",P1816))))</f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s="18" t="str">
        <v/>
      </c>
      <c r="O1816" s="15" t="str" cm="1">
        <f t="array" ref="O1816">IFERROR(_xlfn.LET(
_xlpm.clean,TRIM(SUBSTITUTE(SUBSTITUTE(P1816,CHAR(160),"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6" t="str">
        <f t="shared" si="29"/>
        <v/>
      </c>
    </row>
    <row r="1817" spans="3:19" ht="15.75" customHeight="1">
      <c r="C1817" s="15" t="str" cm="1">
        <f t="array" ref="C1817">IFERROR(_xlfn.TEXTJOIN("",TRUE,_xlfn._xlws.FILTER(MID(S1817,_xlfn.SEQUENCE(LEN(S1817)),1),ISNUMBER(SEARCH(MID(S1817,_xlfn.SEQUENCE(LEN(S1817)),1),"ABCDEFGHIJKLMNOPQRSTUVWXYZabcdefghijklmnopqrstuvwxyz0123456789,")))),"")</f>
        <v/>
      </c>
      <c r="G1817" s="20" t="str" cm="1">
        <f t="array" ref="G1817">IF(TRIM(P1817)="","",IF(SUM(COUNTIF(P1817,{"*NLGD*","*FWG*"}))&gt;0,P1817,IF(SUM(COUNTIF(P1817,{"*GL*","*DGB*","*DGI*","*GT*","*CS*","*PWU*","*DBI*","*SWU*"}))=0,P1817,IF(IFERROR(VALUE(SUBSTITUTE(SUBSTITUTE(O1817,"W",""),"""","")),0)&gt;52,P1817&amp;"-OVRSIZE-",P1817))))</f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s="18" t="str">
        <v/>
      </c>
      <c r="O1817" s="15" t="str" cm="1">
        <f t="array" ref="O1817">IFERROR(_xlfn.LET(
_xlpm.clean,TRIM(SUBSTITUTE(SUBSTITUTE(P1817,CHAR(160),"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7" t="str">
        <f t="shared" si="29"/>
        <v/>
      </c>
    </row>
    <row r="1818" spans="3:19" ht="15.75" customHeight="1">
      <c r="C1818" s="15" t="str" cm="1">
        <f t="array" ref="C1818">IFERROR(_xlfn.TEXTJOIN("",TRUE,_xlfn._xlws.FILTER(MID(S1818,_xlfn.SEQUENCE(LEN(S1818)),1),ISNUMBER(SEARCH(MID(S1818,_xlfn.SEQUENCE(LEN(S1818)),1),"ABCDEFGHIJKLMNOPQRSTUVWXYZabcdefghijklmnopqrstuvwxyz0123456789,")))),"")</f>
        <v/>
      </c>
      <c r="G1818" s="20" t="str" cm="1">
        <f t="array" ref="G1818">IF(TRIM(P1818)="","",IF(SUM(COUNTIF(P1818,{"*NLGD*","*FWG*"}))&gt;0,P1818,IF(SUM(COUNTIF(P1818,{"*GL*","*DGB*","*DGI*","*GT*","*CS*","*PWU*","*DBI*","*SWU*"}))=0,P1818,IF(IFERROR(VALUE(SUBSTITUTE(SUBSTITUTE(O1818,"W",""),"""","")),0)&gt;52,P1818&amp;"-OVRSIZE-",P1818))))</f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s="18" t="str">
        <v/>
      </c>
      <c r="O1818" s="15" t="str" cm="1">
        <f t="array" ref="O1818">IFERROR(_xlfn.LET(
_xlpm.clean,TRIM(SUBSTITUTE(SUBSTITUTE(P1818,CHAR(160),"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8" t="str">
        <f t="shared" si="29"/>
        <v/>
      </c>
    </row>
    <row r="1819" spans="3:19" ht="15.75" customHeight="1">
      <c r="C1819" s="15" t="str" cm="1">
        <f t="array" ref="C1819">IFERROR(_xlfn.TEXTJOIN("",TRUE,_xlfn._xlws.FILTER(MID(S1819,_xlfn.SEQUENCE(LEN(S1819)),1),ISNUMBER(SEARCH(MID(S1819,_xlfn.SEQUENCE(LEN(S1819)),1),"ABCDEFGHIJKLMNOPQRSTUVWXYZabcdefghijklmnopqrstuvwxyz0123456789,")))),"")</f>
        <v/>
      </c>
      <c r="G1819" s="20" t="str" cm="1">
        <f t="array" ref="G1819">IF(TRIM(P1819)="","",IF(SUM(COUNTIF(P1819,{"*NLGD*","*FWG*"}))&gt;0,P1819,IF(SUM(COUNTIF(P1819,{"*GL*","*DGB*","*DGI*","*GT*","*CS*","*PWU*","*DBI*","*SWU*"}))=0,P1819,IF(IFERROR(VALUE(SUBSTITUTE(SUBSTITUTE(O1819,"W",""),"""","")),0)&gt;52,P1819&amp;"-OVRSIZE-",P1819))))</f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s="18" t="str">
        <v/>
      </c>
      <c r="O1819" s="15" t="str" cm="1">
        <f t="array" ref="O1819">IFERROR(_xlfn.LET(
_xlpm.clean,TRIM(SUBSTITUTE(SUBSTITUTE(P1819,CHAR(160),"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9" t="str">
        <f t="shared" si="29"/>
        <v/>
      </c>
    </row>
    <row r="1820" spans="3:19" ht="15.75" customHeight="1">
      <c r="C1820" s="15" t="str" cm="1">
        <f t="array" ref="C1820">IFERROR(_xlfn.TEXTJOIN("",TRUE,_xlfn._xlws.FILTER(MID(S1820,_xlfn.SEQUENCE(LEN(S1820)),1),ISNUMBER(SEARCH(MID(S1820,_xlfn.SEQUENCE(LEN(S1820)),1),"ABCDEFGHIJKLMNOPQRSTUVWXYZabcdefghijklmnopqrstuvwxyz0123456789,")))),"")</f>
        <v/>
      </c>
      <c r="G1820" s="20" t="str" cm="1">
        <f t="array" ref="G1820">IF(TRIM(P1820)="","",IF(SUM(COUNTIF(P1820,{"*NLGD*","*FWG*"}))&gt;0,P1820,IF(SUM(COUNTIF(P1820,{"*GL*","*DGB*","*DGI*","*GT*","*CS*","*PWU*","*DBI*","*SWU*"}))=0,P1820,IF(IFERROR(VALUE(SUBSTITUTE(SUBSTITUTE(O1820,"W",""),"""","")),0)&gt;52,P1820&amp;"-OVRSIZE-",P1820))))</f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s="18" t="str">
        <v/>
      </c>
      <c r="O1820" s="15" t="str" cm="1">
        <f t="array" ref="O1820">IFERROR(_xlfn.LET(
_xlpm.clean,TRIM(SUBSTITUTE(SUBSTITUTE(P1820,CHAR(160),"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0" t="str">
        <f t="shared" si="29"/>
        <v/>
      </c>
    </row>
    <row r="1821" spans="3:19" ht="15.75" customHeight="1">
      <c r="C1821" s="15" t="str" cm="1">
        <f t="array" ref="C1821">IFERROR(_xlfn.TEXTJOIN("",TRUE,_xlfn._xlws.FILTER(MID(S1821,_xlfn.SEQUENCE(LEN(S1821)),1),ISNUMBER(SEARCH(MID(S1821,_xlfn.SEQUENCE(LEN(S1821)),1),"ABCDEFGHIJKLMNOPQRSTUVWXYZabcdefghijklmnopqrstuvwxyz0123456789,")))),"")</f>
        <v/>
      </c>
      <c r="G1821" s="20" t="str" cm="1">
        <f t="array" ref="G1821">IF(TRIM(P1821)="","",IF(SUM(COUNTIF(P1821,{"*NLGD*","*FWG*"}))&gt;0,P1821,IF(SUM(COUNTIF(P1821,{"*GL*","*DGB*","*DGI*","*GT*","*CS*","*PWU*","*DBI*","*SWU*"}))=0,P1821,IF(IFERROR(VALUE(SUBSTITUTE(SUBSTITUTE(O1821,"W",""),"""","")),0)&gt;52,P1821&amp;"-OVRSIZE-",P1821))))</f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s="18" t="str">
        <v/>
      </c>
      <c r="O1821" s="15" t="str" cm="1">
        <f t="array" ref="O1821">IFERROR(_xlfn.LET(
_xlpm.clean,TRIM(SUBSTITUTE(SUBSTITUTE(P1821,CHAR(160),"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1" t="str">
        <f t="shared" si="29"/>
        <v/>
      </c>
    </row>
    <row r="1822" spans="3:19" ht="15.75" customHeight="1">
      <c r="C1822" s="15" t="str" cm="1">
        <f t="array" ref="C1822">IFERROR(_xlfn.TEXTJOIN("",TRUE,_xlfn._xlws.FILTER(MID(S1822,_xlfn.SEQUENCE(LEN(S1822)),1),ISNUMBER(SEARCH(MID(S1822,_xlfn.SEQUENCE(LEN(S1822)),1),"ABCDEFGHIJKLMNOPQRSTUVWXYZabcdefghijklmnopqrstuvwxyz0123456789,")))),"")</f>
        <v/>
      </c>
      <c r="G1822" s="20" t="str" cm="1">
        <f t="array" ref="G1822">IF(TRIM(P1822)="","",IF(SUM(COUNTIF(P1822,{"*NLGD*","*FWG*"}))&gt;0,P1822,IF(SUM(COUNTIF(P1822,{"*GL*","*DGB*","*DGI*","*GT*","*CS*","*PWU*","*DBI*","*SWU*"}))=0,P1822,IF(IFERROR(VALUE(SUBSTITUTE(SUBSTITUTE(O1822,"W",""),"""","")),0)&gt;52,P1822&amp;"-OVRSIZE-",P1822))))</f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s="18" t="str">
        <v/>
      </c>
      <c r="O1822" s="15" t="str" cm="1">
        <f t="array" ref="O1822">IFERROR(_xlfn.LET(
_xlpm.clean,TRIM(SUBSTITUTE(SUBSTITUTE(P1822,CHAR(160),"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2" t="str">
        <f t="shared" si="29"/>
        <v/>
      </c>
    </row>
    <row r="1823" spans="3:19" ht="15.75" customHeight="1">
      <c r="C1823" s="15" t="str" cm="1">
        <f t="array" ref="C1823">IFERROR(_xlfn.TEXTJOIN("",TRUE,_xlfn._xlws.FILTER(MID(S1823,_xlfn.SEQUENCE(LEN(S1823)),1),ISNUMBER(SEARCH(MID(S1823,_xlfn.SEQUENCE(LEN(S1823)),1),"ABCDEFGHIJKLMNOPQRSTUVWXYZabcdefghijklmnopqrstuvwxyz0123456789,")))),"")</f>
        <v/>
      </c>
      <c r="G1823" s="20" t="str" cm="1">
        <f t="array" ref="G1823">IF(TRIM(P1823)="","",IF(SUM(COUNTIF(P1823,{"*NLGD*","*FWG*"}))&gt;0,P1823,IF(SUM(COUNTIF(P1823,{"*GL*","*DGB*","*DGI*","*GT*","*CS*","*PWU*","*DBI*","*SWU*"}))=0,P1823,IF(IFERROR(VALUE(SUBSTITUTE(SUBSTITUTE(O1823,"W",""),"""","")),0)&gt;52,P1823&amp;"-OVRSIZE-",P1823))))</f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s="18" t="str">
        <v/>
      </c>
      <c r="O1823" s="15" t="str" cm="1">
        <f t="array" ref="O1823">IFERROR(_xlfn.LET(
_xlpm.clean,TRIM(SUBSTITUTE(SUBSTITUTE(P1823,CHAR(160),"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3" t="str">
        <f t="shared" si="29"/>
        <v/>
      </c>
    </row>
    <row r="1824" spans="3:19" ht="15.75" customHeight="1">
      <c r="C1824" s="15" t="str" cm="1">
        <f t="array" ref="C1824">IFERROR(_xlfn.TEXTJOIN("",TRUE,_xlfn._xlws.FILTER(MID(S1824,_xlfn.SEQUENCE(LEN(S1824)),1),ISNUMBER(SEARCH(MID(S1824,_xlfn.SEQUENCE(LEN(S1824)),1),"ABCDEFGHIJKLMNOPQRSTUVWXYZabcdefghijklmnopqrstuvwxyz0123456789,")))),"")</f>
        <v/>
      </c>
      <c r="G1824" s="20" t="str" cm="1">
        <f t="array" ref="G1824">IF(TRIM(P1824)="","",IF(SUM(COUNTIF(P1824,{"*NLGD*","*FWG*"}))&gt;0,P1824,IF(SUM(COUNTIF(P1824,{"*GL*","*DGB*","*DGI*","*GT*","*CS*","*PWU*","*DBI*","*SWU*"}))=0,P1824,IF(IFERROR(VALUE(SUBSTITUTE(SUBSTITUTE(O1824,"W",""),"""","")),0)&gt;52,P1824&amp;"-OVRSIZE-",P1824))))</f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s="18" t="str">
        <v/>
      </c>
      <c r="O1824" s="15" t="str" cm="1">
        <f t="array" ref="O1824">IFERROR(_xlfn.LET(
_xlpm.clean,TRIM(SUBSTITUTE(SUBSTITUTE(P1824,CHAR(160),"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4" t="str">
        <f t="shared" si="29"/>
        <v/>
      </c>
    </row>
    <row r="1825" spans="3:19" ht="15.75" customHeight="1">
      <c r="C1825" s="15" t="str" cm="1">
        <f t="array" ref="C1825">IFERROR(_xlfn.TEXTJOIN("",TRUE,_xlfn._xlws.FILTER(MID(S1825,_xlfn.SEQUENCE(LEN(S1825)),1),ISNUMBER(SEARCH(MID(S1825,_xlfn.SEQUENCE(LEN(S1825)),1),"ABCDEFGHIJKLMNOPQRSTUVWXYZabcdefghijklmnopqrstuvwxyz0123456789,")))),"")</f>
        <v/>
      </c>
      <c r="G1825" s="20" t="str" cm="1">
        <f t="array" ref="G1825">IF(TRIM(P1825)="","",IF(SUM(COUNTIF(P1825,{"*NLGD*","*FWG*"}))&gt;0,P1825,IF(SUM(COUNTIF(P1825,{"*GL*","*DGB*","*DGI*","*GT*","*CS*","*PWU*","*DBI*","*SWU*"}))=0,P1825,IF(IFERROR(VALUE(SUBSTITUTE(SUBSTITUTE(O1825,"W",""),"""","")),0)&gt;52,P1825&amp;"-OVRSIZE-",P1825))))</f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s="18" t="str">
        <v/>
      </c>
      <c r="O1825" s="15" t="str" cm="1">
        <f t="array" ref="O1825">IFERROR(_xlfn.LET(
_xlpm.clean,TRIM(SUBSTITUTE(SUBSTITUTE(P1825,CHAR(160),"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5" t="str">
        <f t="shared" si="29"/>
        <v/>
      </c>
    </row>
    <row r="1826" spans="3:19" ht="15.75" customHeight="1">
      <c r="C1826" s="15" t="str" cm="1">
        <f t="array" ref="C1826">IFERROR(_xlfn.TEXTJOIN("",TRUE,_xlfn._xlws.FILTER(MID(S1826,_xlfn.SEQUENCE(LEN(S1826)),1),ISNUMBER(SEARCH(MID(S1826,_xlfn.SEQUENCE(LEN(S1826)),1),"ABCDEFGHIJKLMNOPQRSTUVWXYZabcdefghijklmnopqrstuvwxyz0123456789,")))),"")</f>
        <v/>
      </c>
      <c r="G1826" s="20" t="str" cm="1">
        <f t="array" ref="G1826">IF(TRIM(P1826)="","",IF(SUM(COUNTIF(P1826,{"*NLGD*","*FWG*"}))&gt;0,P1826,IF(SUM(COUNTIF(P1826,{"*GL*","*DGB*","*DGI*","*GT*","*CS*","*PWU*","*DBI*","*SWU*"}))=0,P1826,IF(IFERROR(VALUE(SUBSTITUTE(SUBSTITUTE(O1826,"W",""),"""","")),0)&gt;52,P1826&amp;"-OVRSIZE-",P1826))))</f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s="18" t="str">
        <v/>
      </c>
      <c r="O1826" s="15" t="str" cm="1">
        <f t="array" ref="O1826">IFERROR(_xlfn.LET(
_xlpm.clean,TRIM(SUBSTITUTE(SUBSTITUTE(P1826,CHAR(160),"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6" t="str">
        <f t="shared" si="29"/>
        <v/>
      </c>
    </row>
    <row r="1827" spans="3:19" ht="15.75" customHeight="1">
      <c r="C1827" s="15" t="str" cm="1">
        <f t="array" ref="C1827">IFERROR(_xlfn.TEXTJOIN("",TRUE,_xlfn._xlws.FILTER(MID(S1827,_xlfn.SEQUENCE(LEN(S1827)),1),ISNUMBER(SEARCH(MID(S1827,_xlfn.SEQUENCE(LEN(S1827)),1),"ABCDEFGHIJKLMNOPQRSTUVWXYZabcdefghijklmnopqrstuvwxyz0123456789,")))),"")</f>
        <v/>
      </c>
      <c r="G1827" s="20" t="str" cm="1">
        <f t="array" ref="G1827">IF(TRIM(P1827)="","",IF(SUM(COUNTIF(P1827,{"*NLGD*","*FWG*"}))&gt;0,P1827,IF(SUM(COUNTIF(P1827,{"*GL*","*DGB*","*DGI*","*GT*","*CS*","*PWU*","*DBI*","*SWU*"}))=0,P1827,IF(IFERROR(VALUE(SUBSTITUTE(SUBSTITUTE(O1827,"W",""),"""","")),0)&gt;52,P1827&amp;"-OVRSIZE-",P1827))))</f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s="18" t="str">
        <v/>
      </c>
      <c r="O1827" s="15" t="str" cm="1">
        <f t="array" ref="O1827">IFERROR(_xlfn.LET(
_xlpm.clean,TRIM(SUBSTITUTE(SUBSTITUTE(P1827,CHAR(160),"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7" t="str">
        <f t="shared" si="29"/>
        <v/>
      </c>
    </row>
    <row r="1828" spans="3:19" ht="15.75" customHeight="1">
      <c r="C1828" s="15" t="str" cm="1">
        <f t="array" ref="C1828">IFERROR(_xlfn.TEXTJOIN("",TRUE,_xlfn._xlws.FILTER(MID(S1828,_xlfn.SEQUENCE(LEN(S1828)),1),ISNUMBER(SEARCH(MID(S1828,_xlfn.SEQUENCE(LEN(S1828)),1),"ABCDEFGHIJKLMNOPQRSTUVWXYZabcdefghijklmnopqrstuvwxyz0123456789,")))),"")</f>
        <v/>
      </c>
      <c r="G1828" s="20" t="str" cm="1">
        <f t="array" ref="G1828">IF(TRIM(P1828)="","",IF(SUM(COUNTIF(P1828,{"*NLGD*","*FWG*"}))&gt;0,P1828,IF(SUM(COUNTIF(P1828,{"*GL*","*DGB*","*DGI*","*GT*","*CS*","*PWU*","*DBI*","*SWU*"}))=0,P1828,IF(IFERROR(VALUE(SUBSTITUTE(SUBSTITUTE(O1828,"W",""),"""","")),0)&gt;52,P1828&amp;"-OVRSIZE-",P1828))))</f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s="18" t="str">
        <v/>
      </c>
      <c r="O1828" s="15" t="str" cm="1">
        <f t="array" ref="O1828">IFERROR(_xlfn.LET(
_xlpm.clean,TRIM(SUBSTITUTE(SUBSTITUTE(P1828,CHAR(160),"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8" t="str">
        <f t="shared" si="29"/>
        <v/>
      </c>
    </row>
    <row r="1829" spans="3:19" ht="15.75" customHeight="1">
      <c r="C1829" s="15" t="str" cm="1">
        <f t="array" ref="C1829">IFERROR(_xlfn.TEXTJOIN("",TRUE,_xlfn._xlws.FILTER(MID(S1829,_xlfn.SEQUENCE(LEN(S1829)),1),ISNUMBER(SEARCH(MID(S1829,_xlfn.SEQUENCE(LEN(S1829)),1),"ABCDEFGHIJKLMNOPQRSTUVWXYZabcdefghijklmnopqrstuvwxyz0123456789,")))),"")</f>
        <v/>
      </c>
      <c r="G1829" s="20" t="str" cm="1">
        <f t="array" ref="G1829">IF(TRIM(P1829)="","",IF(SUM(COUNTIF(P1829,{"*NLGD*","*FWG*"}))&gt;0,P1829,IF(SUM(COUNTIF(P1829,{"*GL*","*DGB*","*DGI*","*GT*","*CS*","*PWU*","*DBI*","*SWU*"}))=0,P1829,IF(IFERROR(VALUE(SUBSTITUTE(SUBSTITUTE(O1829,"W",""),"""","")),0)&gt;52,P1829&amp;"-OVRSIZE-",P1829))))</f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s="18" t="str">
        <v/>
      </c>
      <c r="O1829" s="15" t="str" cm="1">
        <f t="array" ref="O1829">IFERROR(_xlfn.LET(
_xlpm.clean,TRIM(SUBSTITUTE(SUBSTITUTE(P1829,CHAR(160),"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9" t="str">
        <f t="shared" si="29"/>
        <v/>
      </c>
    </row>
    <row r="1830" spans="3:19" ht="15.75" customHeight="1">
      <c r="C1830" s="15" t="str" cm="1">
        <f t="array" ref="C1830">IFERROR(_xlfn.TEXTJOIN("",TRUE,_xlfn._xlws.FILTER(MID(S1830,_xlfn.SEQUENCE(LEN(S1830)),1),ISNUMBER(SEARCH(MID(S1830,_xlfn.SEQUENCE(LEN(S1830)),1),"ABCDEFGHIJKLMNOPQRSTUVWXYZabcdefghijklmnopqrstuvwxyz0123456789,")))),"")</f>
        <v/>
      </c>
      <c r="G1830" s="20" t="str" cm="1">
        <f t="array" ref="G1830">IF(TRIM(P1830)="","",IF(SUM(COUNTIF(P1830,{"*NLGD*","*FWG*"}))&gt;0,P1830,IF(SUM(COUNTIF(P1830,{"*GL*","*DGB*","*DGI*","*GT*","*CS*","*PWU*","*DBI*","*SWU*"}))=0,P1830,IF(IFERROR(VALUE(SUBSTITUTE(SUBSTITUTE(O1830,"W",""),"""","")),0)&gt;52,P1830&amp;"-OVRSIZE-",P1830))))</f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s="18" t="str">
        <v/>
      </c>
      <c r="O1830" s="15" t="str" cm="1">
        <f t="array" ref="O1830">IFERROR(_xlfn.LET(
_xlpm.clean,TRIM(SUBSTITUTE(SUBSTITUTE(P1830,CHAR(160),"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0" t="str">
        <f t="shared" si="29"/>
        <v/>
      </c>
    </row>
    <row r="1831" spans="3:19" ht="15.75" customHeight="1">
      <c r="C1831" s="15" t="str" cm="1">
        <f t="array" ref="C1831">IFERROR(_xlfn.TEXTJOIN("",TRUE,_xlfn._xlws.FILTER(MID(S1831,_xlfn.SEQUENCE(LEN(S1831)),1),ISNUMBER(SEARCH(MID(S1831,_xlfn.SEQUENCE(LEN(S1831)),1),"ABCDEFGHIJKLMNOPQRSTUVWXYZabcdefghijklmnopqrstuvwxyz0123456789,")))),"")</f>
        <v/>
      </c>
      <c r="G1831" s="20" t="str" cm="1">
        <f t="array" ref="G1831">IF(TRIM(P1831)="","",IF(SUM(COUNTIF(P1831,{"*NLGD*","*FWG*"}))&gt;0,P1831,IF(SUM(COUNTIF(P1831,{"*GL*","*DGB*","*DGI*","*GT*","*CS*","*PWU*","*DBI*","*SWU*"}))=0,P1831,IF(IFERROR(VALUE(SUBSTITUTE(SUBSTITUTE(O1831,"W",""),"""","")),0)&gt;52,P1831&amp;"-OVRSIZE-",P1831))))</f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s="18" t="str">
        <v/>
      </c>
      <c r="O1831" s="15" t="str" cm="1">
        <f t="array" ref="O1831">IFERROR(_xlfn.LET(
_xlpm.clean,TRIM(SUBSTITUTE(SUBSTITUTE(P1831,CHAR(160),"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1" t="str">
        <f t="shared" si="29"/>
        <v/>
      </c>
    </row>
    <row r="1832" spans="3:19" ht="15.75" customHeight="1">
      <c r="C1832" s="15" t="str" cm="1">
        <f t="array" ref="C1832">IFERROR(_xlfn.TEXTJOIN("",TRUE,_xlfn._xlws.FILTER(MID(S1832,_xlfn.SEQUENCE(LEN(S1832)),1),ISNUMBER(SEARCH(MID(S1832,_xlfn.SEQUENCE(LEN(S1832)),1),"ABCDEFGHIJKLMNOPQRSTUVWXYZabcdefghijklmnopqrstuvwxyz0123456789,")))),"")</f>
        <v/>
      </c>
      <c r="G1832" s="20" t="str" cm="1">
        <f t="array" ref="G1832">IF(TRIM(P1832)="","",IF(SUM(COUNTIF(P1832,{"*NLGD*","*FWG*"}))&gt;0,P1832,IF(SUM(COUNTIF(P1832,{"*GL*","*DGB*","*DGI*","*GT*","*CS*","*PWU*","*DBI*","*SWU*"}))=0,P1832,IF(IFERROR(VALUE(SUBSTITUTE(SUBSTITUTE(O1832,"W",""),"""","")),0)&gt;52,P1832&amp;"-OVRSIZE-",P1832))))</f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s="18" t="str">
        <v/>
      </c>
      <c r="O1832" s="15" t="str" cm="1">
        <f t="array" ref="O1832">IFERROR(_xlfn.LET(
_xlpm.clean,TRIM(SUBSTITUTE(SUBSTITUTE(P1832,CHAR(160),"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2" t="str">
        <f t="shared" si="29"/>
        <v/>
      </c>
    </row>
    <row r="1833" spans="3:19" ht="15.75" customHeight="1">
      <c r="C1833" s="15" t="str" cm="1">
        <f t="array" ref="C1833">IFERROR(_xlfn.TEXTJOIN("",TRUE,_xlfn._xlws.FILTER(MID(S1833,_xlfn.SEQUENCE(LEN(S1833)),1),ISNUMBER(SEARCH(MID(S1833,_xlfn.SEQUENCE(LEN(S1833)),1),"ABCDEFGHIJKLMNOPQRSTUVWXYZabcdefghijklmnopqrstuvwxyz0123456789,")))),"")</f>
        <v/>
      </c>
      <c r="G1833" s="20" t="str" cm="1">
        <f t="array" ref="G1833">IF(TRIM(P1833)="","",IF(SUM(COUNTIF(P1833,{"*NLGD*","*FWG*"}))&gt;0,P1833,IF(SUM(COUNTIF(P1833,{"*GL*","*DGB*","*DGI*","*GT*","*CS*","*PWU*","*DBI*","*SWU*"}))=0,P1833,IF(IFERROR(VALUE(SUBSTITUTE(SUBSTITUTE(O1833,"W",""),"""","")),0)&gt;52,P1833&amp;"-OVRSIZE-",P1833))))</f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s="18" t="str">
        <v/>
      </c>
      <c r="O1833" s="15" t="str" cm="1">
        <f t="array" ref="O1833">IFERROR(_xlfn.LET(
_xlpm.clean,TRIM(SUBSTITUTE(SUBSTITUTE(P1833,CHAR(160),"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3" t="str">
        <f t="shared" si="29"/>
        <v/>
      </c>
    </row>
    <row r="1834" spans="3:19" ht="15.75" customHeight="1">
      <c r="C1834" s="15" t="str" cm="1">
        <f t="array" ref="C1834">IFERROR(_xlfn.TEXTJOIN("",TRUE,_xlfn._xlws.FILTER(MID(S1834,_xlfn.SEQUENCE(LEN(S1834)),1),ISNUMBER(SEARCH(MID(S1834,_xlfn.SEQUENCE(LEN(S1834)),1),"ABCDEFGHIJKLMNOPQRSTUVWXYZabcdefghijklmnopqrstuvwxyz0123456789,")))),"")</f>
        <v/>
      </c>
      <c r="G1834" s="20" t="str" cm="1">
        <f t="array" ref="G1834">IF(TRIM(P1834)="","",IF(SUM(COUNTIF(P1834,{"*NLGD*","*FWG*"}))&gt;0,P1834,IF(SUM(COUNTIF(P1834,{"*GL*","*DGB*","*DGI*","*GT*","*CS*","*PWU*","*DBI*","*SWU*"}))=0,P1834,IF(IFERROR(VALUE(SUBSTITUTE(SUBSTITUTE(O1834,"W",""),"""","")),0)&gt;52,P1834&amp;"-OVRSIZE-",P1834))))</f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s="18" t="str">
        <v/>
      </c>
      <c r="O1834" s="15" t="str" cm="1">
        <f t="array" ref="O1834">IFERROR(_xlfn.LET(
_xlpm.clean,TRIM(SUBSTITUTE(SUBSTITUTE(P1834,CHAR(160),"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4" t="str">
        <f t="shared" si="29"/>
        <v/>
      </c>
    </row>
    <row r="1835" spans="3:19" ht="15.75" customHeight="1">
      <c r="C1835" s="15" t="str" cm="1">
        <f t="array" ref="C1835">IFERROR(_xlfn.TEXTJOIN("",TRUE,_xlfn._xlws.FILTER(MID(S1835,_xlfn.SEQUENCE(LEN(S1835)),1),ISNUMBER(SEARCH(MID(S1835,_xlfn.SEQUENCE(LEN(S1835)),1),"ABCDEFGHIJKLMNOPQRSTUVWXYZabcdefghijklmnopqrstuvwxyz0123456789,")))),"")</f>
        <v/>
      </c>
      <c r="G1835" s="20" t="str" cm="1">
        <f t="array" ref="G1835">IF(TRIM(P1835)="","",IF(SUM(COUNTIF(P1835,{"*NLGD*","*FWG*"}))&gt;0,P1835,IF(SUM(COUNTIF(P1835,{"*GL*","*DGB*","*DGI*","*GT*","*CS*","*PWU*","*DBI*","*SWU*"}))=0,P1835,IF(IFERROR(VALUE(SUBSTITUTE(SUBSTITUTE(O1835,"W",""),"""","")),0)&gt;52,P1835&amp;"-OVRSIZE-",P1835))))</f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s="18" t="str">
        <v/>
      </c>
      <c r="O1835" s="15" t="str" cm="1">
        <f t="array" ref="O1835">IFERROR(_xlfn.LET(
_xlpm.clean,TRIM(SUBSTITUTE(SUBSTITUTE(P1835,CHAR(160),"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5" t="str">
        <f t="shared" si="29"/>
        <v/>
      </c>
    </row>
    <row r="1836" spans="3:19" ht="15.75" customHeight="1">
      <c r="C1836" s="15" t="str" cm="1">
        <f t="array" ref="C1836">IFERROR(_xlfn.TEXTJOIN("",TRUE,_xlfn._xlws.FILTER(MID(S1836,_xlfn.SEQUENCE(LEN(S1836)),1),ISNUMBER(SEARCH(MID(S1836,_xlfn.SEQUENCE(LEN(S1836)),1),"ABCDEFGHIJKLMNOPQRSTUVWXYZabcdefghijklmnopqrstuvwxyz0123456789,")))),"")</f>
        <v/>
      </c>
      <c r="G1836" s="20" t="str" cm="1">
        <f t="array" ref="G1836">IF(TRIM(P1836)="","",IF(SUM(COUNTIF(P1836,{"*NLGD*","*FWG*"}))&gt;0,P1836,IF(SUM(COUNTIF(P1836,{"*GL*","*DGB*","*DGI*","*GT*","*CS*","*PWU*","*DBI*","*SWU*"}))=0,P1836,IF(IFERROR(VALUE(SUBSTITUTE(SUBSTITUTE(O1836,"W",""),"""","")),0)&gt;52,P1836&amp;"-OVRSIZE-",P1836))))</f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s="18" t="str">
        <v/>
      </c>
      <c r="O1836" s="15" t="str" cm="1">
        <f t="array" ref="O1836">IFERROR(_xlfn.LET(
_xlpm.clean,TRIM(SUBSTITUTE(SUBSTITUTE(P1836,CHAR(160),"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6" t="str">
        <f t="shared" si="29"/>
        <v/>
      </c>
    </row>
    <row r="1837" spans="3:19" ht="15.75" customHeight="1">
      <c r="C1837" s="15" t="str" cm="1">
        <f t="array" ref="C1837">IFERROR(_xlfn.TEXTJOIN("",TRUE,_xlfn._xlws.FILTER(MID(S1837,_xlfn.SEQUENCE(LEN(S1837)),1),ISNUMBER(SEARCH(MID(S1837,_xlfn.SEQUENCE(LEN(S1837)),1),"ABCDEFGHIJKLMNOPQRSTUVWXYZabcdefghijklmnopqrstuvwxyz0123456789,")))),"")</f>
        <v/>
      </c>
      <c r="G1837" s="20" t="str" cm="1">
        <f t="array" ref="G1837">IF(TRIM(P1837)="","",IF(SUM(COUNTIF(P1837,{"*NLGD*","*FWG*"}))&gt;0,P1837,IF(SUM(COUNTIF(P1837,{"*GL*","*DGB*","*DGI*","*GT*","*CS*","*PWU*","*DBI*","*SWU*"}))=0,P1837,IF(IFERROR(VALUE(SUBSTITUTE(SUBSTITUTE(O1837,"W",""),"""","")),0)&gt;52,P1837&amp;"-OVRSIZE-",P1837))))</f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s="18" t="str">
        <v/>
      </c>
      <c r="O1837" s="15" t="str" cm="1">
        <f t="array" ref="O1837">IFERROR(_xlfn.LET(
_xlpm.clean,TRIM(SUBSTITUTE(SUBSTITUTE(P1837,CHAR(160),"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7" t="str">
        <f t="shared" si="29"/>
        <v/>
      </c>
    </row>
    <row r="1838" spans="3:19" ht="15.75" customHeight="1">
      <c r="C1838" s="15" t="str" cm="1">
        <f t="array" ref="C1838">IFERROR(_xlfn.TEXTJOIN("",TRUE,_xlfn._xlws.FILTER(MID(S1838,_xlfn.SEQUENCE(LEN(S1838)),1),ISNUMBER(SEARCH(MID(S1838,_xlfn.SEQUENCE(LEN(S1838)),1),"ABCDEFGHIJKLMNOPQRSTUVWXYZabcdefghijklmnopqrstuvwxyz0123456789,")))),"")</f>
        <v/>
      </c>
      <c r="G1838" s="20" t="str" cm="1">
        <f t="array" ref="G1838">IF(TRIM(P1838)="","",IF(SUM(COUNTIF(P1838,{"*NLGD*","*FWG*"}))&gt;0,P1838,IF(SUM(COUNTIF(P1838,{"*GL*","*DGB*","*DGI*","*GT*","*CS*","*PWU*","*DBI*","*SWU*"}))=0,P1838,IF(IFERROR(VALUE(SUBSTITUTE(SUBSTITUTE(O1838,"W",""),"""","")),0)&gt;52,P1838&amp;"-OVRSIZE-",P1838))))</f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s="18" t="str">
        <v/>
      </c>
      <c r="O1838" s="15" t="str" cm="1">
        <f t="array" ref="O1838">IFERROR(_xlfn.LET(
_xlpm.clean,TRIM(SUBSTITUTE(SUBSTITUTE(P1838,CHAR(160),"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8" t="str">
        <f t="shared" si="29"/>
        <v/>
      </c>
    </row>
    <row r="1839" spans="3:19" ht="15.75" customHeight="1">
      <c r="C1839" s="15" t="str" cm="1">
        <f t="array" ref="C1839">IFERROR(_xlfn.TEXTJOIN("",TRUE,_xlfn._xlws.FILTER(MID(S1839,_xlfn.SEQUENCE(LEN(S1839)),1),ISNUMBER(SEARCH(MID(S1839,_xlfn.SEQUENCE(LEN(S1839)),1),"ABCDEFGHIJKLMNOPQRSTUVWXYZabcdefghijklmnopqrstuvwxyz0123456789,")))),"")</f>
        <v/>
      </c>
      <c r="G1839" s="20" t="str" cm="1">
        <f t="array" ref="G1839">IF(TRIM(P1839)="","",IF(SUM(COUNTIF(P1839,{"*NLGD*","*FWG*"}))&gt;0,P1839,IF(SUM(COUNTIF(P1839,{"*GL*","*DGB*","*DGI*","*GT*","*CS*","*PWU*","*DBI*","*SWU*"}))=0,P1839,IF(IFERROR(VALUE(SUBSTITUTE(SUBSTITUTE(O1839,"W",""),"""","")),0)&gt;52,P1839&amp;"-OVRSIZE-",P1839))))</f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s="18" t="str">
        <v/>
      </c>
      <c r="O1839" s="15" t="str" cm="1">
        <f t="array" ref="O1839">IFERROR(_xlfn.LET(
_xlpm.clean,TRIM(SUBSTITUTE(SUBSTITUTE(P1839,CHAR(160),"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9" t="str">
        <f t="shared" si="29"/>
        <v/>
      </c>
    </row>
    <row r="1840" spans="3:19" ht="15.75" customHeight="1">
      <c r="C1840" s="15" t="str" cm="1">
        <f t="array" ref="C1840">IFERROR(_xlfn.TEXTJOIN("",TRUE,_xlfn._xlws.FILTER(MID(S1840,_xlfn.SEQUENCE(LEN(S1840)),1),ISNUMBER(SEARCH(MID(S1840,_xlfn.SEQUENCE(LEN(S1840)),1),"ABCDEFGHIJKLMNOPQRSTUVWXYZabcdefghijklmnopqrstuvwxyz0123456789,")))),"")</f>
        <v/>
      </c>
      <c r="G1840" s="20" t="str" cm="1">
        <f t="array" ref="G1840">IF(TRIM(P1840)="","",IF(SUM(COUNTIF(P1840,{"*NLGD*","*FWG*"}))&gt;0,P1840,IF(SUM(COUNTIF(P1840,{"*GL*","*DGB*","*DGI*","*GT*","*CS*","*PWU*","*DBI*","*SWU*"}))=0,P1840,IF(IFERROR(VALUE(SUBSTITUTE(SUBSTITUTE(O1840,"W",""),"""","")),0)&gt;52,P1840&amp;"-OVRSIZE-",P1840))))</f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s="18" t="str">
        <v/>
      </c>
      <c r="O1840" s="15" t="str" cm="1">
        <f t="array" ref="O1840">IFERROR(_xlfn.LET(
_xlpm.clean,TRIM(SUBSTITUTE(SUBSTITUTE(P1840,CHAR(160),"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0" t="str">
        <f t="shared" si="29"/>
        <v/>
      </c>
    </row>
    <row r="1841" spans="3:19" ht="15.75" customHeight="1">
      <c r="C1841" s="15" t="str" cm="1">
        <f t="array" ref="C1841">IFERROR(_xlfn.TEXTJOIN("",TRUE,_xlfn._xlws.FILTER(MID(S1841,_xlfn.SEQUENCE(LEN(S1841)),1),ISNUMBER(SEARCH(MID(S1841,_xlfn.SEQUENCE(LEN(S1841)),1),"ABCDEFGHIJKLMNOPQRSTUVWXYZabcdefghijklmnopqrstuvwxyz0123456789,")))),"")</f>
        <v/>
      </c>
      <c r="G1841" s="20" t="str" cm="1">
        <f t="array" ref="G1841">IF(TRIM(P1841)="","",IF(SUM(COUNTIF(P1841,{"*NLGD*","*FWG*"}))&gt;0,P1841,IF(SUM(COUNTIF(P1841,{"*GL*","*DGB*","*DGI*","*GT*","*CS*","*PWU*","*DBI*","*SWU*"}))=0,P1841,IF(IFERROR(VALUE(SUBSTITUTE(SUBSTITUTE(O1841,"W",""),"""","")),0)&gt;52,P1841&amp;"-OVRSIZE-",P1841))))</f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s="18" t="str">
        <v/>
      </c>
      <c r="O1841" s="15" t="str" cm="1">
        <f t="array" ref="O1841">IFERROR(_xlfn.LET(
_xlpm.clean,TRIM(SUBSTITUTE(SUBSTITUTE(P1841,CHAR(160),"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1" t="str">
        <f t="shared" si="29"/>
        <v/>
      </c>
    </row>
    <row r="1842" spans="3:19" ht="15.75" customHeight="1">
      <c r="C1842" s="15" t="str" cm="1">
        <f t="array" ref="C1842">IFERROR(_xlfn.TEXTJOIN("",TRUE,_xlfn._xlws.FILTER(MID(S1842,_xlfn.SEQUENCE(LEN(S1842)),1),ISNUMBER(SEARCH(MID(S1842,_xlfn.SEQUENCE(LEN(S1842)),1),"ABCDEFGHIJKLMNOPQRSTUVWXYZabcdefghijklmnopqrstuvwxyz0123456789,")))),"")</f>
        <v/>
      </c>
      <c r="G1842" s="20" t="str" cm="1">
        <f t="array" ref="G1842">IF(TRIM(P1842)="","",IF(SUM(COUNTIF(P1842,{"*NLGD*","*FWG*"}))&gt;0,P1842,IF(SUM(COUNTIF(P1842,{"*GL*","*DGB*","*DGI*","*GT*","*CS*","*PWU*","*DBI*","*SWU*"}))=0,P1842,IF(IFERROR(VALUE(SUBSTITUTE(SUBSTITUTE(O1842,"W",""),"""","")),0)&gt;52,P1842&amp;"-OVRSIZE-",P1842))))</f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s="18" t="str">
        <v/>
      </c>
      <c r="O1842" s="15" t="str" cm="1">
        <f t="array" ref="O1842">IFERROR(_xlfn.LET(
_xlpm.clean,TRIM(SUBSTITUTE(SUBSTITUTE(P1842,CHAR(160),"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2" t="str">
        <f t="shared" si="29"/>
        <v/>
      </c>
    </row>
    <row r="1843" spans="3:19" ht="15.75" customHeight="1">
      <c r="C1843" s="15" t="str" cm="1">
        <f t="array" ref="C1843">IFERROR(_xlfn.TEXTJOIN("",TRUE,_xlfn._xlws.FILTER(MID(S1843,_xlfn.SEQUENCE(LEN(S1843)),1),ISNUMBER(SEARCH(MID(S1843,_xlfn.SEQUENCE(LEN(S1843)),1),"ABCDEFGHIJKLMNOPQRSTUVWXYZabcdefghijklmnopqrstuvwxyz0123456789,")))),"")</f>
        <v/>
      </c>
      <c r="G1843" s="20" t="str" cm="1">
        <f t="array" ref="G1843">IF(TRIM(P1843)="","",IF(SUM(COUNTIF(P1843,{"*NLGD*","*FWG*"}))&gt;0,P1843,IF(SUM(COUNTIF(P1843,{"*GL*","*DGB*","*DGI*","*GT*","*CS*","*PWU*","*DBI*","*SWU*"}))=0,P1843,IF(IFERROR(VALUE(SUBSTITUTE(SUBSTITUTE(O1843,"W",""),"""","")),0)&gt;52,P1843&amp;"-OVRSIZE-",P1843))))</f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s="18" t="str">
        <v/>
      </c>
      <c r="O1843" s="15" t="str" cm="1">
        <f t="array" ref="O1843">IFERROR(_xlfn.LET(
_xlpm.clean,TRIM(SUBSTITUTE(SUBSTITUTE(P1843,CHAR(160),"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3" t="str">
        <f t="shared" si="29"/>
        <v/>
      </c>
    </row>
    <row r="1844" spans="3:19" ht="15.75" customHeight="1">
      <c r="C1844" s="15" t="str" cm="1">
        <f t="array" ref="C1844">IFERROR(_xlfn.TEXTJOIN("",TRUE,_xlfn._xlws.FILTER(MID(S1844,_xlfn.SEQUENCE(LEN(S1844)),1),ISNUMBER(SEARCH(MID(S1844,_xlfn.SEQUENCE(LEN(S1844)),1),"ABCDEFGHIJKLMNOPQRSTUVWXYZabcdefghijklmnopqrstuvwxyz0123456789,")))),"")</f>
        <v/>
      </c>
      <c r="G1844" s="20" t="str" cm="1">
        <f t="array" ref="G1844">IF(TRIM(P1844)="","",IF(SUM(COUNTIF(P1844,{"*NLGD*","*FWG*"}))&gt;0,P1844,IF(SUM(COUNTIF(P1844,{"*GL*","*DGB*","*DGI*","*GT*","*CS*","*PWU*","*DBI*","*SWU*"}))=0,P1844,IF(IFERROR(VALUE(SUBSTITUTE(SUBSTITUTE(O1844,"W",""),"""","")),0)&gt;52,P1844&amp;"-OVRSIZE-",P1844))))</f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s="18" t="str">
        <v/>
      </c>
      <c r="O1844" s="15" t="str" cm="1">
        <f t="array" ref="O1844">IFERROR(_xlfn.LET(
_xlpm.clean,TRIM(SUBSTITUTE(SUBSTITUTE(P1844,CHAR(160),"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4" t="str">
        <f t="shared" si="29"/>
        <v/>
      </c>
    </row>
    <row r="1845" spans="3:19" ht="15.75" customHeight="1">
      <c r="C1845" s="15" t="str" cm="1">
        <f t="array" ref="C1845">IFERROR(_xlfn.TEXTJOIN("",TRUE,_xlfn._xlws.FILTER(MID(S1845,_xlfn.SEQUENCE(LEN(S1845)),1),ISNUMBER(SEARCH(MID(S1845,_xlfn.SEQUENCE(LEN(S1845)),1),"ABCDEFGHIJKLMNOPQRSTUVWXYZabcdefghijklmnopqrstuvwxyz0123456789,")))),"")</f>
        <v/>
      </c>
      <c r="G1845" s="20" t="str" cm="1">
        <f t="array" ref="G1845">IF(TRIM(P1845)="","",IF(SUM(COUNTIF(P1845,{"*NLGD*","*FWG*"}))&gt;0,P1845,IF(SUM(COUNTIF(P1845,{"*GL*","*DGB*","*DGI*","*GT*","*CS*","*PWU*","*DBI*","*SWU*"}))=0,P1845,IF(IFERROR(VALUE(SUBSTITUTE(SUBSTITUTE(O1845,"W",""),"""","")),0)&gt;52,P1845&amp;"-OVRSIZE-",P1845))))</f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s="18" t="str">
        <v/>
      </c>
      <c r="O1845" s="15" t="str" cm="1">
        <f t="array" ref="O1845">IFERROR(_xlfn.LET(
_xlpm.clean,TRIM(SUBSTITUTE(SUBSTITUTE(P1845,CHAR(160),"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5" t="str">
        <f t="shared" si="29"/>
        <v/>
      </c>
    </row>
    <row r="1846" spans="3:19" ht="15.75" customHeight="1">
      <c r="C1846" s="15" t="str" cm="1">
        <f t="array" ref="C1846">IFERROR(_xlfn.TEXTJOIN("",TRUE,_xlfn._xlws.FILTER(MID(S1846,_xlfn.SEQUENCE(LEN(S1846)),1),ISNUMBER(SEARCH(MID(S1846,_xlfn.SEQUENCE(LEN(S1846)),1),"ABCDEFGHIJKLMNOPQRSTUVWXYZabcdefghijklmnopqrstuvwxyz0123456789,")))),"")</f>
        <v/>
      </c>
      <c r="G1846" s="20" t="str" cm="1">
        <f t="array" ref="G1846">IF(TRIM(P1846)="","",IF(SUM(COUNTIF(P1846,{"*NLGD*","*FWG*"}))&gt;0,P1846,IF(SUM(COUNTIF(P1846,{"*GL*","*DGB*","*DGI*","*GT*","*CS*","*PWU*","*DBI*","*SWU*"}))=0,P1846,IF(IFERROR(VALUE(SUBSTITUTE(SUBSTITUTE(O1846,"W",""),"""","")),0)&gt;52,P1846&amp;"-OVRSIZE-",P1846))))</f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s="18" t="str">
        <v/>
      </c>
      <c r="O1846" s="15" t="str" cm="1">
        <f t="array" ref="O1846">IFERROR(_xlfn.LET(
_xlpm.clean,TRIM(SUBSTITUTE(SUBSTITUTE(P1846,CHAR(160),"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6" t="str">
        <f t="shared" si="29"/>
        <v/>
      </c>
    </row>
    <row r="1847" spans="3:19" ht="15.75" customHeight="1">
      <c r="C1847" s="15" t="str" cm="1">
        <f t="array" ref="C1847">IFERROR(_xlfn.TEXTJOIN("",TRUE,_xlfn._xlws.FILTER(MID(S1847,_xlfn.SEQUENCE(LEN(S1847)),1),ISNUMBER(SEARCH(MID(S1847,_xlfn.SEQUENCE(LEN(S1847)),1),"ABCDEFGHIJKLMNOPQRSTUVWXYZabcdefghijklmnopqrstuvwxyz0123456789,")))),"")</f>
        <v/>
      </c>
      <c r="G1847" s="20" t="str" cm="1">
        <f t="array" ref="G1847">IF(TRIM(P1847)="","",IF(SUM(COUNTIF(P1847,{"*NLGD*","*FWG*"}))&gt;0,P1847,IF(SUM(COUNTIF(P1847,{"*GL*","*DGB*","*DGI*","*GT*","*CS*","*PWU*","*DBI*","*SWU*"}))=0,P1847,IF(IFERROR(VALUE(SUBSTITUTE(SUBSTITUTE(O1847,"W",""),"""","")),0)&gt;52,P1847&amp;"-OVRSIZE-",P1847))))</f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s="18" t="str">
        <v/>
      </c>
      <c r="O1847" s="15" t="str" cm="1">
        <f t="array" ref="O1847">IFERROR(_xlfn.LET(
_xlpm.clean,TRIM(SUBSTITUTE(SUBSTITUTE(P1847,CHAR(160),"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7" t="str">
        <f t="shared" si="29"/>
        <v/>
      </c>
    </row>
    <row r="1848" spans="3:19" ht="15.75" customHeight="1">
      <c r="C1848" s="15" t="str" cm="1">
        <f t="array" ref="C1848">IFERROR(_xlfn.TEXTJOIN("",TRUE,_xlfn._xlws.FILTER(MID(S1848,_xlfn.SEQUENCE(LEN(S1848)),1),ISNUMBER(SEARCH(MID(S1848,_xlfn.SEQUENCE(LEN(S1848)),1),"ABCDEFGHIJKLMNOPQRSTUVWXYZabcdefghijklmnopqrstuvwxyz0123456789,")))),"")</f>
        <v/>
      </c>
      <c r="G1848" s="20" t="str" cm="1">
        <f t="array" ref="G1848">IF(TRIM(P1848)="","",IF(SUM(COUNTIF(P1848,{"*NLGD*","*FWG*"}))&gt;0,P1848,IF(SUM(COUNTIF(P1848,{"*GL*","*DGB*","*DGI*","*GT*","*CS*","*PWU*","*DBI*","*SWU*"}))=0,P1848,IF(IFERROR(VALUE(SUBSTITUTE(SUBSTITUTE(O1848,"W",""),"""","")),0)&gt;52,P1848&amp;"-OVRSIZE-",P1848))))</f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s="18" t="str">
        <v/>
      </c>
      <c r="O1848" s="15" t="str" cm="1">
        <f t="array" ref="O1848">IFERROR(_xlfn.LET(
_xlpm.clean,TRIM(SUBSTITUTE(SUBSTITUTE(P1848,CHAR(160),"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8" t="str">
        <f t="shared" si="29"/>
        <v/>
      </c>
    </row>
    <row r="1849" spans="3:19" ht="15.75" customHeight="1">
      <c r="C1849" s="15" t="str" cm="1">
        <f t="array" ref="C1849">IFERROR(_xlfn.TEXTJOIN("",TRUE,_xlfn._xlws.FILTER(MID(S1849,_xlfn.SEQUENCE(LEN(S1849)),1),ISNUMBER(SEARCH(MID(S1849,_xlfn.SEQUENCE(LEN(S1849)),1),"ABCDEFGHIJKLMNOPQRSTUVWXYZabcdefghijklmnopqrstuvwxyz0123456789,")))),"")</f>
        <v/>
      </c>
      <c r="G1849" s="20" t="str" cm="1">
        <f t="array" ref="G1849">IF(TRIM(P1849)="","",IF(SUM(COUNTIF(P1849,{"*NLGD*","*FWG*"}))&gt;0,P1849,IF(SUM(COUNTIF(P1849,{"*GL*","*DGB*","*DGI*","*GT*","*CS*","*PWU*","*DBI*","*SWU*"}))=0,P1849,IF(IFERROR(VALUE(SUBSTITUTE(SUBSTITUTE(O1849,"W",""),"""","")),0)&gt;52,P1849&amp;"-OVRSIZE-",P1849))))</f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s="18" t="str">
        <v/>
      </c>
      <c r="O1849" s="15" t="str" cm="1">
        <f t="array" ref="O1849">IFERROR(_xlfn.LET(
_xlpm.clean,TRIM(SUBSTITUTE(SUBSTITUTE(P1849,CHAR(160),"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9" t="str">
        <f t="shared" si="29"/>
        <v/>
      </c>
    </row>
    <row r="1850" spans="3:19" ht="15.75" customHeight="1">
      <c r="C1850" s="15" t="str" cm="1">
        <f t="array" ref="C1850">IFERROR(_xlfn.TEXTJOIN("",TRUE,_xlfn._xlws.FILTER(MID(S1850,_xlfn.SEQUENCE(LEN(S1850)),1),ISNUMBER(SEARCH(MID(S1850,_xlfn.SEQUENCE(LEN(S1850)),1),"ABCDEFGHIJKLMNOPQRSTUVWXYZabcdefghijklmnopqrstuvwxyz0123456789,")))),"")</f>
        <v/>
      </c>
      <c r="G1850" s="20" t="str" cm="1">
        <f t="array" ref="G1850">IF(TRIM(P1850)="","",IF(SUM(COUNTIF(P1850,{"*NLGD*","*FWG*"}))&gt;0,P1850,IF(SUM(COUNTIF(P1850,{"*GL*","*DGB*","*DGI*","*GT*","*CS*","*PWU*","*DBI*","*SWU*"}))=0,P1850,IF(IFERROR(VALUE(SUBSTITUTE(SUBSTITUTE(O1850,"W",""),"""","")),0)&gt;52,P1850&amp;"-OVRSIZE-",P1850))))</f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s="18" t="str">
        <v/>
      </c>
      <c r="O1850" s="15" t="str" cm="1">
        <f t="array" ref="O1850">IFERROR(_xlfn.LET(
_xlpm.clean,TRIM(SUBSTITUTE(SUBSTITUTE(P1850,CHAR(160),"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0" t="str">
        <f t="shared" si="29"/>
        <v/>
      </c>
    </row>
    <row r="1851" spans="3:19" ht="15.75" customHeight="1">
      <c r="C1851" s="15" t="str" cm="1">
        <f t="array" ref="C1851">IFERROR(_xlfn.TEXTJOIN("",TRUE,_xlfn._xlws.FILTER(MID(S1851,_xlfn.SEQUENCE(LEN(S1851)),1),ISNUMBER(SEARCH(MID(S1851,_xlfn.SEQUENCE(LEN(S1851)),1),"ABCDEFGHIJKLMNOPQRSTUVWXYZabcdefghijklmnopqrstuvwxyz0123456789,")))),"")</f>
        <v/>
      </c>
      <c r="G1851" s="20" t="str" cm="1">
        <f t="array" ref="G1851">IF(TRIM(P1851)="","",IF(SUM(COUNTIF(P1851,{"*NLGD*","*FWG*"}))&gt;0,P1851,IF(SUM(COUNTIF(P1851,{"*GL*","*DGB*","*DGI*","*GT*","*CS*","*PWU*","*DBI*","*SWU*"}))=0,P1851,IF(IFERROR(VALUE(SUBSTITUTE(SUBSTITUTE(O1851,"W",""),"""","")),0)&gt;52,P1851&amp;"-OVRSIZE-",P1851))))</f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s="18" t="str">
        <v/>
      </c>
      <c r="O1851" s="15" t="str" cm="1">
        <f t="array" ref="O1851">IFERROR(_xlfn.LET(
_xlpm.clean,TRIM(SUBSTITUTE(SUBSTITUTE(P1851,CHAR(160),"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1" t="str">
        <f t="shared" si="29"/>
        <v/>
      </c>
    </row>
    <row r="1852" spans="3:19" ht="15.75" customHeight="1">
      <c r="C1852" s="15" t="str" cm="1">
        <f t="array" ref="C1852">IFERROR(_xlfn.TEXTJOIN("",TRUE,_xlfn._xlws.FILTER(MID(S1852,_xlfn.SEQUENCE(LEN(S1852)),1),ISNUMBER(SEARCH(MID(S1852,_xlfn.SEQUENCE(LEN(S1852)),1),"ABCDEFGHIJKLMNOPQRSTUVWXYZabcdefghijklmnopqrstuvwxyz0123456789,")))),"")</f>
        <v/>
      </c>
      <c r="G1852" s="20" t="str" cm="1">
        <f t="array" ref="G1852">IF(TRIM(P1852)="","",IF(SUM(COUNTIF(P1852,{"*NLGD*","*FWG*"}))&gt;0,P1852,IF(SUM(COUNTIF(P1852,{"*GL*","*DGB*","*DGI*","*GT*","*CS*","*PWU*","*DBI*","*SWU*"}))=0,P1852,IF(IFERROR(VALUE(SUBSTITUTE(SUBSTITUTE(O1852,"W",""),"""","")),0)&gt;52,P1852&amp;"-OVRSIZE-",P1852))))</f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s="18" t="str">
        <v/>
      </c>
      <c r="O1852" s="15" t="str" cm="1">
        <f t="array" ref="O1852">IFERROR(_xlfn.LET(
_xlpm.clean,TRIM(SUBSTITUTE(SUBSTITUTE(P1852,CHAR(160),"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2" t="str">
        <f t="shared" si="29"/>
        <v/>
      </c>
    </row>
    <row r="1853" spans="3:19" ht="15.75" customHeight="1">
      <c r="C1853" s="15" t="str" cm="1">
        <f t="array" ref="C1853">IFERROR(_xlfn.TEXTJOIN("",TRUE,_xlfn._xlws.FILTER(MID(S1853,_xlfn.SEQUENCE(LEN(S1853)),1),ISNUMBER(SEARCH(MID(S1853,_xlfn.SEQUENCE(LEN(S1853)),1),"ABCDEFGHIJKLMNOPQRSTUVWXYZabcdefghijklmnopqrstuvwxyz0123456789,")))),"")</f>
        <v/>
      </c>
      <c r="G1853" s="20" t="str" cm="1">
        <f t="array" ref="G1853">IF(TRIM(P1853)="","",IF(SUM(COUNTIF(P1853,{"*NLGD*","*FWG*"}))&gt;0,P1853,IF(SUM(COUNTIF(P1853,{"*GL*","*DGB*","*DGI*","*GT*","*CS*","*PWU*","*DBI*","*SWU*"}))=0,P1853,IF(IFERROR(VALUE(SUBSTITUTE(SUBSTITUTE(O1853,"W",""),"""","")),0)&gt;52,P1853&amp;"-OVRSIZE-",P1853))))</f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s="18" t="str">
        <v/>
      </c>
      <c r="O1853" s="15" t="str" cm="1">
        <f t="array" ref="O1853">IFERROR(_xlfn.LET(
_xlpm.clean,TRIM(SUBSTITUTE(SUBSTITUTE(P1853,CHAR(160),"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3" t="str">
        <f t="shared" si="29"/>
        <v/>
      </c>
    </row>
    <row r="1854" spans="3:19" ht="15.75" customHeight="1">
      <c r="C1854" s="15" t="str" cm="1">
        <f t="array" ref="C1854">IFERROR(_xlfn.TEXTJOIN("",TRUE,_xlfn._xlws.FILTER(MID(S1854,_xlfn.SEQUENCE(LEN(S1854)),1),ISNUMBER(SEARCH(MID(S1854,_xlfn.SEQUENCE(LEN(S1854)),1),"ABCDEFGHIJKLMNOPQRSTUVWXYZabcdefghijklmnopqrstuvwxyz0123456789,")))),"")</f>
        <v/>
      </c>
      <c r="G1854" s="20" t="str" cm="1">
        <f t="array" ref="G1854">IF(TRIM(P1854)="","",IF(SUM(COUNTIF(P1854,{"*NLGD*","*FWG*"}))&gt;0,P1854,IF(SUM(COUNTIF(P1854,{"*GL*","*DGB*","*DGI*","*GT*","*CS*","*PWU*","*DBI*","*SWU*"}))=0,P1854,IF(IFERROR(VALUE(SUBSTITUTE(SUBSTITUTE(O1854,"W",""),"""","")),0)&gt;52,P1854&amp;"-OVRSIZE-",P1854))))</f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s="18" t="str">
        <v/>
      </c>
      <c r="O1854" s="15" t="str" cm="1">
        <f t="array" ref="O1854">IFERROR(_xlfn.LET(
_xlpm.clean,TRIM(SUBSTITUTE(SUBSTITUTE(P1854,CHAR(160),"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4" t="str">
        <f t="shared" si="29"/>
        <v/>
      </c>
    </row>
    <row r="1855" spans="3:19" ht="15.75" customHeight="1">
      <c r="C1855" s="15" t="str" cm="1">
        <f t="array" ref="C1855">IFERROR(_xlfn.TEXTJOIN("",TRUE,_xlfn._xlws.FILTER(MID(S1855,_xlfn.SEQUENCE(LEN(S1855)),1),ISNUMBER(SEARCH(MID(S1855,_xlfn.SEQUENCE(LEN(S1855)),1),"ABCDEFGHIJKLMNOPQRSTUVWXYZabcdefghijklmnopqrstuvwxyz0123456789,")))),"")</f>
        <v/>
      </c>
      <c r="G1855" s="20" t="str" cm="1">
        <f t="array" ref="G1855">IF(TRIM(P1855)="","",IF(SUM(COUNTIF(P1855,{"*NLGD*","*FWG*"}))&gt;0,P1855,IF(SUM(COUNTIF(P1855,{"*GL*","*DGB*","*DGI*","*GT*","*CS*","*PWU*","*DBI*","*SWU*"}))=0,P1855,IF(IFERROR(VALUE(SUBSTITUTE(SUBSTITUTE(O1855,"W",""),"""","")),0)&gt;52,P1855&amp;"-OVRSIZE-",P1855))))</f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s="18" t="str">
        <v/>
      </c>
      <c r="O1855" s="15" t="str" cm="1">
        <f t="array" ref="O1855">IFERROR(_xlfn.LET(
_xlpm.clean,TRIM(SUBSTITUTE(SUBSTITUTE(P1855,CHAR(160),"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5" t="str">
        <f t="shared" si="29"/>
        <v/>
      </c>
    </row>
    <row r="1856" spans="3:19" ht="15.75" customHeight="1">
      <c r="C1856" s="15" t="str" cm="1">
        <f t="array" ref="C1856">IFERROR(_xlfn.TEXTJOIN("",TRUE,_xlfn._xlws.FILTER(MID(S1856,_xlfn.SEQUENCE(LEN(S1856)),1),ISNUMBER(SEARCH(MID(S1856,_xlfn.SEQUENCE(LEN(S1856)),1),"ABCDEFGHIJKLMNOPQRSTUVWXYZabcdefghijklmnopqrstuvwxyz0123456789,")))),"")</f>
        <v/>
      </c>
      <c r="G1856" s="20" t="str" cm="1">
        <f t="array" ref="G1856">IF(TRIM(P1856)="","",IF(SUM(COUNTIF(P1856,{"*NLGD*","*FWG*"}))&gt;0,P1856,IF(SUM(COUNTIF(P1856,{"*GL*","*DGB*","*DGI*","*GT*","*CS*","*PWU*","*DBI*","*SWU*"}))=0,P1856,IF(IFERROR(VALUE(SUBSTITUTE(SUBSTITUTE(O1856,"W",""),"""","")),0)&gt;52,P1856&amp;"-OVRSIZE-",P1856))))</f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s="18" t="str">
        <v/>
      </c>
      <c r="O1856" s="15" t="str" cm="1">
        <f t="array" ref="O1856">IFERROR(_xlfn.LET(
_xlpm.clean,TRIM(SUBSTITUTE(SUBSTITUTE(P1856,CHAR(160),"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6" t="str">
        <f t="shared" si="29"/>
        <v/>
      </c>
    </row>
    <row r="1857" spans="3:19" ht="15.75" customHeight="1">
      <c r="C1857" s="15" t="str" cm="1">
        <f t="array" ref="C1857">IFERROR(_xlfn.TEXTJOIN("",TRUE,_xlfn._xlws.FILTER(MID(S1857,_xlfn.SEQUENCE(LEN(S1857)),1),ISNUMBER(SEARCH(MID(S1857,_xlfn.SEQUENCE(LEN(S1857)),1),"ABCDEFGHIJKLMNOPQRSTUVWXYZabcdefghijklmnopqrstuvwxyz0123456789,")))),"")</f>
        <v/>
      </c>
      <c r="G1857" s="20" t="str" cm="1">
        <f t="array" ref="G1857">IF(TRIM(P1857)="","",IF(SUM(COUNTIF(P1857,{"*NLGD*","*FWG*"}))&gt;0,P1857,IF(SUM(COUNTIF(P1857,{"*GL*","*DGB*","*DGI*","*GT*","*CS*","*PWU*","*DBI*","*SWU*"}))=0,P1857,IF(IFERROR(VALUE(SUBSTITUTE(SUBSTITUTE(O1857,"W",""),"""","")),0)&gt;52,P1857&amp;"-OVRSIZE-",P1857))))</f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s="18" t="str">
        <v/>
      </c>
      <c r="O1857" s="15" t="str" cm="1">
        <f t="array" ref="O1857">IFERROR(_xlfn.LET(
_xlpm.clean,TRIM(SUBSTITUTE(SUBSTITUTE(P1857,CHAR(160),"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7" t="str">
        <f t="shared" si="29"/>
        <v/>
      </c>
    </row>
    <row r="1858" spans="3:19" ht="15.75" customHeight="1">
      <c r="C1858" s="15" t="str" cm="1">
        <f t="array" ref="C1858">IFERROR(_xlfn.TEXTJOIN("",TRUE,_xlfn._xlws.FILTER(MID(S1858,_xlfn.SEQUENCE(LEN(S1858)),1),ISNUMBER(SEARCH(MID(S1858,_xlfn.SEQUENCE(LEN(S1858)),1),"ABCDEFGHIJKLMNOPQRSTUVWXYZabcdefghijklmnopqrstuvwxyz0123456789,")))),"")</f>
        <v/>
      </c>
      <c r="G1858" s="20" t="str" cm="1">
        <f t="array" ref="G1858">IF(TRIM(P1858)="","",IF(SUM(COUNTIF(P1858,{"*NLGD*","*FWG*"}))&gt;0,P1858,IF(SUM(COUNTIF(P1858,{"*GL*","*DGB*","*DGI*","*GT*","*CS*","*PWU*","*DBI*","*SWU*"}))=0,P1858,IF(IFERROR(VALUE(SUBSTITUTE(SUBSTITUTE(O1858,"W",""),"""","")),0)&gt;52,P1858&amp;"-OVRSIZE-",P1858))))</f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s="18" t="str">
        <v/>
      </c>
      <c r="O1858" s="15" t="str" cm="1">
        <f t="array" ref="O1858">IFERROR(_xlfn.LET(
_xlpm.clean,TRIM(SUBSTITUTE(SUBSTITUTE(P1858,CHAR(160),"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8" t="str">
        <f t="shared" si="29"/>
        <v/>
      </c>
    </row>
    <row r="1859" spans="3:19" ht="15.75" customHeight="1">
      <c r="C1859" s="15" t="str" cm="1">
        <f t="array" ref="C1859">IFERROR(_xlfn.TEXTJOIN("",TRUE,_xlfn._xlws.FILTER(MID(S1859,_xlfn.SEQUENCE(LEN(S1859)),1),ISNUMBER(SEARCH(MID(S1859,_xlfn.SEQUENCE(LEN(S1859)),1),"ABCDEFGHIJKLMNOPQRSTUVWXYZabcdefghijklmnopqrstuvwxyz0123456789,")))),"")</f>
        <v/>
      </c>
      <c r="G1859" s="20" t="str" cm="1">
        <f t="array" ref="G1859">IF(TRIM(P1859)="","",IF(SUM(COUNTIF(P1859,{"*NLGD*","*FWG*"}))&gt;0,P1859,IF(SUM(COUNTIF(P1859,{"*GL*","*DGB*","*DGI*","*GT*","*CS*","*PWU*","*DBI*","*SWU*"}))=0,P1859,IF(IFERROR(VALUE(SUBSTITUTE(SUBSTITUTE(O1859,"W",""),"""","")),0)&gt;52,P1859&amp;"-OVRSIZE-",P1859))))</f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s="18" t="str">
        <v/>
      </c>
      <c r="O1859" s="15" t="str" cm="1">
        <f t="array" ref="O1859">IFERROR(_xlfn.LET(
_xlpm.clean,TRIM(SUBSTITUTE(SUBSTITUTE(P1859,CHAR(160),"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9" t="str">
        <f t="shared" si="29"/>
        <v/>
      </c>
    </row>
    <row r="1860" spans="3:19" ht="15.75" customHeight="1">
      <c r="C1860" s="15" t="str" cm="1">
        <f t="array" ref="C1860">IFERROR(_xlfn.TEXTJOIN("",TRUE,_xlfn._xlws.FILTER(MID(S1860,_xlfn.SEQUENCE(LEN(S1860)),1),ISNUMBER(SEARCH(MID(S1860,_xlfn.SEQUENCE(LEN(S1860)),1),"ABCDEFGHIJKLMNOPQRSTUVWXYZabcdefghijklmnopqrstuvwxyz0123456789,")))),"")</f>
        <v/>
      </c>
      <c r="G1860" s="20" t="str" cm="1">
        <f t="array" ref="G1860">IF(TRIM(P1860)="","",IF(SUM(COUNTIF(P1860,{"*NLGD*","*FWG*"}))&gt;0,P1860,IF(SUM(COUNTIF(P1860,{"*GL*","*DGB*","*DGI*","*GT*","*CS*","*PWU*","*DBI*","*SWU*"}))=0,P1860,IF(IFERROR(VALUE(SUBSTITUTE(SUBSTITUTE(O1860,"W",""),"""","")),0)&gt;52,P1860&amp;"-OVRSIZE-",P1860))))</f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s="18" t="str">
        <v/>
      </c>
      <c r="O1860" s="15" t="str" cm="1">
        <f t="array" ref="O1860">IFERROR(_xlfn.LET(
_xlpm.clean,TRIM(SUBSTITUTE(SUBSTITUTE(P1860,CHAR(160),"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0" t="str">
        <f t="shared" si="29"/>
        <v/>
      </c>
    </row>
    <row r="1861" spans="3:19" ht="15.75" customHeight="1">
      <c r="C1861" s="15" t="str" cm="1">
        <f t="array" ref="C1861">IFERROR(_xlfn.TEXTJOIN("",TRUE,_xlfn._xlws.FILTER(MID(S1861,_xlfn.SEQUENCE(LEN(S1861)),1),ISNUMBER(SEARCH(MID(S1861,_xlfn.SEQUENCE(LEN(S1861)),1),"ABCDEFGHIJKLMNOPQRSTUVWXYZabcdefghijklmnopqrstuvwxyz0123456789,")))),"")</f>
        <v/>
      </c>
      <c r="G1861" s="20" t="str" cm="1">
        <f t="array" ref="G1861">IF(TRIM(P1861)="","",IF(SUM(COUNTIF(P1861,{"*NLGD*","*FWG*"}))&gt;0,P1861,IF(SUM(COUNTIF(P1861,{"*GL*","*DGB*","*DGI*","*GT*","*CS*","*PWU*","*DBI*","*SWU*"}))=0,P1861,IF(IFERROR(VALUE(SUBSTITUTE(SUBSTITUTE(O1861,"W",""),"""","")),0)&gt;52,P1861&amp;"-OVRSIZE-",P1861))))</f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s="18" t="str">
        <v/>
      </c>
      <c r="O1861" s="15" t="str" cm="1">
        <f t="array" ref="O1861">IFERROR(_xlfn.LET(
_xlpm.clean,TRIM(SUBSTITUTE(SUBSTITUTE(P1861,CHAR(160),"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1" t="str">
        <f t="shared" si="29"/>
        <v/>
      </c>
    </row>
    <row r="1862" spans="3:19" ht="15.75" customHeight="1">
      <c r="C1862" s="15" t="str" cm="1">
        <f t="array" ref="C1862">IFERROR(_xlfn.TEXTJOIN("",TRUE,_xlfn._xlws.FILTER(MID(S1862,_xlfn.SEQUENCE(LEN(S1862)),1),ISNUMBER(SEARCH(MID(S1862,_xlfn.SEQUENCE(LEN(S1862)),1),"ABCDEFGHIJKLMNOPQRSTUVWXYZabcdefghijklmnopqrstuvwxyz0123456789,")))),"")</f>
        <v/>
      </c>
      <c r="G1862" s="20" t="str" cm="1">
        <f t="array" ref="G1862">IF(TRIM(P1862)="","",IF(SUM(COUNTIF(P1862,{"*NLGD*","*FWG*"}))&gt;0,P1862,IF(SUM(COUNTIF(P1862,{"*GL*","*DGB*","*DGI*","*GT*","*CS*","*PWU*","*DBI*","*SWU*"}))=0,P1862,IF(IFERROR(VALUE(SUBSTITUTE(SUBSTITUTE(O1862,"W",""),"""","")),0)&gt;52,P1862&amp;"-OVRSIZE-",P1862))))</f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s="18" t="str">
        <v/>
      </c>
      <c r="O1862" s="15" t="str" cm="1">
        <f t="array" ref="O1862">IFERROR(_xlfn.LET(
_xlpm.clean,TRIM(SUBSTITUTE(SUBSTITUTE(P1862,CHAR(160),"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2" t="str">
        <f t="shared" si="29"/>
        <v/>
      </c>
    </row>
    <row r="1863" spans="3:19" ht="15.75" customHeight="1">
      <c r="C1863" s="15" t="str" cm="1">
        <f t="array" ref="C1863">IFERROR(_xlfn.TEXTJOIN("",TRUE,_xlfn._xlws.FILTER(MID(S1863,_xlfn.SEQUENCE(LEN(S1863)),1),ISNUMBER(SEARCH(MID(S1863,_xlfn.SEQUENCE(LEN(S1863)),1),"ABCDEFGHIJKLMNOPQRSTUVWXYZabcdefghijklmnopqrstuvwxyz0123456789,")))),"")</f>
        <v/>
      </c>
      <c r="G1863" s="20" t="str" cm="1">
        <f t="array" ref="G1863">IF(TRIM(P1863)="","",IF(SUM(COUNTIF(P1863,{"*NLGD*","*FWG*"}))&gt;0,P1863,IF(SUM(COUNTIF(P1863,{"*GL*","*DGB*","*DGI*","*GT*","*CS*","*PWU*","*DBI*","*SWU*"}))=0,P1863,IF(IFERROR(VALUE(SUBSTITUTE(SUBSTITUTE(O1863,"W",""),"""","")),0)&gt;52,P1863&amp;"-OVRSIZE-",P1863))))</f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s="18" t="str">
        <v/>
      </c>
      <c r="O1863" s="15" t="str" cm="1">
        <f t="array" ref="O1863">IFERROR(_xlfn.LET(
_xlpm.clean,TRIM(SUBSTITUTE(SUBSTITUTE(P1863,CHAR(160),"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3" t="str">
        <f t="shared" si="29"/>
        <v/>
      </c>
    </row>
    <row r="1864" spans="3:19" ht="15.75" customHeight="1">
      <c r="C1864" s="15" t="str" cm="1">
        <f t="array" ref="C1864">IFERROR(_xlfn.TEXTJOIN("",TRUE,_xlfn._xlws.FILTER(MID(S1864,_xlfn.SEQUENCE(LEN(S1864)),1),ISNUMBER(SEARCH(MID(S1864,_xlfn.SEQUENCE(LEN(S1864)),1),"ABCDEFGHIJKLMNOPQRSTUVWXYZabcdefghijklmnopqrstuvwxyz0123456789,")))),"")</f>
        <v/>
      </c>
      <c r="G1864" s="20" t="str" cm="1">
        <f t="array" ref="G1864">IF(TRIM(P1864)="","",IF(SUM(COUNTIF(P1864,{"*NLGD*","*FWG*"}))&gt;0,P1864,IF(SUM(COUNTIF(P1864,{"*GL*","*DGB*","*DGI*","*GT*","*CS*","*PWU*","*DBI*","*SWU*"}))=0,P1864,IF(IFERROR(VALUE(SUBSTITUTE(SUBSTITUTE(O1864,"W",""),"""","")),0)&gt;52,P1864&amp;"-OVRSIZE-",P1864))))</f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s="18" t="str">
        <v/>
      </c>
      <c r="O1864" s="15" t="str" cm="1">
        <f t="array" ref="O1864">IFERROR(_xlfn.LET(
_xlpm.clean,TRIM(SUBSTITUTE(SUBSTITUTE(P1864,CHAR(160),"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4" t="str">
        <f t="shared" ref="S1864:S1927" si="30">IF(R1864="","",_xlfn.LET(
_xlpm.x,TRIM(SUBSTITUTE(SUBSTITUTE(SUBSTITUTE(SUBSTITUTE(R1864,":","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865" spans="3:19" ht="15.75" customHeight="1">
      <c r="C1865" s="15" t="str" cm="1">
        <f t="array" ref="C1865">IFERROR(_xlfn.TEXTJOIN("",TRUE,_xlfn._xlws.FILTER(MID(S1865,_xlfn.SEQUENCE(LEN(S1865)),1),ISNUMBER(SEARCH(MID(S1865,_xlfn.SEQUENCE(LEN(S1865)),1),"ABCDEFGHIJKLMNOPQRSTUVWXYZabcdefghijklmnopqrstuvwxyz0123456789,")))),"")</f>
        <v/>
      </c>
      <c r="G1865" s="20" t="str" cm="1">
        <f t="array" ref="G1865">IF(TRIM(P1865)="","",IF(SUM(COUNTIF(P1865,{"*NLGD*","*FWG*"}))&gt;0,P1865,IF(SUM(COUNTIF(P1865,{"*GL*","*DGB*","*DGI*","*GT*","*CS*","*PWU*","*DBI*","*SWU*"}))=0,P1865,IF(IFERROR(VALUE(SUBSTITUTE(SUBSTITUTE(O1865,"W",""),"""","")),0)&gt;52,P1865&amp;"-OVRSIZE-",P1865))))</f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s="18" t="str">
        <v/>
      </c>
      <c r="O1865" s="15" t="str" cm="1">
        <f t="array" ref="O1865">IFERROR(_xlfn.LET(
_xlpm.clean,TRIM(SUBSTITUTE(SUBSTITUTE(P1865,CHAR(160),"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5" t="str">
        <f t="shared" si="30"/>
        <v/>
      </c>
    </row>
    <row r="1866" spans="3:19" ht="15.75" customHeight="1">
      <c r="C1866" s="15" t="str" cm="1">
        <f t="array" ref="C1866">IFERROR(_xlfn.TEXTJOIN("",TRUE,_xlfn._xlws.FILTER(MID(S1866,_xlfn.SEQUENCE(LEN(S1866)),1),ISNUMBER(SEARCH(MID(S1866,_xlfn.SEQUENCE(LEN(S1866)),1),"ABCDEFGHIJKLMNOPQRSTUVWXYZabcdefghijklmnopqrstuvwxyz0123456789,")))),"")</f>
        <v/>
      </c>
      <c r="G1866" s="20" t="str" cm="1">
        <f t="array" ref="G1866">IF(TRIM(P1866)="","",IF(SUM(COUNTIF(P1866,{"*NLGD*","*FWG*"}))&gt;0,P1866,IF(SUM(COUNTIF(P1866,{"*GL*","*DGB*","*DGI*","*GT*","*CS*","*PWU*","*DBI*","*SWU*"}))=0,P1866,IF(IFERROR(VALUE(SUBSTITUTE(SUBSTITUTE(O1866,"W",""),"""","")),0)&gt;52,P1866&amp;"-OVRSIZE-",P1866))))</f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s="18" t="str">
        <v/>
      </c>
      <c r="O1866" s="15" t="str" cm="1">
        <f t="array" ref="O1866">IFERROR(_xlfn.LET(
_xlpm.clean,TRIM(SUBSTITUTE(SUBSTITUTE(P1866,CHAR(160),"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6" t="str">
        <f t="shared" si="30"/>
        <v/>
      </c>
    </row>
    <row r="1867" spans="3:19" ht="15.75" customHeight="1">
      <c r="C1867" s="15" t="str" cm="1">
        <f t="array" ref="C1867">IFERROR(_xlfn.TEXTJOIN("",TRUE,_xlfn._xlws.FILTER(MID(S1867,_xlfn.SEQUENCE(LEN(S1867)),1),ISNUMBER(SEARCH(MID(S1867,_xlfn.SEQUENCE(LEN(S1867)),1),"ABCDEFGHIJKLMNOPQRSTUVWXYZabcdefghijklmnopqrstuvwxyz0123456789,")))),"")</f>
        <v/>
      </c>
      <c r="G1867" s="20" t="str" cm="1">
        <f t="array" ref="G1867">IF(TRIM(P1867)="","",IF(SUM(COUNTIF(P1867,{"*NLGD*","*FWG*"}))&gt;0,P1867,IF(SUM(COUNTIF(P1867,{"*GL*","*DGB*","*DGI*","*GT*","*CS*","*PWU*","*DBI*","*SWU*"}))=0,P1867,IF(IFERROR(VALUE(SUBSTITUTE(SUBSTITUTE(O1867,"W",""),"""","")),0)&gt;52,P1867&amp;"-OVRSIZE-",P1867))))</f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s="18" t="str">
        <v/>
      </c>
      <c r="O1867" s="15" t="str" cm="1">
        <f t="array" ref="O1867">IFERROR(_xlfn.LET(
_xlpm.clean,TRIM(SUBSTITUTE(SUBSTITUTE(P1867,CHAR(160),"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7" t="str">
        <f t="shared" si="30"/>
        <v/>
      </c>
    </row>
    <row r="1868" spans="3:19" ht="15.75" customHeight="1">
      <c r="C1868" s="15" t="str" cm="1">
        <f t="array" ref="C1868">IFERROR(_xlfn.TEXTJOIN("",TRUE,_xlfn._xlws.FILTER(MID(S1868,_xlfn.SEQUENCE(LEN(S1868)),1),ISNUMBER(SEARCH(MID(S1868,_xlfn.SEQUENCE(LEN(S1868)),1),"ABCDEFGHIJKLMNOPQRSTUVWXYZabcdefghijklmnopqrstuvwxyz0123456789,")))),"")</f>
        <v/>
      </c>
      <c r="G1868" s="20" t="str" cm="1">
        <f t="array" ref="G1868">IF(TRIM(P1868)="","",IF(SUM(COUNTIF(P1868,{"*NLGD*","*FWG*"}))&gt;0,P1868,IF(SUM(COUNTIF(P1868,{"*GL*","*DGB*","*DGI*","*GT*","*CS*","*PWU*","*DBI*","*SWU*"}))=0,P1868,IF(IFERROR(VALUE(SUBSTITUTE(SUBSTITUTE(O1868,"W",""),"""","")),0)&gt;52,P1868&amp;"-OVRSIZE-",P1868))))</f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s="18" t="str">
        <v/>
      </c>
      <c r="O1868" s="15" t="str" cm="1">
        <f t="array" ref="O1868">IFERROR(_xlfn.LET(
_xlpm.clean,TRIM(SUBSTITUTE(SUBSTITUTE(P1868,CHAR(160),"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8" t="str">
        <f t="shared" si="30"/>
        <v/>
      </c>
    </row>
    <row r="1869" spans="3:19" ht="15.75" customHeight="1">
      <c r="C1869" s="15" t="str" cm="1">
        <f t="array" ref="C1869">IFERROR(_xlfn.TEXTJOIN("",TRUE,_xlfn._xlws.FILTER(MID(S1869,_xlfn.SEQUENCE(LEN(S1869)),1),ISNUMBER(SEARCH(MID(S1869,_xlfn.SEQUENCE(LEN(S1869)),1),"ABCDEFGHIJKLMNOPQRSTUVWXYZabcdefghijklmnopqrstuvwxyz0123456789,")))),"")</f>
        <v/>
      </c>
      <c r="G1869" s="20" t="str" cm="1">
        <f t="array" ref="G1869">IF(TRIM(P1869)="","",IF(SUM(COUNTIF(P1869,{"*NLGD*","*FWG*"}))&gt;0,P1869,IF(SUM(COUNTIF(P1869,{"*GL*","*DGB*","*DGI*","*GT*","*CS*","*PWU*","*DBI*","*SWU*"}))=0,P1869,IF(IFERROR(VALUE(SUBSTITUTE(SUBSTITUTE(O1869,"W",""),"""","")),0)&gt;52,P1869&amp;"-OVRSIZE-",P1869))))</f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s="18" t="str">
        <v/>
      </c>
      <c r="O1869" s="15" t="str" cm="1">
        <f t="array" ref="O1869">IFERROR(_xlfn.LET(
_xlpm.clean,TRIM(SUBSTITUTE(SUBSTITUTE(P1869,CHAR(160),"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9" t="str">
        <f t="shared" si="30"/>
        <v/>
      </c>
    </row>
    <row r="1870" spans="3:19" ht="15.75" customHeight="1">
      <c r="C1870" s="15" t="str" cm="1">
        <f t="array" ref="C1870">IFERROR(_xlfn.TEXTJOIN("",TRUE,_xlfn._xlws.FILTER(MID(S1870,_xlfn.SEQUENCE(LEN(S1870)),1),ISNUMBER(SEARCH(MID(S1870,_xlfn.SEQUENCE(LEN(S1870)),1),"ABCDEFGHIJKLMNOPQRSTUVWXYZabcdefghijklmnopqrstuvwxyz0123456789,")))),"")</f>
        <v/>
      </c>
      <c r="G1870" s="20" t="str" cm="1">
        <f t="array" ref="G1870">IF(TRIM(P1870)="","",IF(SUM(COUNTIF(P1870,{"*NLGD*","*FWG*"}))&gt;0,P1870,IF(SUM(COUNTIF(P1870,{"*GL*","*DGB*","*DGI*","*GT*","*CS*","*PWU*","*DBI*","*SWU*"}))=0,P1870,IF(IFERROR(VALUE(SUBSTITUTE(SUBSTITUTE(O1870,"W",""),"""","")),0)&gt;52,P1870&amp;"-OVRSIZE-",P1870))))</f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s="18" t="str">
        <v/>
      </c>
      <c r="O1870" s="15" t="str" cm="1">
        <f t="array" ref="O1870">IFERROR(_xlfn.LET(
_xlpm.clean,TRIM(SUBSTITUTE(SUBSTITUTE(P1870,CHAR(160),"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0" t="str">
        <f t="shared" si="30"/>
        <v/>
      </c>
    </row>
    <row r="1871" spans="3:19" ht="15.75" customHeight="1">
      <c r="C1871" s="15" t="str" cm="1">
        <f t="array" ref="C1871">IFERROR(_xlfn.TEXTJOIN("",TRUE,_xlfn._xlws.FILTER(MID(S1871,_xlfn.SEQUENCE(LEN(S1871)),1),ISNUMBER(SEARCH(MID(S1871,_xlfn.SEQUENCE(LEN(S1871)),1),"ABCDEFGHIJKLMNOPQRSTUVWXYZabcdefghijklmnopqrstuvwxyz0123456789,")))),"")</f>
        <v/>
      </c>
      <c r="G1871" s="20" t="str" cm="1">
        <f t="array" ref="G1871">IF(TRIM(P1871)="","",IF(SUM(COUNTIF(P1871,{"*NLGD*","*FWG*"}))&gt;0,P1871,IF(SUM(COUNTIF(P1871,{"*GL*","*DGB*","*DGI*","*GT*","*CS*","*PWU*","*DBI*","*SWU*"}))=0,P1871,IF(IFERROR(VALUE(SUBSTITUTE(SUBSTITUTE(O1871,"W",""),"""","")),0)&gt;52,P1871&amp;"-OVRSIZE-",P1871))))</f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s="18" t="str">
        <v/>
      </c>
      <c r="O1871" s="15" t="str" cm="1">
        <f t="array" ref="O1871">IFERROR(_xlfn.LET(
_xlpm.clean,TRIM(SUBSTITUTE(SUBSTITUTE(P1871,CHAR(160),"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1" t="str">
        <f t="shared" si="30"/>
        <v/>
      </c>
    </row>
    <row r="1872" spans="3:19" ht="15.75" customHeight="1">
      <c r="C1872" s="15" t="str" cm="1">
        <f t="array" ref="C1872">IFERROR(_xlfn.TEXTJOIN("",TRUE,_xlfn._xlws.FILTER(MID(S1872,_xlfn.SEQUENCE(LEN(S1872)),1),ISNUMBER(SEARCH(MID(S1872,_xlfn.SEQUENCE(LEN(S1872)),1),"ABCDEFGHIJKLMNOPQRSTUVWXYZabcdefghijklmnopqrstuvwxyz0123456789,")))),"")</f>
        <v/>
      </c>
      <c r="G1872" s="20" t="str" cm="1">
        <f t="array" ref="G1872">IF(TRIM(P1872)="","",IF(SUM(COUNTIF(P1872,{"*NLGD*","*FWG*"}))&gt;0,P1872,IF(SUM(COUNTIF(P1872,{"*GL*","*DGB*","*DGI*","*GT*","*CS*","*PWU*","*DBI*","*SWU*"}))=0,P1872,IF(IFERROR(VALUE(SUBSTITUTE(SUBSTITUTE(O1872,"W",""),"""","")),0)&gt;52,P1872&amp;"-OVRSIZE-",P1872))))</f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s="18" t="str">
        <v/>
      </c>
      <c r="O1872" s="15" t="str" cm="1">
        <f t="array" ref="O1872">IFERROR(_xlfn.LET(
_xlpm.clean,TRIM(SUBSTITUTE(SUBSTITUTE(P1872,CHAR(160),"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2" t="str">
        <f t="shared" si="30"/>
        <v/>
      </c>
    </row>
    <row r="1873" spans="3:19" ht="15.75" customHeight="1">
      <c r="C1873" s="15" t="str" cm="1">
        <f t="array" ref="C1873">IFERROR(_xlfn.TEXTJOIN("",TRUE,_xlfn._xlws.FILTER(MID(S1873,_xlfn.SEQUENCE(LEN(S1873)),1),ISNUMBER(SEARCH(MID(S1873,_xlfn.SEQUENCE(LEN(S1873)),1),"ABCDEFGHIJKLMNOPQRSTUVWXYZabcdefghijklmnopqrstuvwxyz0123456789,")))),"")</f>
        <v/>
      </c>
      <c r="G1873" s="20" t="str" cm="1">
        <f t="array" ref="G1873">IF(TRIM(P1873)="","",IF(SUM(COUNTIF(P1873,{"*NLGD*","*FWG*"}))&gt;0,P1873,IF(SUM(COUNTIF(P1873,{"*GL*","*DGB*","*DGI*","*GT*","*CS*","*PWU*","*DBI*","*SWU*"}))=0,P1873,IF(IFERROR(VALUE(SUBSTITUTE(SUBSTITUTE(O1873,"W",""),"""","")),0)&gt;52,P1873&amp;"-OVRSIZE-",P1873))))</f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s="18" t="str">
        <v/>
      </c>
      <c r="O1873" s="15" t="str" cm="1">
        <f t="array" ref="O1873">IFERROR(_xlfn.LET(
_xlpm.clean,TRIM(SUBSTITUTE(SUBSTITUTE(P1873,CHAR(160),"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3" t="str">
        <f t="shared" si="30"/>
        <v/>
      </c>
    </row>
    <row r="1874" spans="3:19" ht="15.75" customHeight="1">
      <c r="C1874" s="15" t="str" cm="1">
        <f t="array" ref="C1874">IFERROR(_xlfn.TEXTJOIN("",TRUE,_xlfn._xlws.FILTER(MID(S1874,_xlfn.SEQUENCE(LEN(S1874)),1),ISNUMBER(SEARCH(MID(S1874,_xlfn.SEQUENCE(LEN(S1874)),1),"ABCDEFGHIJKLMNOPQRSTUVWXYZabcdefghijklmnopqrstuvwxyz0123456789,")))),"")</f>
        <v/>
      </c>
      <c r="G1874" s="20" t="str" cm="1">
        <f t="array" ref="G1874">IF(TRIM(P1874)="","",IF(SUM(COUNTIF(P1874,{"*NLGD*","*FWG*"}))&gt;0,P1874,IF(SUM(COUNTIF(P1874,{"*GL*","*DGB*","*DGI*","*GT*","*CS*","*PWU*","*DBI*","*SWU*"}))=0,P1874,IF(IFERROR(VALUE(SUBSTITUTE(SUBSTITUTE(O1874,"W",""),"""","")),0)&gt;52,P1874&amp;"-OVRSIZE-",P1874))))</f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s="18" t="str">
        <v/>
      </c>
      <c r="O1874" s="15" t="str" cm="1">
        <f t="array" ref="O1874">IFERROR(_xlfn.LET(
_xlpm.clean,TRIM(SUBSTITUTE(SUBSTITUTE(P1874,CHAR(160),"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4" t="str">
        <f t="shared" si="30"/>
        <v/>
      </c>
    </row>
    <row r="1875" spans="3:19" ht="15.75" customHeight="1">
      <c r="C1875" s="15" t="str" cm="1">
        <f t="array" ref="C1875">IFERROR(_xlfn.TEXTJOIN("",TRUE,_xlfn._xlws.FILTER(MID(S1875,_xlfn.SEQUENCE(LEN(S1875)),1),ISNUMBER(SEARCH(MID(S1875,_xlfn.SEQUENCE(LEN(S1875)),1),"ABCDEFGHIJKLMNOPQRSTUVWXYZabcdefghijklmnopqrstuvwxyz0123456789,")))),"")</f>
        <v/>
      </c>
      <c r="G1875" s="20" t="str" cm="1">
        <f t="array" ref="G1875">IF(TRIM(P1875)="","",IF(SUM(COUNTIF(P1875,{"*NLGD*","*FWG*"}))&gt;0,P1875,IF(SUM(COUNTIF(P1875,{"*GL*","*DGB*","*DGI*","*GT*","*CS*","*PWU*","*DBI*","*SWU*"}))=0,P1875,IF(IFERROR(VALUE(SUBSTITUTE(SUBSTITUTE(O1875,"W",""),"""","")),0)&gt;52,P1875&amp;"-OVRSIZE-",P1875))))</f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s="18" t="str">
        <v/>
      </c>
      <c r="O1875" s="15" t="str" cm="1">
        <f t="array" ref="O1875">IFERROR(_xlfn.LET(
_xlpm.clean,TRIM(SUBSTITUTE(SUBSTITUTE(P1875,CHAR(160),"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5" t="str">
        <f t="shared" si="30"/>
        <v/>
      </c>
    </row>
    <row r="1876" spans="3:19" ht="15.75" customHeight="1">
      <c r="C1876" s="15" t="str" cm="1">
        <f t="array" ref="C1876">IFERROR(_xlfn.TEXTJOIN("",TRUE,_xlfn._xlws.FILTER(MID(S1876,_xlfn.SEQUENCE(LEN(S1876)),1),ISNUMBER(SEARCH(MID(S1876,_xlfn.SEQUENCE(LEN(S1876)),1),"ABCDEFGHIJKLMNOPQRSTUVWXYZabcdefghijklmnopqrstuvwxyz0123456789,")))),"")</f>
        <v/>
      </c>
      <c r="G1876" s="20" t="str" cm="1">
        <f t="array" ref="G1876">IF(TRIM(P1876)="","",IF(SUM(COUNTIF(P1876,{"*NLGD*","*FWG*"}))&gt;0,P1876,IF(SUM(COUNTIF(P1876,{"*GL*","*DGB*","*DGI*","*GT*","*CS*","*PWU*","*DBI*","*SWU*"}))=0,P1876,IF(IFERROR(VALUE(SUBSTITUTE(SUBSTITUTE(O1876,"W",""),"""","")),0)&gt;52,P1876&amp;"-OVRSIZE-",P1876))))</f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s="18" t="str">
        <v/>
      </c>
      <c r="O1876" s="15" t="str" cm="1">
        <f t="array" ref="O1876">IFERROR(_xlfn.LET(
_xlpm.clean,TRIM(SUBSTITUTE(SUBSTITUTE(P1876,CHAR(160),"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6" t="str">
        <f t="shared" si="30"/>
        <v/>
      </c>
    </row>
    <row r="1877" spans="3:19" ht="15.75" customHeight="1">
      <c r="C1877" s="15" t="str" cm="1">
        <f t="array" ref="C1877">IFERROR(_xlfn.TEXTJOIN("",TRUE,_xlfn._xlws.FILTER(MID(S1877,_xlfn.SEQUENCE(LEN(S1877)),1),ISNUMBER(SEARCH(MID(S1877,_xlfn.SEQUENCE(LEN(S1877)),1),"ABCDEFGHIJKLMNOPQRSTUVWXYZabcdefghijklmnopqrstuvwxyz0123456789,")))),"")</f>
        <v/>
      </c>
      <c r="G1877" s="20" t="str" cm="1">
        <f t="array" ref="G1877">IF(TRIM(P1877)="","",IF(SUM(COUNTIF(P1877,{"*NLGD*","*FWG*"}))&gt;0,P1877,IF(SUM(COUNTIF(P1877,{"*GL*","*DGB*","*DGI*","*GT*","*CS*","*PWU*","*DBI*","*SWU*"}))=0,P1877,IF(IFERROR(VALUE(SUBSTITUTE(SUBSTITUTE(O1877,"W",""),"""","")),0)&gt;52,P1877&amp;"-OVRSIZE-",P1877))))</f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s="18" t="str">
        <v/>
      </c>
      <c r="O1877" s="15" t="str" cm="1">
        <f t="array" ref="O1877">IFERROR(_xlfn.LET(
_xlpm.clean,TRIM(SUBSTITUTE(SUBSTITUTE(P1877,CHAR(160),"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7" t="str">
        <f t="shared" si="30"/>
        <v/>
      </c>
    </row>
    <row r="1878" spans="3:19" ht="15.75" customHeight="1">
      <c r="C1878" s="15" t="str" cm="1">
        <f t="array" ref="C1878">IFERROR(_xlfn.TEXTJOIN("",TRUE,_xlfn._xlws.FILTER(MID(S1878,_xlfn.SEQUENCE(LEN(S1878)),1),ISNUMBER(SEARCH(MID(S1878,_xlfn.SEQUENCE(LEN(S1878)),1),"ABCDEFGHIJKLMNOPQRSTUVWXYZabcdefghijklmnopqrstuvwxyz0123456789,")))),"")</f>
        <v/>
      </c>
      <c r="G1878" s="20" t="str" cm="1">
        <f t="array" ref="G1878">IF(TRIM(P1878)="","",IF(SUM(COUNTIF(P1878,{"*NLGD*","*FWG*"}))&gt;0,P1878,IF(SUM(COUNTIF(P1878,{"*GL*","*DGB*","*DGI*","*GT*","*CS*","*PWU*","*DBI*","*SWU*"}))=0,P1878,IF(IFERROR(VALUE(SUBSTITUTE(SUBSTITUTE(O1878,"W",""),"""","")),0)&gt;52,P1878&amp;"-OVRSIZE-",P1878))))</f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s="18" t="str">
        <v/>
      </c>
      <c r="O1878" s="15" t="str" cm="1">
        <f t="array" ref="O1878">IFERROR(_xlfn.LET(
_xlpm.clean,TRIM(SUBSTITUTE(SUBSTITUTE(P1878,CHAR(160),"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8" t="str">
        <f t="shared" si="30"/>
        <v/>
      </c>
    </row>
    <row r="1879" spans="3:19" ht="15.75" customHeight="1">
      <c r="C1879" s="15" t="str" cm="1">
        <f t="array" ref="C1879">IFERROR(_xlfn.TEXTJOIN("",TRUE,_xlfn._xlws.FILTER(MID(S1879,_xlfn.SEQUENCE(LEN(S1879)),1),ISNUMBER(SEARCH(MID(S1879,_xlfn.SEQUENCE(LEN(S1879)),1),"ABCDEFGHIJKLMNOPQRSTUVWXYZabcdefghijklmnopqrstuvwxyz0123456789,")))),"")</f>
        <v/>
      </c>
      <c r="G1879" s="20" t="str" cm="1">
        <f t="array" ref="G1879">IF(TRIM(P1879)="","",IF(SUM(COUNTIF(P1879,{"*NLGD*","*FWG*"}))&gt;0,P1879,IF(SUM(COUNTIF(P1879,{"*GL*","*DGB*","*DGI*","*GT*","*CS*","*PWU*","*DBI*","*SWU*"}))=0,P1879,IF(IFERROR(VALUE(SUBSTITUTE(SUBSTITUTE(O1879,"W",""),"""","")),0)&gt;52,P1879&amp;"-OVRSIZE-",P1879))))</f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s="18" t="str">
        <v/>
      </c>
      <c r="O1879" s="15" t="str" cm="1">
        <f t="array" ref="O1879">IFERROR(_xlfn.LET(
_xlpm.clean,TRIM(SUBSTITUTE(SUBSTITUTE(P1879,CHAR(160),"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9" t="str">
        <f t="shared" si="30"/>
        <v/>
      </c>
    </row>
    <row r="1880" spans="3:19" ht="15.75" customHeight="1">
      <c r="C1880" s="15" t="str" cm="1">
        <f t="array" ref="C1880">IFERROR(_xlfn.TEXTJOIN("",TRUE,_xlfn._xlws.FILTER(MID(S1880,_xlfn.SEQUENCE(LEN(S1880)),1),ISNUMBER(SEARCH(MID(S1880,_xlfn.SEQUENCE(LEN(S1880)),1),"ABCDEFGHIJKLMNOPQRSTUVWXYZabcdefghijklmnopqrstuvwxyz0123456789,")))),"")</f>
        <v/>
      </c>
      <c r="G1880" s="20" t="str" cm="1">
        <f t="array" ref="G1880">IF(TRIM(P1880)="","",IF(SUM(COUNTIF(P1880,{"*NLGD*","*FWG*"}))&gt;0,P1880,IF(SUM(COUNTIF(P1880,{"*GL*","*DGB*","*DGI*","*GT*","*CS*","*PWU*","*DBI*","*SWU*"}))=0,P1880,IF(IFERROR(VALUE(SUBSTITUTE(SUBSTITUTE(O1880,"W",""),"""","")),0)&gt;52,P1880&amp;"-OVRSIZE-",P1880))))</f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s="18" t="str">
        <v/>
      </c>
      <c r="O1880" s="15" t="str" cm="1">
        <f t="array" ref="O1880">IFERROR(_xlfn.LET(
_xlpm.clean,TRIM(SUBSTITUTE(SUBSTITUTE(P1880,CHAR(160),"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0" t="str">
        <f t="shared" si="30"/>
        <v/>
      </c>
    </row>
    <row r="1881" spans="3:19" ht="15.75" customHeight="1">
      <c r="C1881" s="15" t="str" cm="1">
        <f t="array" ref="C1881">IFERROR(_xlfn.TEXTJOIN("",TRUE,_xlfn._xlws.FILTER(MID(S1881,_xlfn.SEQUENCE(LEN(S1881)),1),ISNUMBER(SEARCH(MID(S1881,_xlfn.SEQUENCE(LEN(S1881)),1),"ABCDEFGHIJKLMNOPQRSTUVWXYZabcdefghijklmnopqrstuvwxyz0123456789,")))),"")</f>
        <v/>
      </c>
      <c r="G1881" s="20" t="str" cm="1">
        <f t="array" ref="G1881">IF(TRIM(P1881)="","",IF(SUM(COUNTIF(P1881,{"*NLGD*","*FWG*"}))&gt;0,P1881,IF(SUM(COUNTIF(P1881,{"*GL*","*DGB*","*DGI*","*GT*","*CS*","*PWU*","*DBI*","*SWU*"}))=0,P1881,IF(IFERROR(VALUE(SUBSTITUTE(SUBSTITUTE(O1881,"W",""),"""","")),0)&gt;52,P1881&amp;"-OVRSIZE-",P1881))))</f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s="18" t="str">
        <v/>
      </c>
      <c r="O1881" s="15" t="str" cm="1">
        <f t="array" ref="O1881">IFERROR(_xlfn.LET(
_xlpm.clean,TRIM(SUBSTITUTE(SUBSTITUTE(P1881,CHAR(160),"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1" t="str">
        <f t="shared" si="30"/>
        <v/>
      </c>
    </row>
    <row r="1882" spans="3:19" ht="15.75" customHeight="1">
      <c r="C1882" s="15" t="str" cm="1">
        <f t="array" ref="C1882">IFERROR(_xlfn.TEXTJOIN("",TRUE,_xlfn._xlws.FILTER(MID(S1882,_xlfn.SEQUENCE(LEN(S1882)),1),ISNUMBER(SEARCH(MID(S1882,_xlfn.SEQUENCE(LEN(S1882)),1),"ABCDEFGHIJKLMNOPQRSTUVWXYZabcdefghijklmnopqrstuvwxyz0123456789,")))),"")</f>
        <v/>
      </c>
      <c r="G1882" s="20" t="str" cm="1">
        <f t="array" ref="G1882">IF(TRIM(P1882)="","",IF(SUM(COUNTIF(P1882,{"*NLGD*","*FWG*"}))&gt;0,P1882,IF(SUM(COUNTIF(P1882,{"*GL*","*DGB*","*DGI*","*GT*","*CS*","*PWU*","*DBI*","*SWU*"}))=0,P1882,IF(IFERROR(VALUE(SUBSTITUTE(SUBSTITUTE(O1882,"W",""),"""","")),0)&gt;52,P1882&amp;"-OVRSIZE-",P1882))))</f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s="18" t="str">
        <v/>
      </c>
      <c r="O1882" s="15" t="str" cm="1">
        <f t="array" ref="O1882">IFERROR(_xlfn.LET(
_xlpm.clean,TRIM(SUBSTITUTE(SUBSTITUTE(P1882,CHAR(160),"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2" t="str">
        <f t="shared" si="30"/>
        <v/>
      </c>
    </row>
    <row r="1883" spans="3:19" ht="15.75" customHeight="1">
      <c r="C1883" s="15" t="str" cm="1">
        <f t="array" ref="C1883">IFERROR(_xlfn.TEXTJOIN("",TRUE,_xlfn._xlws.FILTER(MID(S1883,_xlfn.SEQUENCE(LEN(S1883)),1),ISNUMBER(SEARCH(MID(S1883,_xlfn.SEQUENCE(LEN(S1883)),1),"ABCDEFGHIJKLMNOPQRSTUVWXYZabcdefghijklmnopqrstuvwxyz0123456789,")))),"")</f>
        <v/>
      </c>
      <c r="G1883" s="20" t="str" cm="1">
        <f t="array" ref="G1883">IF(TRIM(P1883)="","",IF(SUM(COUNTIF(P1883,{"*NLGD*","*FWG*"}))&gt;0,P1883,IF(SUM(COUNTIF(P1883,{"*GL*","*DGB*","*DGI*","*GT*","*CS*","*PWU*","*DBI*","*SWU*"}))=0,P1883,IF(IFERROR(VALUE(SUBSTITUTE(SUBSTITUTE(O1883,"W",""),"""","")),0)&gt;52,P1883&amp;"-OVRSIZE-",P1883))))</f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s="18" t="str">
        <v/>
      </c>
      <c r="O1883" s="15" t="str" cm="1">
        <f t="array" ref="O1883">IFERROR(_xlfn.LET(
_xlpm.clean,TRIM(SUBSTITUTE(SUBSTITUTE(P1883,CHAR(160),"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3" t="str">
        <f t="shared" si="30"/>
        <v/>
      </c>
    </row>
    <row r="1884" spans="3:19" ht="15.75" customHeight="1">
      <c r="C1884" s="15" t="str" cm="1">
        <f t="array" ref="C1884">IFERROR(_xlfn.TEXTJOIN("",TRUE,_xlfn._xlws.FILTER(MID(S1884,_xlfn.SEQUENCE(LEN(S1884)),1),ISNUMBER(SEARCH(MID(S1884,_xlfn.SEQUENCE(LEN(S1884)),1),"ABCDEFGHIJKLMNOPQRSTUVWXYZabcdefghijklmnopqrstuvwxyz0123456789,")))),"")</f>
        <v/>
      </c>
      <c r="G1884" s="20" t="str" cm="1">
        <f t="array" ref="G1884">IF(TRIM(P1884)="","",IF(SUM(COUNTIF(P1884,{"*NLGD*","*FWG*"}))&gt;0,P1884,IF(SUM(COUNTIF(P1884,{"*GL*","*DGB*","*DGI*","*GT*","*CS*","*PWU*","*DBI*","*SWU*"}))=0,P1884,IF(IFERROR(VALUE(SUBSTITUTE(SUBSTITUTE(O1884,"W",""),"""","")),0)&gt;52,P1884&amp;"-OVRSIZE-",P1884))))</f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s="18" t="str">
        <v/>
      </c>
      <c r="O1884" s="15" t="str" cm="1">
        <f t="array" ref="O1884">IFERROR(_xlfn.LET(
_xlpm.clean,TRIM(SUBSTITUTE(SUBSTITUTE(P1884,CHAR(160),"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4" t="str">
        <f t="shared" si="30"/>
        <v/>
      </c>
    </row>
    <row r="1885" spans="3:19" ht="15.75" customHeight="1">
      <c r="C1885" s="15" t="str" cm="1">
        <f t="array" ref="C1885">IFERROR(_xlfn.TEXTJOIN("",TRUE,_xlfn._xlws.FILTER(MID(S1885,_xlfn.SEQUENCE(LEN(S1885)),1),ISNUMBER(SEARCH(MID(S1885,_xlfn.SEQUENCE(LEN(S1885)),1),"ABCDEFGHIJKLMNOPQRSTUVWXYZabcdefghijklmnopqrstuvwxyz0123456789,")))),"")</f>
        <v/>
      </c>
      <c r="G1885" s="20" t="str" cm="1">
        <f t="array" ref="G1885">IF(TRIM(P1885)="","",IF(SUM(COUNTIF(P1885,{"*NLGD*","*FWG*"}))&gt;0,P1885,IF(SUM(COUNTIF(P1885,{"*GL*","*DGB*","*DGI*","*GT*","*CS*","*PWU*","*DBI*","*SWU*"}))=0,P1885,IF(IFERROR(VALUE(SUBSTITUTE(SUBSTITUTE(O1885,"W",""),"""","")),0)&gt;52,P1885&amp;"-OVRSIZE-",P1885))))</f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s="18" t="str">
        <v/>
      </c>
      <c r="O1885" s="15" t="str" cm="1">
        <f t="array" ref="O1885">IFERROR(_xlfn.LET(
_xlpm.clean,TRIM(SUBSTITUTE(SUBSTITUTE(P1885,CHAR(160),"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5" t="str">
        <f t="shared" si="30"/>
        <v/>
      </c>
    </row>
    <row r="1886" spans="3:19" ht="15.75" customHeight="1">
      <c r="C1886" s="15" t="str" cm="1">
        <f t="array" ref="C1886">IFERROR(_xlfn.TEXTJOIN("",TRUE,_xlfn._xlws.FILTER(MID(S1886,_xlfn.SEQUENCE(LEN(S1886)),1),ISNUMBER(SEARCH(MID(S1886,_xlfn.SEQUENCE(LEN(S1886)),1),"ABCDEFGHIJKLMNOPQRSTUVWXYZabcdefghijklmnopqrstuvwxyz0123456789,")))),"")</f>
        <v/>
      </c>
      <c r="G1886" s="20" t="str" cm="1">
        <f t="array" ref="G1886">IF(TRIM(P1886)="","",IF(SUM(COUNTIF(P1886,{"*NLGD*","*FWG*"}))&gt;0,P1886,IF(SUM(COUNTIF(P1886,{"*GL*","*DGB*","*DGI*","*GT*","*CS*","*PWU*","*DBI*","*SWU*"}))=0,P1886,IF(IFERROR(VALUE(SUBSTITUTE(SUBSTITUTE(O1886,"W",""),"""","")),0)&gt;52,P1886&amp;"-OVRSIZE-",P1886))))</f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s="18" t="str">
        <v/>
      </c>
      <c r="O1886" s="15" t="str" cm="1">
        <f t="array" ref="O1886">IFERROR(_xlfn.LET(
_xlpm.clean,TRIM(SUBSTITUTE(SUBSTITUTE(P1886,CHAR(160),"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6" t="str">
        <f t="shared" si="30"/>
        <v/>
      </c>
    </row>
    <row r="1887" spans="3:19" ht="15.75" customHeight="1">
      <c r="C1887" s="15" t="str" cm="1">
        <f t="array" ref="C1887">IFERROR(_xlfn.TEXTJOIN("",TRUE,_xlfn._xlws.FILTER(MID(S1887,_xlfn.SEQUENCE(LEN(S1887)),1),ISNUMBER(SEARCH(MID(S1887,_xlfn.SEQUENCE(LEN(S1887)),1),"ABCDEFGHIJKLMNOPQRSTUVWXYZabcdefghijklmnopqrstuvwxyz0123456789,")))),"")</f>
        <v/>
      </c>
      <c r="G1887" s="20" t="str" cm="1">
        <f t="array" ref="G1887">IF(TRIM(P1887)="","",IF(SUM(COUNTIF(P1887,{"*NLGD*","*FWG*"}))&gt;0,P1887,IF(SUM(COUNTIF(P1887,{"*GL*","*DGB*","*DGI*","*GT*","*CS*","*PWU*","*DBI*","*SWU*"}))=0,P1887,IF(IFERROR(VALUE(SUBSTITUTE(SUBSTITUTE(O1887,"W",""),"""","")),0)&gt;52,P1887&amp;"-OVRSIZE-",P1887))))</f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s="18" t="str">
        <v/>
      </c>
      <c r="O1887" s="15" t="str" cm="1">
        <f t="array" ref="O1887">IFERROR(_xlfn.LET(
_xlpm.clean,TRIM(SUBSTITUTE(SUBSTITUTE(P1887,CHAR(160),"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7" t="str">
        <f t="shared" si="30"/>
        <v/>
      </c>
    </row>
    <row r="1888" spans="3:19" ht="15.75" customHeight="1">
      <c r="C1888" s="15" t="str" cm="1">
        <f t="array" ref="C1888">IFERROR(_xlfn.TEXTJOIN("",TRUE,_xlfn._xlws.FILTER(MID(S1888,_xlfn.SEQUENCE(LEN(S1888)),1),ISNUMBER(SEARCH(MID(S1888,_xlfn.SEQUENCE(LEN(S1888)),1),"ABCDEFGHIJKLMNOPQRSTUVWXYZabcdefghijklmnopqrstuvwxyz0123456789,")))),"")</f>
        <v/>
      </c>
      <c r="G1888" s="20" t="str" cm="1">
        <f t="array" ref="G1888">IF(TRIM(P1888)="","",IF(SUM(COUNTIF(P1888,{"*NLGD*","*FWG*"}))&gt;0,P1888,IF(SUM(COUNTIF(P1888,{"*GL*","*DGB*","*DGI*","*GT*","*CS*","*PWU*","*DBI*","*SWU*"}))=0,P1888,IF(IFERROR(VALUE(SUBSTITUTE(SUBSTITUTE(O1888,"W",""),"""","")),0)&gt;52,P1888&amp;"-OVRSIZE-",P1888))))</f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s="18" t="str">
        <v/>
      </c>
      <c r="O1888" s="15" t="str" cm="1">
        <f t="array" ref="O1888">IFERROR(_xlfn.LET(
_xlpm.clean,TRIM(SUBSTITUTE(SUBSTITUTE(P1888,CHAR(160),"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8" t="str">
        <f t="shared" si="30"/>
        <v/>
      </c>
    </row>
    <row r="1889" spans="3:19" ht="15.75" customHeight="1">
      <c r="C1889" s="15" t="str" cm="1">
        <f t="array" ref="C1889">IFERROR(_xlfn.TEXTJOIN("",TRUE,_xlfn._xlws.FILTER(MID(S1889,_xlfn.SEQUENCE(LEN(S1889)),1),ISNUMBER(SEARCH(MID(S1889,_xlfn.SEQUENCE(LEN(S1889)),1),"ABCDEFGHIJKLMNOPQRSTUVWXYZabcdefghijklmnopqrstuvwxyz0123456789,")))),"")</f>
        <v/>
      </c>
      <c r="G1889" s="20" t="str" cm="1">
        <f t="array" ref="G1889">IF(TRIM(P1889)="","",IF(SUM(COUNTIF(P1889,{"*NLGD*","*FWG*"}))&gt;0,P1889,IF(SUM(COUNTIF(P1889,{"*GL*","*DGB*","*DGI*","*GT*","*CS*","*PWU*","*DBI*","*SWU*"}))=0,P1889,IF(IFERROR(VALUE(SUBSTITUTE(SUBSTITUTE(O1889,"W",""),"""","")),0)&gt;52,P1889&amp;"-OVRSIZE-",P1889))))</f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s="18" t="str">
        <v/>
      </c>
      <c r="O1889" s="15" t="str" cm="1">
        <f t="array" ref="O1889">IFERROR(_xlfn.LET(
_xlpm.clean,TRIM(SUBSTITUTE(SUBSTITUTE(P1889,CHAR(160),"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9" t="str">
        <f t="shared" si="30"/>
        <v/>
      </c>
    </row>
    <row r="1890" spans="3:19" ht="15.75" customHeight="1">
      <c r="C1890" s="15" t="str" cm="1">
        <f t="array" ref="C1890">IFERROR(_xlfn.TEXTJOIN("",TRUE,_xlfn._xlws.FILTER(MID(S1890,_xlfn.SEQUENCE(LEN(S1890)),1),ISNUMBER(SEARCH(MID(S1890,_xlfn.SEQUENCE(LEN(S1890)),1),"ABCDEFGHIJKLMNOPQRSTUVWXYZabcdefghijklmnopqrstuvwxyz0123456789,")))),"")</f>
        <v/>
      </c>
      <c r="G1890" s="20" t="str" cm="1">
        <f t="array" ref="G1890">IF(TRIM(P1890)="","",IF(SUM(COUNTIF(P1890,{"*NLGD*","*FWG*"}))&gt;0,P1890,IF(SUM(COUNTIF(P1890,{"*GL*","*DGB*","*DGI*","*GT*","*CS*","*PWU*","*DBI*","*SWU*"}))=0,P1890,IF(IFERROR(VALUE(SUBSTITUTE(SUBSTITUTE(O1890,"W",""),"""","")),0)&gt;52,P1890&amp;"-OVRSIZE-",P1890))))</f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s="18" t="str">
        <v/>
      </c>
      <c r="O1890" s="15" t="str" cm="1">
        <f t="array" ref="O1890">IFERROR(_xlfn.LET(
_xlpm.clean,TRIM(SUBSTITUTE(SUBSTITUTE(P1890,CHAR(160),"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0" t="str">
        <f t="shared" si="30"/>
        <v/>
      </c>
    </row>
    <row r="1891" spans="3:19" ht="15.75" customHeight="1">
      <c r="C1891" s="15" t="str" cm="1">
        <f t="array" ref="C1891">IFERROR(_xlfn.TEXTJOIN("",TRUE,_xlfn._xlws.FILTER(MID(S1891,_xlfn.SEQUENCE(LEN(S1891)),1),ISNUMBER(SEARCH(MID(S1891,_xlfn.SEQUENCE(LEN(S1891)),1),"ABCDEFGHIJKLMNOPQRSTUVWXYZabcdefghijklmnopqrstuvwxyz0123456789,")))),"")</f>
        <v/>
      </c>
      <c r="G1891" s="20" t="str" cm="1">
        <f t="array" ref="G1891">IF(TRIM(P1891)="","",IF(SUM(COUNTIF(P1891,{"*NLGD*","*FWG*"}))&gt;0,P1891,IF(SUM(COUNTIF(P1891,{"*GL*","*DGB*","*DGI*","*GT*","*CS*","*PWU*","*DBI*","*SWU*"}))=0,P1891,IF(IFERROR(VALUE(SUBSTITUTE(SUBSTITUTE(O1891,"W",""),"""","")),0)&gt;52,P1891&amp;"-OVRSIZE-",P1891))))</f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s="18" t="str">
        <v/>
      </c>
      <c r="O1891" s="15" t="str" cm="1">
        <f t="array" ref="O1891">IFERROR(_xlfn.LET(
_xlpm.clean,TRIM(SUBSTITUTE(SUBSTITUTE(P1891,CHAR(160),"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1" t="str">
        <f t="shared" si="30"/>
        <v/>
      </c>
    </row>
    <row r="1892" spans="3:19" ht="15.75" customHeight="1">
      <c r="C1892" s="15" t="str" cm="1">
        <f t="array" ref="C1892">IFERROR(_xlfn.TEXTJOIN("",TRUE,_xlfn._xlws.FILTER(MID(S1892,_xlfn.SEQUENCE(LEN(S1892)),1),ISNUMBER(SEARCH(MID(S1892,_xlfn.SEQUENCE(LEN(S1892)),1),"ABCDEFGHIJKLMNOPQRSTUVWXYZabcdefghijklmnopqrstuvwxyz0123456789,")))),"")</f>
        <v/>
      </c>
      <c r="G1892" s="20" t="str" cm="1">
        <f t="array" ref="G1892">IF(TRIM(P1892)="","",IF(SUM(COUNTIF(P1892,{"*NLGD*","*FWG*"}))&gt;0,P1892,IF(SUM(COUNTIF(P1892,{"*GL*","*DGB*","*DGI*","*GT*","*CS*","*PWU*","*DBI*","*SWU*"}))=0,P1892,IF(IFERROR(VALUE(SUBSTITUTE(SUBSTITUTE(O1892,"W",""),"""","")),0)&gt;52,P1892&amp;"-OVRSIZE-",P1892))))</f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s="18" t="str">
        <v/>
      </c>
      <c r="O1892" s="15" t="str" cm="1">
        <f t="array" ref="O1892">IFERROR(_xlfn.LET(
_xlpm.clean,TRIM(SUBSTITUTE(SUBSTITUTE(P1892,CHAR(160),"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2" t="str">
        <f t="shared" si="30"/>
        <v/>
      </c>
    </row>
    <row r="1893" spans="3:19" ht="15.75" customHeight="1">
      <c r="C1893" s="15" t="str" cm="1">
        <f t="array" ref="C1893">IFERROR(_xlfn.TEXTJOIN("",TRUE,_xlfn._xlws.FILTER(MID(S1893,_xlfn.SEQUENCE(LEN(S1893)),1),ISNUMBER(SEARCH(MID(S1893,_xlfn.SEQUENCE(LEN(S1893)),1),"ABCDEFGHIJKLMNOPQRSTUVWXYZabcdefghijklmnopqrstuvwxyz0123456789,")))),"")</f>
        <v/>
      </c>
      <c r="G1893" s="20" t="str" cm="1">
        <f t="array" ref="G1893">IF(TRIM(P1893)="","",IF(SUM(COUNTIF(P1893,{"*NLGD*","*FWG*"}))&gt;0,P1893,IF(SUM(COUNTIF(P1893,{"*GL*","*DGB*","*DGI*","*GT*","*CS*","*PWU*","*DBI*","*SWU*"}))=0,P1893,IF(IFERROR(VALUE(SUBSTITUTE(SUBSTITUTE(O1893,"W",""),"""","")),0)&gt;52,P1893&amp;"-OVRSIZE-",P1893))))</f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s="18" t="str">
        <v/>
      </c>
      <c r="O1893" s="15" t="str" cm="1">
        <f t="array" ref="O1893">IFERROR(_xlfn.LET(
_xlpm.clean,TRIM(SUBSTITUTE(SUBSTITUTE(P1893,CHAR(160),"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3" t="str">
        <f t="shared" si="30"/>
        <v/>
      </c>
    </row>
    <row r="1894" spans="3:19" ht="15.75" customHeight="1">
      <c r="C1894" s="15" t="str" cm="1">
        <f t="array" ref="C1894">IFERROR(_xlfn.TEXTJOIN("",TRUE,_xlfn._xlws.FILTER(MID(S1894,_xlfn.SEQUENCE(LEN(S1894)),1),ISNUMBER(SEARCH(MID(S1894,_xlfn.SEQUENCE(LEN(S1894)),1),"ABCDEFGHIJKLMNOPQRSTUVWXYZabcdefghijklmnopqrstuvwxyz0123456789,")))),"")</f>
        <v/>
      </c>
      <c r="G1894" s="20" t="str" cm="1">
        <f t="array" ref="G1894">IF(TRIM(P1894)="","",IF(SUM(COUNTIF(P1894,{"*NLGD*","*FWG*"}))&gt;0,P1894,IF(SUM(COUNTIF(P1894,{"*GL*","*DGB*","*DGI*","*GT*","*CS*","*PWU*","*DBI*","*SWU*"}))=0,P1894,IF(IFERROR(VALUE(SUBSTITUTE(SUBSTITUTE(O1894,"W",""),"""","")),0)&gt;52,P1894&amp;"-OVRSIZE-",P1894))))</f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s="18" t="str">
        <v/>
      </c>
      <c r="O1894" s="15" t="str" cm="1">
        <f t="array" ref="O1894">IFERROR(_xlfn.LET(
_xlpm.clean,TRIM(SUBSTITUTE(SUBSTITUTE(P1894,CHAR(160),"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4" t="str">
        <f t="shared" si="30"/>
        <v/>
      </c>
    </row>
    <row r="1895" spans="3:19" ht="15.75" customHeight="1">
      <c r="C1895" s="15" t="str" cm="1">
        <f t="array" ref="C1895">IFERROR(_xlfn.TEXTJOIN("",TRUE,_xlfn._xlws.FILTER(MID(S1895,_xlfn.SEQUENCE(LEN(S1895)),1),ISNUMBER(SEARCH(MID(S1895,_xlfn.SEQUENCE(LEN(S1895)),1),"ABCDEFGHIJKLMNOPQRSTUVWXYZabcdefghijklmnopqrstuvwxyz0123456789,")))),"")</f>
        <v/>
      </c>
      <c r="G1895" s="20" t="str" cm="1">
        <f t="array" ref="G1895">IF(TRIM(P1895)="","",IF(SUM(COUNTIF(P1895,{"*NLGD*","*FWG*"}))&gt;0,P1895,IF(SUM(COUNTIF(P1895,{"*GL*","*DGB*","*DGI*","*GT*","*CS*","*PWU*","*DBI*","*SWU*"}))=0,P1895,IF(IFERROR(VALUE(SUBSTITUTE(SUBSTITUTE(O1895,"W",""),"""","")),0)&gt;52,P1895&amp;"-OVRSIZE-",P1895))))</f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s="18" t="str">
        <v/>
      </c>
      <c r="O1895" s="15" t="str" cm="1">
        <f t="array" ref="O1895">IFERROR(_xlfn.LET(
_xlpm.clean,TRIM(SUBSTITUTE(SUBSTITUTE(P1895,CHAR(160),"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5" t="str">
        <f t="shared" si="30"/>
        <v/>
      </c>
    </row>
    <row r="1896" spans="3:19" ht="15.75" customHeight="1">
      <c r="C1896" s="15" t="str" cm="1">
        <f t="array" ref="C1896">IFERROR(_xlfn.TEXTJOIN("",TRUE,_xlfn._xlws.FILTER(MID(S1896,_xlfn.SEQUENCE(LEN(S1896)),1),ISNUMBER(SEARCH(MID(S1896,_xlfn.SEQUENCE(LEN(S1896)),1),"ABCDEFGHIJKLMNOPQRSTUVWXYZabcdefghijklmnopqrstuvwxyz0123456789,")))),"")</f>
        <v/>
      </c>
      <c r="G1896" s="20" t="str" cm="1">
        <f t="array" ref="G1896">IF(TRIM(P1896)="","",IF(SUM(COUNTIF(P1896,{"*NLGD*","*FWG*"}))&gt;0,P1896,IF(SUM(COUNTIF(P1896,{"*GL*","*DGB*","*DGI*","*GT*","*CS*","*PWU*","*DBI*","*SWU*"}))=0,P1896,IF(IFERROR(VALUE(SUBSTITUTE(SUBSTITUTE(O1896,"W",""),"""","")),0)&gt;52,P1896&amp;"-OVRSIZE-",P1896))))</f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s="18" t="str">
        <v/>
      </c>
      <c r="O1896" s="15" t="str" cm="1">
        <f t="array" ref="O1896">IFERROR(_xlfn.LET(
_xlpm.clean,TRIM(SUBSTITUTE(SUBSTITUTE(P1896,CHAR(160),"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6" t="str">
        <f t="shared" si="30"/>
        <v/>
      </c>
    </row>
    <row r="1897" spans="3:19" ht="15.75" customHeight="1">
      <c r="C1897" s="15" t="str" cm="1">
        <f t="array" ref="C1897">IFERROR(_xlfn.TEXTJOIN("",TRUE,_xlfn._xlws.FILTER(MID(S1897,_xlfn.SEQUENCE(LEN(S1897)),1),ISNUMBER(SEARCH(MID(S1897,_xlfn.SEQUENCE(LEN(S1897)),1),"ABCDEFGHIJKLMNOPQRSTUVWXYZabcdefghijklmnopqrstuvwxyz0123456789,")))),"")</f>
        <v/>
      </c>
      <c r="G1897" s="20" t="str" cm="1">
        <f t="array" ref="G1897">IF(TRIM(P1897)="","",IF(SUM(COUNTIF(P1897,{"*NLGD*","*FWG*"}))&gt;0,P1897,IF(SUM(COUNTIF(P1897,{"*GL*","*DGB*","*DGI*","*GT*","*CS*","*PWU*","*DBI*","*SWU*"}))=0,P1897,IF(IFERROR(VALUE(SUBSTITUTE(SUBSTITUTE(O1897,"W",""),"""","")),0)&gt;52,P1897&amp;"-OVRSIZE-",P1897))))</f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s="18" t="str">
        <v/>
      </c>
      <c r="O1897" s="15" t="str" cm="1">
        <f t="array" ref="O1897">IFERROR(_xlfn.LET(
_xlpm.clean,TRIM(SUBSTITUTE(SUBSTITUTE(P1897,CHAR(160),"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7" t="str">
        <f t="shared" si="30"/>
        <v/>
      </c>
    </row>
    <row r="1898" spans="3:19" ht="15.75" customHeight="1">
      <c r="C1898" s="15" t="str" cm="1">
        <f t="array" ref="C1898">IFERROR(_xlfn.TEXTJOIN("",TRUE,_xlfn._xlws.FILTER(MID(S1898,_xlfn.SEQUENCE(LEN(S1898)),1),ISNUMBER(SEARCH(MID(S1898,_xlfn.SEQUENCE(LEN(S1898)),1),"ABCDEFGHIJKLMNOPQRSTUVWXYZabcdefghijklmnopqrstuvwxyz0123456789,")))),"")</f>
        <v/>
      </c>
      <c r="G1898" s="20" t="str" cm="1">
        <f t="array" ref="G1898">IF(TRIM(P1898)="","",IF(SUM(COUNTIF(P1898,{"*NLGD*","*FWG*"}))&gt;0,P1898,IF(SUM(COUNTIF(P1898,{"*GL*","*DGB*","*DGI*","*GT*","*CS*","*PWU*","*DBI*","*SWU*"}))=0,P1898,IF(IFERROR(VALUE(SUBSTITUTE(SUBSTITUTE(O1898,"W",""),"""","")),0)&gt;52,P1898&amp;"-OVRSIZE-",P1898))))</f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s="18" t="str">
        <v/>
      </c>
      <c r="O1898" s="15" t="str" cm="1">
        <f t="array" ref="O1898">IFERROR(_xlfn.LET(
_xlpm.clean,TRIM(SUBSTITUTE(SUBSTITUTE(P1898,CHAR(160),"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8" t="str">
        <f t="shared" si="30"/>
        <v/>
      </c>
    </row>
    <row r="1899" spans="3:19" ht="15.75" customHeight="1">
      <c r="C1899" s="15" t="str" cm="1">
        <f t="array" ref="C1899">IFERROR(_xlfn.TEXTJOIN("",TRUE,_xlfn._xlws.FILTER(MID(S1899,_xlfn.SEQUENCE(LEN(S1899)),1),ISNUMBER(SEARCH(MID(S1899,_xlfn.SEQUENCE(LEN(S1899)),1),"ABCDEFGHIJKLMNOPQRSTUVWXYZabcdefghijklmnopqrstuvwxyz0123456789,")))),"")</f>
        <v/>
      </c>
      <c r="G1899" s="20" t="str" cm="1">
        <f t="array" ref="G1899">IF(TRIM(P1899)="","",IF(SUM(COUNTIF(P1899,{"*NLGD*","*FWG*"}))&gt;0,P1899,IF(SUM(COUNTIF(P1899,{"*GL*","*DGB*","*DGI*","*GT*","*CS*","*PWU*","*DBI*","*SWU*"}))=0,P1899,IF(IFERROR(VALUE(SUBSTITUTE(SUBSTITUTE(O1899,"W",""),"""","")),0)&gt;52,P1899&amp;"-OVRSIZE-",P1899))))</f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s="18" t="str">
        <v/>
      </c>
      <c r="O1899" s="15" t="str" cm="1">
        <f t="array" ref="O1899">IFERROR(_xlfn.LET(
_xlpm.clean,TRIM(SUBSTITUTE(SUBSTITUTE(P1899,CHAR(160),"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9" t="str">
        <f t="shared" si="30"/>
        <v/>
      </c>
    </row>
    <row r="1900" spans="3:19" ht="15.75" customHeight="1">
      <c r="C1900" s="15" t="str" cm="1">
        <f t="array" ref="C1900">IFERROR(_xlfn.TEXTJOIN("",TRUE,_xlfn._xlws.FILTER(MID(S1900,_xlfn.SEQUENCE(LEN(S1900)),1),ISNUMBER(SEARCH(MID(S1900,_xlfn.SEQUENCE(LEN(S1900)),1),"ABCDEFGHIJKLMNOPQRSTUVWXYZabcdefghijklmnopqrstuvwxyz0123456789,")))),"")</f>
        <v/>
      </c>
      <c r="G1900" s="20" t="str" cm="1">
        <f t="array" ref="G1900">IF(TRIM(P1900)="","",IF(SUM(COUNTIF(P1900,{"*NLGD*","*FWG*"}))&gt;0,P1900,IF(SUM(COUNTIF(P1900,{"*GL*","*DGB*","*DGI*","*GT*","*CS*","*PWU*","*DBI*","*SWU*"}))=0,P1900,IF(IFERROR(VALUE(SUBSTITUTE(SUBSTITUTE(O1900,"W",""),"""","")),0)&gt;52,P1900&amp;"-OVRSIZE-",P1900))))</f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s="18" t="str">
        <v/>
      </c>
      <c r="O1900" s="15" t="str" cm="1">
        <f t="array" ref="O1900">IFERROR(_xlfn.LET(
_xlpm.clean,TRIM(SUBSTITUTE(SUBSTITUTE(P1900,CHAR(160),"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0" t="str">
        <f t="shared" si="30"/>
        <v/>
      </c>
    </row>
    <row r="1901" spans="3:19" ht="15.75" customHeight="1">
      <c r="C1901" s="15" t="str" cm="1">
        <f t="array" ref="C1901">IFERROR(_xlfn.TEXTJOIN("",TRUE,_xlfn._xlws.FILTER(MID(S1901,_xlfn.SEQUENCE(LEN(S1901)),1),ISNUMBER(SEARCH(MID(S1901,_xlfn.SEQUENCE(LEN(S1901)),1),"ABCDEFGHIJKLMNOPQRSTUVWXYZabcdefghijklmnopqrstuvwxyz0123456789,")))),"")</f>
        <v/>
      </c>
      <c r="G1901" s="20" t="str" cm="1">
        <f t="array" ref="G1901">IF(TRIM(P1901)="","",IF(SUM(COUNTIF(P1901,{"*NLGD*","*FWG*"}))&gt;0,P1901,IF(SUM(COUNTIF(P1901,{"*GL*","*DGB*","*DGI*","*GT*","*CS*","*PWU*","*DBI*","*SWU*"}))=0,P1901,IF(IFERROR(VALUE(SUBSTITUTE(SUBSTITUTE(O1901,"W",""),"""","")),0)&gt;52,P1901&amp;"-OVRSIZE-",P1901))))</f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s="18" t="str">
        <v/>
      </c>
      <c r="O1901" s="15" t="str" cm="1">
        <f t="array" ref="O1901">IFERROR(_xlfn.LET(
_xlpm.clean,TRIM(SUBSTITUTE(SUBSTITUTE(P1901,CHAR(160),"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1" t="str">
        <f t="shared" si="30"/>
        <v/>
      </c>
    </row>
    <row r="1902" spans="3:19" ht="15.75" customHeight="1">
      <c r="C1902" s="15" t="str" cm="1">
        <f t="array" ref="C1902">IFERROR(_xlfn.TEXTJOIN("",TRUE,_xlfn._xlws.FILTER(MID(S1902,_xlfn.SEQUENCE(LEN(S1902)),1),ISNUMBER(SEARCH(MID(S1902,_xlfn.SEQUENCE(LEN(S1902)),1),"ABCDEFGHIJKLMNOPQRSTUVWXYZabcdefghijklmnopqrstuvwxyz0123456789,")))),"")</f>
        <v/>
      </c>
      <c r="G1902" s="20" t="str" cm="1">
        <f t="array" ref="G1902">IF(TRIM(P1902)="","",IF(SUM(COUNTIF(P1902,{"*NLGD*","*FWG*"}))&gt;0,P1902,IF(SUM(COUNTIF(P1902,{"*GL*","*DGB*","*DGI*","*GT*","*CS*","*PWU*","*DBI*","*SWU*"}))=0,P1902,IF(IFERROR(VALUE(SUBSTITUTE(SUBSTITUTE(O1902,"W",""),"""","")),0)&gt;52,P1902&amp;"-OVRSIZE-",P1902))))</f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s="18" t="str">
        <v/>
      </c>
      <c r="O1902" s="15" t="str" cm="1">
        <f t="array" ref="O1902">IFERROR(_xlfn.LET(
_xlpm.clean,TRIM(SUBSTITUTE(SUBSTITUTE(P1902,CHAR(160),"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2" t="str">
        <f t="shared" si="30"/>
        <v/>
      </c>
    </row>
    <row r="1903" spans="3:19" ht="15.75" customHeight="1">
      <c r="C1903" s="15" t="str" cm="1">
        <f t="array" ref="C1903">IFERROR(_xlfn.TEXTJOIN("",TRUE,_xlfn._xlws.FILTER(MID(S1903,_xlfn.SEQUENCE(LEN(S1903)),1),ISNUMBER(SEARCH(MID(S1903,_xlfn.SEQUENCE(LEN(S1903)),1),"ABCDEFGHIJKLMNOPQRSTUVWXYZabcdefghijklmnopqrstuvwxyz0123456789,")))),"")</f>
        <v/>
      </c>
      <c r="G1903" s="20" t="str" cm="1">
        <f t="array" ref="G1903">IF(TRIM(P1903)="","",IF(SUM(COUNTIF(P1903,{"*NLGD*","*FWG*"}))&gt;0,P1903,IF(SUM(COUNTIF(P1903,{"*GL*","*DGB*","*DGI*","*GT*","*CS*","*PWU*","*DBI*","*SWU*"}))=0,P1903,IF(IFERROR(VALUE(SUBSTITUTE(SUBSTITUTE(O1903,"W",""),"""","")),0)&gt;52,P1903&amp;"-OVRSIZE-",P1903))))</f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s="18" t="str">
        <v/>
      </c>
      <c r="O1903" s="15" t="str" cm="1">
        <f t="array" ref="O1903">IFERROR(_xlfn.LET(
_xlpm.clean,TRIM(SUBSTITUTE(SUBSTITUTE(P1903,CHAR(160),"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3" t="str">
        <f t="shared" si="30"/>
        <v/>
      </c>
    </row>
    <row r="1904" spans="3:19" ht="15.75" customHeight="1">
      <c r="C1904" s="15" t="str" cm="1">
        <f t="array" ref="C1904">IFERROR(_xlfn.TEXTJOIN("",TRUE,_xlfn._xlws.FILTER(MID(S1904,_xlfn.SEQUENCE(LEN(S1904)),1),ISNUMBER(SEARCH(MID(S1904,_xlfn.SEQUENCE(LEN(S1904)),1),"ABCDEFGHIJKLMNOPQRSTUVWXYZabcdefghijklmnopqrstuvwxyz0123456789,")))),"")</f>
        <v/>
      </c>
      <c r="G1904" s="20" t="str" cm="1">
        <f t="array" ref="G1904">IF(TRIM(P1904)="","",IF(SUM(COUNTIF(P1904,{"*NLGD*","*FWG*"}))&gt;0,P1904,IF(SUM(COUNTIF(P1904,{"*GL*","*DGB*","*DGI*","*GT*","*CS*","*PWU*","*DBI*","*SWU*"}))=0,P1904,IF(IFERROR(VALUE(SUBSTITUTE(SUBSTITUTE(O1904,"W",""),"""","")),0)&gt;52,P1904&amp;"-OVRSIZE-",P1904))))</f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s="18" t="str">
        <v/>
      </c>
      <c r="O1904" s="15" t="str" cm="1">
        <f t="array" ref="O1904">IFERROR(_xlfn.LET(
_xlpm.clean,TRIM(SUBSTITUTE(SUBSTITUTE(P1904,CHAR(160),"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4" t="str">
        <f t="shared" si="30"/>
        <v/>
      </c>
    </row>
    <row r="1905" spans="3:19" ht="15.75" customHeight="1">
      <c r="C1905" s="15" t="str" cm="1">
        <f t="array" ref="C1905">IFERROR(_xlfn.TEXTJOIN("",TRUE,_xlfn._xlws.FILTER(MID(S1905,_xlfn.SEQUENCE(LEN(S1905)),1),ISNUMBER(SEARCH(MID(S1905,_xlfn.SEQUENCE(LEN(S1905)),1),"ABCDEFGHIJKLMNOPQRSTUVWXYZabcdefghijklmnopqrstuvwxyz0123456789,")))),"")</f>
        <v/>
      </c>
      <c r="G1905" s="20" t="str" cm="1">
        <f t="array" ref="G1905">IF(TRIM(P1905)="","",IF(SUM(COUNTIF(P1905,{"*NLGD*","*FWG*"}))&gt;0,P1905,IF(SUM(COUNTIF(P1905,{"*GL*","*DGB*","*DGI*","*GT*","*CS*","*PWU*","*DBI*","*SWU*"}))=0,P1905,IF(IFERROR(VALUE(SUBSTITUTE(SUBSTITUTE(O1905,"W",""),"""","")),0)&gt;52,P1905&amp;"-OVRSIZE-",P1905))))</f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s="18" t="str">
        <v/>
      </c>
      <c r="O1905" s="15" t="str" cm="1">
        <f t="array" ref="O1905">IFERROR(_xlfn.LET(
_xlpm.clean,TRIM(SUBSTITUTE(SUBSTITUTE(P1905,CHAR(160),"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5" t="str">
        <f t="shared" si="30"/>
        <v/>
      </c>
    </row>
    <row r="1906" spans="3:19" ht="15.75" customHeight="1">
      <c r="C1906" s="15" t="str" cm="1">
        <f t="array" ref="C1906">IFERROR(_xlfn.TEXTJOIN("",TRUE,_xlfn._xlws.FILTER(MID(S1906,_xlfn.SEQUENCE(LEN(S1906)),1),ISNUMBER(SEARCH(MID(S1906,_xlfn.SEQUENCE(LEN(S1906)),1),"ABCDEFGHIJKLMNOPQRSTUVWXYZabcdefghijklmnopqrstuvwxyz0123456789,")))),"")</f>
        <v/>
      </c>
      <c r="G1906" s="20" t="str" cm="1">
        <f t="array" ref="G1906">IF(TRIM(P1906)="","",IF(SUM(COUNTIF(P1906,{"*NLGD*","*FWG*"}))&gt;0,P1906,IF(SUM(COUNTIF(P1906,{"*GL*","*DGB*","*DGI*","*GT*","*CS*","*PWU*","*DBI*","*SWU*"}))=0,P1906,IF(IFERROR(VALUE(SUBSTITUTE(SUBSTITUTE(O1906,"W",""),"""","")),0)&gt;52,P1906&amp;"-OVRSIZE-",P1906))))</f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s="18" t="str">
        <v/>
      </c>
      <c r="O1906" s="15" t="str" cm="1">
        <f t="array" ref="O1906">IFERROR(_xlfn.LET(
_xlpm.clean,TRIM(SUBSTITUTE(SUBSTITUTE(P1906,CHAR(160),"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6" t="str">
        <f t="shared" si="30"/>
        <v/>
      </c>
    </row>
    <row r="1907" spans="3:19" ht="15.75" customHeight="1">
      <c r="C1907" s="15" t="str" cm="1">
        <f t="array" ref="C1907">IFERROR(_xlfn.TEXTJOIN("",TRUE,_xlfn._xlws.FILTER(MID(S1907,_xlfn.SEQUENCE(LEN(S1907)),1),ISNUMBER(SEARCH(MID(S1907,_xlfn.SEQUENCE(LEN(S1907)),1),"ABCDEFGHIJKLMNOPQRSTUVWXYZabcdefghijklmnopqrstuvwxyz0123456789,")))),"")</f>
        <v/>
      </c>
      <c r="G1907" s="20" t="str" cm="1">
        <f t="array" ref="G1907">IF(TRIM(P1907)="","",IF(SUM(COUNTIF(P1907,{"*NLGD*","*FWG*"}))&gt;0,P1907,IF(SUM(COUNTIF(P1907,{"*GL*","*DGB*","*DGI*","*GT*","*CS*","*PWU*","*DBI*","*SWU*"}))=0,P1907,IF(IFERROR(VALUE(SUBSTITUTE(SUBSTITUTE(O1907,"W",""),"""","")),0)&gt;52,P1907&amp;"-OVRSIZE-",P1907))))</f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s="18" t="str">
        <v/>
      </c>
      <c r="O1907" s="15" t="str" cm="1">
        <f t="array" ref="O1907">IFERROR(_xlfn.LET(
_xlpm.clean,TRIM(SUBSTITUTE(SUBSTITUTE(P1907,CHAR(160),"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7" t="str">
        <f t="shared" si="30"/>
        <v/>
      </c>
    </row>
    <row r="1908" spans="3:19" ht="15.75" customHeight="1">
      <c r="C1908" s="15" t="str" cm="1">
        <f t="array" ref="C1908">IFERROR(_xlfn.TEXTJOIN("",TRUE,_xlfn._xlws.FILTER(MID(S1908,_xlfn.SEQUENCE(LEN(S1908)),1),ISNUMBER(SEARCH(MID(S1908,_xlfn.SEQUENCE(LEN(S1908)),1),"ABCDEFGHIJKLMNOPQRSTUVWXYZabcdefghijklmnopqrstuvwxyz0123456789,")))),"")</f>
        <v/>
      </c>
      <c r="G1908" s="20" t="str" cm="1">
        <f t="array" ref="G1908">IF(TRIM(P1908)="","",IF(SUM(COUNTIF(P1908,{"*NLGD*","*FWG*"}))&gt;0,P1908,IF(SUM(COUNTIF(P1908,{"*GL*","*DGB*","*DGI*","*GT*","*CS*","*PWU*","*DBI*","*SWU*"}))=0,P1908,IF(IFERROR(VALUE(SUBSTITUTE(SUBSTITUTE(O1908,"W",""),"""","")),0)&gt;52,P1908&amp;"-OVRSIZE-",P1908))))</f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s="18" t="str">
        <v/>
      </c>
      <c r="O1908" s="15" t="str" cm="1">
        <f t="array" ref="O1908">IFERROR(_xlfn.LET(
_xlpm.clean,TRIM(SUBSTITUTE(SUBSTITUTE(P1908,CHAR(160),"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8" t="str">
        <f t="shared" si="30"/>
        <v/>
      </c>
    </row>
    <row r="1909" spans="3:19" ht="15.75" customHeight="1">
      <c r="C1909" s="15" t="str" cm="1">
        <f t="array" ref="C1909">IFERROR(_xlfn.TEXTJOIN("",TRUE,_xlfn._xlws.FILTER(MID(S1909,_xlfn.SEQUENCE(LEN(S1909)),1),ISNUMBER(SEARCH(MID(S1909,_xlfn.SEQUENCE(LEN(S1909)),1),"ABCDEFGHIJKLMNOPQRSTUVWXYZabcdefghijklmnopqrstuvwxyz0123456789,")))),"")</f>
        <v/>
      </c>
      <c r="G1909" s="20" t="str" cm="1">
        <f t="array" ref="G1909">IF(TRIM(P1909)="","",IF(SUM(COUNTIF(P1909,{"*NLGD*","*FWG*"}))&gt;0,P1909,IF(SUM(COUNTIF(P1909,{"*GL*","*DGB*","*DGI*","*GT*","*CS*","*PWU*","*DBI*","*SWU*"}))=0,P1909,IF(IFERROR(VALUE(SUBSTITUTE(SUBSTITUTE(O1909,"W",""),"""","")),0)&gt;52,P1909&amp;"-OVRSIZE-",P1909))))</f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s="18" t="str">
        <v/>
      </c>
      <c r="O1909" s="15" t="str" cm="1">
        <f t="array" ref="O1909">IFERROR(_xlfn.LET(
_xlpm.clean,TRIM(SUBSTITUTE(SUBSTITUTE(P1909,CHAR(160),"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9" t="str">
        <f t="shared" si="30"/>
        <v/>
      </c>
    </row>
    <row r="1910" spans="3:19" ht="15.75" customHeight="1">
      <c r="C1910" s="15" t="str" cm="1">
        <f t="array" ref="C1910">IFERROR(_xlfn.TEXTJOIN("",TRUE,_xlfn._xlws.FILTER(MID(S1910,_xlfn.SEQUENCE(LEN(S1910)),1),ISNUMBER(SEARCH(MID(S1910,_xlfn.SEQUENCE(LEN(S1910)),1),"ABCDEFGHIJKLMNOPQRSTUVWXYZabcdefghijklmnopqrstuvwxyz0123456789,")))),"")</f>
        <v/>
      </c>
      <c r="G1910" s="20" t="str" cm="1">
        <f t="array" ref="G1910">IF(TRIM(P1910)="","",IF(SUM(COUNTIF(P1910,{"*NLGD*","*FWG*"}))&gt;0,P1910,IF(SUM(COUNTIF(P1910,{"*GL*","*DGB*","*DGI*","*GT*","*CS*","*PWU*","*DBI*","*SWU*"}))=0,P1910,IF(IFERROR(VALUE(SUBSTITUTE(SUBSTITUTE(O1910,"W",""),"""","")),0)&gt;52,P1910&amp;"-OVRSIZE-",P1910))))</f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s="18" t="str">
        <v/>
      </c>
      <c r="O1910" s="15" t="str" cm="1">
        <f t="array" ref="O1910">IFERROR(_xlfn.LET(
_xlpm.clean,TRIM(SUBSTITUTE(SUBSTITUTE(P1910,CHAR(160),"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0" t="str">
        <f t="shared" si="30"/>
        <v/>
      </c>
    </row>
    <row r="1911" spans="3:19" ht="15.75" customHeight="1">
      <c r="C1911" s="15" t="str" cm="1">
        <f t="array" ref="C1911">IFERROR(_xlfn.TEXTJOIN("",TRUE,_xlfn._xlws.FILTER(MID(S1911,_xlfn.SEQUENCE(LEN(S1911)),1),ISNUMBER(SEARCH(MID(S1911,_xlfn.SEQUENCE(LEN(S1911)),1),"ABCDEFGHIJKLMNOPQRSTUVWXYZabcdefghijklmnopqrstuvwxyz0123456789,")))),"")</f>
        <v/>
      </c>
      <c r="G1911" s="20" t="str" cm="1">
        <f t="array" ref="G1911">IF(TRIM(P1911)="","",IF(SUM(COUNTIF(P1911,{"*NLGD*","*FWG*"}))&gt;0,P1911,IF(SUM(COUNTIF(P1911,{"*GL*","*DGB*","*DGI*","*GT*","*CS*","*PWU*","*DBI*","*SWU*"}))=0,P1911,IF(IFERROR(VALUE(SUBSTITUTE(SUBSTITUTE(O1911,"W",""),"""","")),0)&gt;52,P1911&amp;"-OVRSIZE-",P1911))))</f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s="18" t="str">
        <v/>
      </c>
      <c r="O1911" s="15" t="str" cm="1">
        <f t="array" ref="O1911">IFERROR(_xlfn.LET(
_xlpm.clean,TRIM(SUBSTITUTE(SUBSTITUTE(P1911,CHAR(160),"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1" t="str">
        <f t="shared" si="30"/>
        <v/>
      </c>
    </row>
    <row r="1912" spans="3:19" ht="15.75" customHeight="1">
      <c r="C1912" s="15" t="str" cm="1">
        <f t="array" ref="C1912">IFERROR(_xlfn.TEXTJOIN("",TRUE,_xlfn._xlws.FILTER(MID(S1912,_xlfn.SEQUENCE(LEN(S1912)),1),ISNUMBER(SEARCH(MID(S1912,_xlfn.SEQUENCE(LEN(S1912)),1),"ABCDEFGHIJKLMNOPQRSTUVWXYZabcdefghijklmnopqrstuvwxyz0123456789,")))),"")</f>
        <v/>
      </c>
      <c r="G1912" s="20" t="str" cm="1">
        <f t="array" ref="G1912">IF(TRIM(P1912)="","",IF(SUM(COUNTIF(P1912,{"*NLGD*","*FWG*"}))&gt;0,P1912,IF(SUM(COUNTIF(P1912,{"*GL*","*DGB*","*DGI*","*GT*","*CS*","*PWU*","*DBI*","*SWU*"}))=0,P1912,IF(IFERROR(VALUE(SUBSTITUTE(SUBSTITUTE(O1912,"W",""),"""","")),0)&gt;52,P1912&amp;"-OVRSIZE-",P1912))))</f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s="18" t="str">
        <v/>
      </c>
      <c r="O1912" s="15" t="str" cm="1">
        <f t="array" ref="O1912">IFERROR(_xlfn.LET(
_xlpm.clean,TRIM(SUBSTITUTE(SUBSTITUTE(P1912,CHAR(160),"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2" t="str">
        <f t="shared" si="30"/>
        <v/>
      </c>
    </row>
    <row r="1913" spans="3:19" ht="15.75" customHeight="1">
      <c r="C1913" s="15" t="str" cm="1">
        <f t="array" ref="C1913">IFERROR(_xlfn.TEXTJOIN("",TRUE,_xlfn._xlws.FILTER(MID(S1913,_xlfn.SEQUENCE(LEN(S1913)),1),ISNUMBER(SEARCH(MID(S1913,_xlfn.SEQUENCE(LEN(S1913)),1),"ABCDEFGHIJKLMNOPQRSTUVWXYZabcdefghijklmnopqrstuvwxyz0123456789,")))),"")</f>
        <v/>
      </c>
      <c r="G1913" s="20" t="str" cm="1">
        <f t="array" ref="G1913">IF(TRIM(P1913)="","",IF(SUM(COUNTIF(P1913,{"*NLGD*","*FWG*"}))&gt;0,P1913,IF(SUM(COUNTIF(P1913,{"*GL*","*DGB*","*DGI*","*GT*","*CS*","*PWU*","*DBI*","*SWU*"}))=0,P1913,IF(IFERROR(VALUE(SUBSTITUTE(SUBSTITUTE(O1913,"W",""),"""","")),0)&gt;52,P1913&amp;"-OVRSIZE-",P1913))))</f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s="18" t="str">
        <v/>
      </c>
      <c r="O1913" s="15" t="str" cm="1">
        <f t="array" ref="O1913">IFERROR(_xlfn.LET(
_xlpm.clean,TRIM(SUBSTITUTE(SUBSTITUTE(P1913,CHAR(160),"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3" t="str">
        <f t="shared" si="30"/>
        <v/>
      </c>
    </row>
    <row r="1914" spans="3:19" ht="15.75" customHeight="1">
      <c r="C1914" s="15" t="str" cm="1">
        <f t="array" ref="C1914">IFERROR(_xlfn.TEXTJOIN("",TRUE,_xlfn._xlws.FILTER(MID(S1914,_xlfn.SEQUENCE(LEN(S1914)),1),ISNUMBER(SEARCH(MID(S1914,_xlfn.SEQUENCE(LEN(S1914)),1),"ABCDEFGHIJKLMNOPQRSTUVWXYZabcdefghijklmnopqrstuvwxyz0123456789,")))),"")</f>
        <v/>
      </c>
      <c r="G1914" s="20" t="str" cm="1">
        <f t="array" ref="G1914">IF(TRIM(P1914)="","",IF(SUM(COUNTIF(P1914,{"*NLGD*","*FWG*"}))&gt;0,P1914,IF(SUM(COUNTIF(P1914,{"*GL*","*DGB*","*DGI*","*GT*","*CS*","*PWU*","*DBI*","*SWU*"}))=0,P1914,IF(IFERROR(VALUE(SUBSTITUTE(SUBSTITUTE(O1914,"W",""),"""","")),0)&gt;52,P1914&amp;"-OVRSIZE-",P1914))))</f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s="18" t="str">
        <v/>
      </c>
      <c r="O1914" s="15" t="str" cm="1">
        <f t="array" ref="O1914">IFERROR(_xlfn.LET(
_xlpm.clean,TRIM(SUBSTITUTE(SUBSTITUTE(P1914,CHAR(160),"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4" t="str">
        <f t="shared" si="30"/>
        <v/>
      </c>
    </row>
    <row r="1915" spans="3:19" ht="15.75" customHeight="1">
      <c r="C1915" s="15" t="str" cm="1">
        <f t="array" ref="C1915">IFERROR(_xlfn.TEXTJOIN("",TRUE,_xlfn._xlws.FILTER(MID(S1915,_xlfn.SEQUENCE(LEN(S1915)),1),ISNUMBER(SEARCH(MID(S1915,_xlfn.SEQUENCE(LEN(S1915)),1),"ABCDEFGHIJKLMNOPQRSTUVWXYZabcdefghijklmnopqrstuvwxyz0123456789,")))),"")</f>
        <v/>
      </c>
      <c r="G1915" s="20" t="str" cm="1">
        <f t="array" ref="G1915">IF(TRIM(P1915)="","",IF(SUM(COUNTIF(P1915,{"*NLGD*","*FWG*"}))&gt;0,P1915,IF(SUM(COUNTIF(P1915,{"*GL*","*DGB*","*DGI*","*GT*","*CS*","*PWU*","*DBI*","*SWU*"}))=0,P1915,IF(IFERROR(VALUE(SUBSTITUTE(SUBSTITUTE(O1915,"W",""),"""","")),0)&gt;52,P1915&amp;"-OVRSIZE-",P1915))))</f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s="18" t="str">
        <v/>
      </c>
      <c r="O1915" s="15" t="str" cm="1">
        <f t="array" ref="O1915">IFERROR(_xlfn.LET(
_xlpm.clean,TRIM(SUBSTITUTE(SUBSTITUTE(P1915,CHAR(160),"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5" t="str">
        <f t="shared" si="30"/>
        <v/>
      </c>
    </row>
    <row r="1916" spans="3:19" ht="15.75" customHeight="1">
      <c r="C1916" s="15" t="str" cm="1">
        <f t="array" ref="C1916">IFERROR(_xlfn.TEXTJOIN("",TRUE,_xlfn._xlws.FILTER(MID(S1916,_xlfn.SEQUENCE(LEN(S1916)),1),ISNUMBER(SEARCH(MID(S1916,_xlfn.SEQUENCE(LEN(S1916)),1),"ABCDEFGHIJKLMNOPQRSTUVWXYZabcdefghijklmnopqrstuvwxyz0123456789,")))),"")</f>
        <v/>
      </c>
      <c r="G1916" s="20" t="str" cm="1">
        <f t="array" ref="G1916">IF(TRIM(P1916)="","",IF(SUM(COUNTIF(P1916,{"*NLGD*","*FWG*"}))&gt;0,P1916,IF(SUM(COUNTIF(P1916,{"*GL*","*DGB*","*DGI*","*GT*","*CS*","*PWU*","*DBI*","*SWU*"}))=0,P1916,IF(IFERROR(VALUE(SUBSTITUTE(SUBSTITUTE(O1916,"W",""),"""","")),0)&gt;52,P1916&amp;"-OVRSIZE-",P1916))))</f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s="18" t="str">
        <v/>
      </c>
      <c r="O1916" s="15" t="str" cm="1">
        <f t="array" ref="O1916">IFERROR(_xlfn.LET(
_xlpm.clean,TRIM(SUBSTITUTE(SUBSTITUTE(P1916,CHAR(160),"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6" t="str">
        <f t="shared" si="30"/>
        <v/>
      </c>
    </row>
    <row r="1917" spans="3:19" ht="15.75" customHeight="1">
      <c r="C1917" s="15" t="str" cm="1">
        <f t="array" ref="C1917">IFERROR(_xlfn.TEXTJOIN("",TRUE,_xlfn._xlws.FILTER(MID(S1917,_xlfn.SEQUENCE(LEN(S1917)),1),ISNUMBER(SEARCH(MID(S1917,_xlfn.SEQUENCE(LEN(S1917)),1),"ABCDEFGHIJKLMNOPQRSTUVWXYZabcdefghijklmnopqrstuvwxyz0123456789,")))),"")</f>
        <v/>
      </c>
      <c r="G1917" s="20" t="str" cm="1">
        <f t="array" ref="G1917">IF(TRIM(P1917)="","",IF(SUM(COUNTIF(P1917,{"*NLGD*","*FWG*"}))&gt;0,P1917,IF(SUM(COUNTIF(P1917,{"*GL*","*DGB*","*DGI*","*GT*","*CS*","*PWU*","*DBI*","*SWU*"}))=0,P1917,IF(IFERROR(VALUE(SUBSTITUTE(SUBSTITUTE(O1917,"W",""),"""","")),0)&gt;52,P1917&amp;"-OVRSIZE-",P1917))))</f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s="18" t="str">
        <v/>
      </c>
      <c r="O1917" s="15" t="str" cm="1">
        <f t="array" ref="O1917">IFERROR(_xlfn.LET(
_xlpm.clean,TRIM(SUBSTITUTE(SUBSTITUTE(P1917,CHAR(160),"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7" t="str">
        <f t="shared" si="30"/>
        <v/>
      </c>
    </row>
    <row r="1918" spans="3:19" ht="15.75" customHeight="1">
      <c r="C1918" s="15" t="str" cm="1">
        <f t="array" ref="C1918">IFERROR(_xlfn.TEXTJOIN("",TRUE,_xlfn._xlws.FILTER(MID(S1918,_xlfn.SEQUENCE(LEN(S1918)),1),ISNUMBER(SEARCH(MID(S1918,_xlfn.SEQUENCE(LEN(S1918)),1),"ABCDEFGHIJKLMNOPQRSTUVWXYZabcdefghijklmnopqrstuvwxyz0123456789,")))),"")</f>
        <v/>
      </c>
      <c r="G1918" s="20" t="str" cm="1">
        <f t="array" ref="G1918">IF(TRIM(P1918)="","",IF(SUM(COUNTIF(P1918,{"*NLGD*","*FWG*"}))&gt;0,P1918,IF(SUM(COUNTIF(P1918,{"*GL*","*DGB*","*DGI*","*GT*","*CS*","*PWU*","*DBI*","*SWU*"}))=0,P1918,IF(IFERROR(VALUE(SUBSTITUTE(SUBSTITUTE(O1918,"W",""),"""","")),0)&gt;52,P1918&amp;"-OVRSIZE-",P1918))))</f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s="18" t="str">
        <v/>
      </c>
      <c r="O1918" s="15" t="str" cm="1">
        <f t="array" ref="O1918">IFERROR(_xlfn.LET(
_xlpm.clean,TRIM(SUBSTITUTE(SUBSTITUTE(P1918,CHAR(160),"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8" t="str">
        <f t="shared" si="30"/>
        <v/>
      </c>
    </row>
    <row r="1919" spans="3:19" ht="15.75" customHeight="1">
      <c r="C1919" s="15" t="str" cm="1">
        <f t="array" ref="C1919">IFERROR(_xlfn.TEXTJOIN("",TRUE,_xlfn._xlws.FILTER(MID(S1919,_xlfn.SEQUENCE(LEN(S1919)),1),ISNUMBER(SEARCH(MID(S1919,_xlfn.SEQUENCE(LEN(S1919)),1),"ABCDEFGHIJKLMNOPQRSTUVWXYZabcdefghijklmnopqrstuvwxyz0123456789,")))),"")</f>
        <v/>
      </c>
      <c r="G1919" s="20" t="str" cm="1">
        <f t="array" ref="G1919">IF(TRIM(P1919)="","",IF(SUM(COUNTIF(P1919,{"*NLGD*","*FWG*"}))&gt;0,P1919,IF(SUM(COUNTIF(P1919,{"*GL*","*DGB*","*DGI*","*GT*","*CS*","*PWU*","*DBI*","*SWU*"}))=0,P1919,IF(IFERROR(VALUE(SUBSTITUTE(SUBSTITUTE(O1919,"W",""),"""","")),0)&gt;52,P1919&amp;"-OVRSIZE-",P1919))))</f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s="18" t="str">
        <v/>
      </c>
      <c r="O1919" s="15" t="str" cm="1">
        <f t="array" ref="O1919">IFERROR(_xlfn.LET(
_xlpm.clean,TRIM(SUBSTITUTE(SUBSTITUTE(P1919,CHAR(160),"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9" t="str">
        <f t="shared" si="30"/>
        <v/>
      </c>
    </row>
    <row r="1920" spans="3:19" ht="15.75" customHeight="1">
      <c r="C1920" s="15" t="str" cm="1">
        <f t="array" ref="C1920">IFERROR(_xlfn.TEXTJOIN("",TRUE,_xlfn._xlws.FILTER(MID(S1920,_xlfn.SEQUENCE(LEN(S1920)),1),ISNUMBER(SEARCH(MID(S1920,_xlfn.SEQUENCE(LEN(S1920)),1),"ABCDEFGHIJKLMNOPQRSTUVWXYZabcdefghijklmnopqrstuvwxyz0123456789,")))),"")</f>
        <v/>
      </c>
      <c r="G1920" s="20" t="str" cm="1">
        <f t="array" ref="G1920">IF(TRIM(P1920)="","",IF(SUM(COUNTIF(P1920,{"*NLGD*","*FWG*"}))&gt;0,P1920,IF(SUM(COUNTIF(P1920,{"*GL*","*DGB*","*DGI*","*GT*","*CS*","*PWU*","*DBI*","*SWU*"}))=0,P1920,IF(IFERROR(VALUE(SUBSTITUTE(SUBSTITUTE(O1920,"W",""),"""","")),0)&gt;52,P1920&amp;"-OVRSIZE-",P1920))))</f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s="18" t="str">
        <v/>
      </c>
      <c r="O1920" s="15" t="str" cm="1">
        <f t="array" ref="O1920">IFERROR(_xlfn.LET(
_xlpm.clean,TRIM(SUBSTITUTE(SUBSTITUTE(P1920,CHAR(160),"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0" t="str">
        <f t="shared" si="30"/>
        <v/>
      </c>
    </row>
    <row r="1921" spans="3:19" ht="15.75" customHeight="1">
      <c r="C1921" s="15" t="str" cm="1">
        <f t="array" ref="C1921">IFERROR(_xlfn.TEXTJOIN("",TRUE,_xlfn._xlws.FILTER(MID(S1921,_xlfn.SEQUENCE(LEN(S1921)),1),ISNUMBER(SEARCH(MID(S1921,_xlfn.SEQUENCE(LEN(S1921)),1),"ABCDEFGHIJKLMNOPQRSTUVWXYZabcdefghijklmnopqrstuvwxyz0123456789,")))),"")</f>
        <v/>
      </c>
      <c r="G1921" s="20" t="str" cm="1">
        <f t="array" ref="G1921">IF(TRIM(P1921)="","",IF(SUM(COUNTIF(P1921,{"*NLGD*","*FWG*"}))&gt;0,P1921,IF(SUM(COUNTIF(P1921,{"*GL*","*DGB*","*DGI*","*GT*","*CS*","*PWU*","*DBI*","*SWU*"}))=0,P1921,IF(IFERROR(VALUE(SUBSTITUTE(SUBSTITUTE(O1921,"W",""),"""","")),0)&gt;52,P1921&amp;"-OVRSIZE-",P1921))))</f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s="18" t="str">
        <v/>
      </c>
      <c r="O1921" s="15" t="str" cm="1">
        <f t="array" ref="O1921">IFERROR(_xlfn.LET(
_xlpm.clean,TRIM(SUBSTITUTE(SUBSTITUTE(P1921,CHAR(160),"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1" t="str">
        <f t="shared" si="30"/>
        <v/>
      </c>
    </row>
    <row r="1922" spans="3:19" ht="15.75" customHeight="1">
      <c r="C1922" s="15" t="str" cm="1">
        <f t="array" ref="C1922">IFERROR(_xlfn.TEXTJOIN("",TRUE,_xlfn._xlws.FILTER(MID(S1922,_xlfn.SEQUENCE(LEN(S1922)),1),ISNUMBER(SEARCH(MID(S1922,_xlfn.SEQUENCE(LEN(S1922)),1),"ABCDEFGHIJKLMNOPQRSTUVWXYZabcdefghijklmnopqrstuvwxyz0123456789,")))),"")</f>
        <v/>
      </c>
      <c r="G1922" s="20" t="str" cm="1">
        <f t="array" ref="G1922">IF(TRIM(P1922)="","",IF(SUM(COUNTIF(P1922,{"*NLGD*","*FWG*"}))&gt;0,P1922,IF(SUM(COUNTIF(P1922,{"*GL*","*DGB*","*DGI*","*GT*","*CS*","*PWU*","*DBI*","*SWU*"}))=0,P1922,IF(IFERROR(VALUE(SUBSTITUTE(SUBSTITUTE(O1922,"W",""),"""","")),0)&gt;52,P1922&amp;"-OVRSIZE-",P1922))))</f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s="18" t="str">
        <v/>
      </c>
      <c r="O1922" s="15" t="str" cm="1">
        <f t="array" ref="O1922">IFERROR(_xlfn.LET(
_xlpm.clean,TRIM(SUBSTITUTE(SUBSTITUTE(P1922,CHAR(160),"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2" t="str">
        <f t="shared" si="30"/>
        <v/>
      </c>
    </row>
    <row r="1923" spans="3:19" ht="15.75" customHeight="1">
      <c r="C1923" s="15" t="str" cm="1">
        <f t="array" ref="C1923">IFERROR(_xlfn.TEXTJOIN("",TRUE,_xlfn._xlws.FILTER(MID(S1923,_xlfn.SEQUENCE(LEN(S1923)),1),ISNUMBER(SEARCH(MID(S1923,_xlfn.SEQUENCE(LEN(S1923)),1),"ABCDEFGHIJKLMNOPQRSTUVWXYZabcdefghijklmnopqrstuvwxyz0123456789,")))),"")</f>
        <v/>
      </c>
      <c r="G1923" s="20" t="str" cm="1">
        <f t="array" ref="G1923">IF(TRIM(P1923)="","",IF(SUM(COUNTIF(P1923,{"*NLGD*","*FWG*"}))&gt;0,P1923,IF(SUM(COUNTIF(P1923,{"*GL*","*DGB*","*DGI*","*GT*","*CS*","*PWU*","*DBI*","*SWU*"}))=0,P1923,IF(IFERROR(VALUE(SUBSTITUTE(SUBSTITUTE(O1923,"W",""),"""","")),0)&gt;52,P1923&amp;"-OVRSIZE-",P1923))))</f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s="18" t="str">
        <v/>
      </c>
      <c r="O1923" s="15" t="str" cm="1">
        <f t="array" ref="O1923">IFERROR(_xlfn.LET(
_xlpm.clean,TRIM(SUBSTITUTE(SUBSTITUTE(P1923,CHAR(160),"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3" t="str">
        <f t="shared" si="30"/>
        <v/>
      </c>
    </row>
    <row r="1924" spans="3:19" ht="15.75" customHeight="1">
      <c r="C1924" s="15" t="str" cm="1">
        <f t="array" ref="C1924">IFERROR(_xlfn.TEXTJOIN("",TRUE,_xlfn._xlws.FILTER(MID(S1924,_xlfn.SEQUENCE(LEN(S1924)),1),ISNUMBER(SEARCH(MID(S1924,_xlfn.SEQUENCE(LEN(S1924)),1),"ABCDEFGHIJKLMNOPQRSTUVWXYZabcdefghijklmnopqrstuvwxyz0123456789,")))),"")</f>
        <v/>
      </c>
      <c r="G1924" s="20" t="str" cm="1">
        <f t="array" ref="G1924">IF(TRIM(P1924)="","",IF(SUM(COUNTIF(P1924,{"*NLGD*","*FWG*"}))&gt;0,P1924,IF(SUM(COUNTIF(P1924,{"*GL*","*DGB*","*DGI*","*GT*","*CS*","*PWU*","*DBI*","*SWU*"}))=0,P1924,IF(IFERROR(VALUE(SUBSTITUTE(SUBSTITUTE(O1924,"W",""),"""","")),0)&gt;52,P1924&amp;"-OVRSIZE-",P1924))))</f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s="18" t="str">
        <v/>
      </c>
      <c r="O1924" s="15" t="str" cm="1">
        <f t="array" ref="O1924">IFERROR(_xlfn.LET(
_xlpm.clean,TRIM(SUBSTITUTE(SUBSTITUTE(P1924,CHAR(160),"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4" t="str">
        <f t="shared" si="30"/>
        <v/>
      </c>
    </row>
    <row r="1925" spans="3:19" ht="15.75" customHeight="1">
      <c r="C1925" s="15" t="str" cm="1">
        <f t="array" ref="C1925">IFERROR(_xlfn.TEXTJOIN("",TRUE,_xlfn._xlws.FILTER(MID(S1925,_xlfn.SEQUENCE(LEN(S1925)),1),ISNUMBER(SEARCH(MID(S1925,_xlfn.SEQUENCE(LEN(S1925)),1),"ABCDEFGHIJKLMNOPQRSTUVWXYZabcdefghijklmnopqrstuvwxyz0123456789,")))),"")</f>
        <v/>
      </c>
      <c r="G1925" s="20" t="str" cm="1">
        <f t="array" ref="G1925">IF(TRIM(P1925)="","",IF(SUM(COUNTIF(P1925,{"*NLGD*","*FWG*"}))&gt;0,P1925,IF(SUM(COUNTIF(P1925,{"*GL*","*DGB*","*DGI*","*GT*","*CS*","*PWU*","*DBI*","*SWU*"}))=0,P1925,IF(IFERROR(VALUE(SUBSTITUTE(SUBSTITUTE(O1925,"W",""),"""","")),0)&gt;52,P1925&amp;"-OVRSIZE-",P1925))))</f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s="18" t="str">
        <v/>
      </c>
      <c r="O1925" s="15" t="str" cm="1">
        <f t="array" ref="O1925">IFERROR(_xlfn.LET(
_xlpm.clean,TRIM(SUBSTITUTE(SUBSTITUTE(P1925,CHAR(160),"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5" t="str">
        <f t="shared" si="30"/>
        <v/>
      </c>
    </row>
    <row r="1926" spans="3:19" ht="15.75" customHeight="1">
      <c r="C1926" s="15" t="str" cm="1">
        <f t="array" ref="C1926">IFERROR(_xlfn.TEXTJOIN("",TRUE,_xlfn._xlws.FILTER(MID(S1926,_xlfn.SEQUENCE(LEN(S1926)),1),ISNUMBER(SEARCH(MID(S1926,_xlfn.SEQUENCE(LEN(S1926)),1),"ABCDEFGHIJKLMNOPQRSTUVWXYZabcdefghijklmnopqrstuvwxyz0123456789,")))),"")</f>
        <v/>
      </c>
      <c r="G1926" s="20" t="str" cm="1">
        <f t="array" ref="G1926">IF(TRIM(P1926)="","",IF(SUM(COUNTIF(P1926,{"*NLGD*","*FWG*"}))&gt;0,P1926,IF(SUM(COUNTIF(P1926,{"*GL*","*DGB*","*DGI*","*GT*","*CS*","*PWU*","*DBI*","*SWU*"}))=0,P1926,IF(IFERROR(VALUE(SUBSTITUTE(SUBSTITUTE(O1926,"W",""),"""","")),0)&gt;52,P1926&amp;"-OVRSIZE-",P1926))))</f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s="18" t="str">
        <v/>
      </c>
      <c r="O1926" s="15" t="str" cm="1">
        <f t="array" ref="O1926">IFERROR(_xlfn.LET(
_xlpm.clean,TRIM(SUBSTITUTE(SUBSTITUTE(P1926,CHAR(160),"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6" t="str">
        <f t="shared" si="30"/>
        <v/>
      </c>
    </row>
    <row r="1927" spans="3:19" ht="15.75" customHeight="1">
      <c r="C1927" s="15" t="str" cm="1">
        <f t="array" ref="C1927">IFERROR(_xlfn.TEXTJOIN("",TRUE,_xlfn._xlws.FILTER(MID(S1927,_xlfn.SEQUENCE(LEN(S1927)),1),ISNUMBER(SEARCH(MID(S1927,_xlfn.SEQUENCE(LEN(S1927)),1),"ABCDEFGHIJKLMNOPQRSTUVWXYZabcdefghijklmnopqrstuvwxyz0123456789,")))),"")</f>
        <v/>
      </c>
      <c r="G1927" s="20" t="str" cm="1">
        <f t="array" ref="G1927">IF(TRIM(P1927)="","",IF(SUM(COUNTIF(P1927,{"*NLGD*","*FWG*"}))&gt;0,P1927,IF(SUM(COUNTIF(P1927,{"*GL*","*DGB*","*DGI*","*GT*","*CS*","*PWU*","*DBI*","*SWU*"}))=0,P1927,IF(IFERROR(VALUE(SUBSTITUTE(SUBSTITUTE(O1927,"W",""),"""","")),0)&gt;52,P1927&amp;"-OVRSIZE-",P1927))))</f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s="18" t="str">
        <v/>
      </c>
      <c r="O1927" s="15" t="str" cm="1">
        <f t="array" ref="O1927">IFERROR(_xlfn.LET(
_xlpm.clean,TRIM(SUBSTITUTE(SUBSTITUTE(P1927,CHAR(160),"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7" t="str">
        <f t="shared" si="30"/>
        <v/>
      </c>
    </row>
    <row r="1928" spans="3:19" ht="15.75" customHeight="1">
      <c r="C1928" s="15" t="str" cm="1">
        <f t="array" ref="C1928">IFERROR(_xlfn.TEXTJOIN("",TRUE,_xlfn._xlws.FILTER(MID(S1928,_xlfn.SEQUENCE(LEN(S1928)),1),ISNUMBER(SEARCH(MID(S1928,_xlfn.SEQUENCE(LEN(S1928)),1),"ABCDEFGHIJKLMNOPQRSTUVWXYZabcdefghijklmnopqrstuvwxyz0123456789,")))),"")</f>
        <v/>
      </c>
      <c r="G1928" s="20" t="str" cm="1">
        <f t="array" ref="G1928">IF(TRIM(P1928)="","",IF(SUM(COUNTIF(P1928,{"*NLGD*","*FWG*"}))&gt;0,P1928,IF(SUM(COUNTIF(P1928,{"*GL*","*DGB*","*DGI*","*GT*","*CS*","*PWU*","*DBI*","*SWU*"}))=0,P1928,IF(IFERROR(VALUE(SUBSTITUTE(SUBSTITUTE(O1928,"W",""),"""","")),0)&gt;52,P1928&amp;"-OVRSIZE-",P1928))))</f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s="18" t="str">
        <v/>
      </c>
      <c r="O1928" s="15" t="str" cm="1">
        <f t="array" ref="O1928">IFERROR(_xlfn.LET(
_xlpm.clean,TRIM(SUBSTITUTE(SUBSTITUTE(P1928,CHAR(160),"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8" t="str">
        <f t="shared" ref="S1928:S1991" si="31">IF(R1928="","",_xlfn.LET(
_xlpm.x,TRIM(SUBSTITUTE(SUBSTITUTE(SUBSTITUTE(SUBSTITUTE(R1928,":","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929" spans="3:19" ht="15.75" customHeight="1">
      <c r="C1929" s="15" t="str" cm="1">
        <f t="array" ref="C1929">IFERROR(_xlfn.TEXTJOIN("",TRUE,_xlfn._xlws.FILTER(MID(S1929,_xlfn.SEQUENCE(LEN(S1929)),1),ISNUMBER(SEARCH(MID(S1929,_xlfn.SEQUENCE(LEN(S1929)),1),"ABCDEFGHIJKLMNOPQRSTUVWXYZabcdefghijklmnopqrstuvwxyz0123456789,")))),"")</f>
        <v/>
      </c>
      <c r="G1929" s="20" t="str" cm="1">
        <f t="array" ref="G1929">IF(TRIM(P1929)="","",IF(SUM(COUNTIF(P1929,{"*NLGD*","*FWG*"}))&gt;0,P1929,IF(SUM(COUNTIF(P1929,{"*GL*","*DGB*","*DGI*","*GT*","*CS*","*PWU*","*DBI*","*SWU*"}))=0,P1929,IF(IFERROR(VALUE(SUBSTITUTE(SUBSTITUTE(O1929,"W",""),"""","")),0)&gt;52,P1929&amp;"-OVRSIZE-",P1929))))</f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s="18" t="str">
        <v/>
      </c>
      <c r="O1929" s="15" t="str" cm="1">
        <f t="array" ref="O1929">IFERROR(_xlfn.LET(
_xlpm.clean,TRIM(SUBSTITUTE(SUBSTITUTE(P1929,CHAR(160),"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9" t="str">
        <f t="shared" si="31"/>
        <v/>
      </c>
    </row>
    <row r="1930" spans="3:19" ht="15.75" customHeight="1">
      <c r="C1930" s="15" t="str" cm="1">
        <f t="array" ref="C1930">IFERROR(_xlfn.TEXTJOIN("",TRUE,_xlfn._xlws.FILTER(MID(S1930,_xlfn.SEQUENCE(LEN(S1930)),1),ISNUMBER(SEARCH(MID(S1930,_xlfn.SEQUENCE(LEN(S1930)),1),"ABCDEFGHIJKLMNOPQRSTUVWXYZabcdefghijklmnopqrstuvwxyz0123456789,")))),"")</f>
        <v/>
      </c>
      <c r="G1930" s="20" t="str" cm="1">
        <f t="array" ref="G1930">IF(TRIM(P1930)="","",IF(SUM(COUNTIF(P1930,{"*NLGD*","*FWG*"}))&gt;0,P1930,IF(SUM(COUNTIF(P1930,{"*GL*","*DGB*","*DGI*","*GT*","*CS*","*PWU*","*DBI*","*SWU*"}))=0,P1930,IF(IFERROR(VALUE(SUBSTITUTE(SUBSTITUTE(O1930,"W",""),"""","")),0)&gt;52,P1930&amp;"-OVRSIZE-",P1930))))</f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s="18" t="str">
        <v/>
      </c>
      <c r="O1930" s="15" t="str" cm="1">
        <f t="array" ref="O1930">IFERROR(_xlfn.LET(
_xlpm.clean,TRIM(SUBSTITUTE(SUBSTITUTE(P1930,CHAR(160),"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0" t="str">
        <f t="shared" si="31"/>
        <v/>
      </c>
    </row>
    <row r="1931" spans="3:19" ht="15.75" customHeight="1">
      <c r="C1931" s="15" t="str" cm="1">
        <f t="array" ref="C1931">IFERROR(_xlfn.TEXTJOIN("",TRUE,_xlfn._xlws.FILTER(MID(S1931,_xlfn.SEQUENCE(LEN(S1931)),1),ISNUMBER(SEARCH(MID(S1931,_xlfn.SEQUENCE(LEN(S1931)),1),"ABCDEFGHIJKLMNOPQRSTUVWXYZabcdefghijklmnopqrstuvwxyz0123456789,")))),"")</f>
        <v/>
      </c>
      <c r="G1931" s="20" t="str" cm="1">
        <f t="array" ref="G1931">IF(TRIM(P1931)="","",IF(SUM(COUNTIF(P1931,{"*NLGD*","*FWG*"}))&gt;0,P1931,IF(SUM(COUNTIF(P1931,{"*GL*","*DGB*","*DGI*","*GT*","*CS*","*PWU*","*DBI*","*SWU*"}))=0,P1931,IF(IFERROR(VALUE(SUBSTITUTE(SUBSTITUTE(O1931,"W",""),"""","")),0)&gt;52,P1931&amp;"-OVRSIZE-",P1931))))</f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s="18" t="str">
        <v/>
      </c>
      <c r="O1931" s="15" t="str" cm="1">
        <f t="array" ref="O1931">IFERROR(_xlfn.LET(
_xlpm.clean,TRIM(SUBSTITUTE(SUBSTITUTE(P1931,CHAR(160),"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1" t="str">
        <f t="shared" si="31"/>
        <v/>
      </c>
    </row>
    <row r="1932" spans="3:19" ht="15.75" customHeight="1">
      <c r="C1932" s="15" t="str" cm="1">
        <f t="array" ref="C1932">IFERROR(_xlfn.TEXTJOIN("",TRUE,_xlfn._xlws.FILTER(MID(S1932,_xlfn.SEQUENCE(LEN(S1932)),1),ISNUMBER(SEARCH(MID(S1932,_xlfn.SEQUENCE(LEN(S1932)),1),"ABCDEFGHIJKLMNOPQRSTUVWXYZabcdefghijklmnopqrstuvwxyz0123456789,")))),"")</f>
        <v/>
      </c>
      <c r="G1932" s="20" t="str" cm="1">
        <f t="array" ref="G1932">IF(TRIM(P1932)="","",IF(SUM(COUNTIF(P1932,{"*NLGD*","*FWG*"}))&gt;0,P1932,IF(SUM(COUNTIF(P1932,{"*GL*","*DGB*","*DGI*","*GT*","*CS*","*PWU*","*DBI*","*SWU*"}))=0,P1932,IF(IFERROR(VALUE(SUBSTITUTE(SUBSTITUTE(O1932,"W",""),"""","")),0)&gt;52,P1932&amp;"-OVRSIZE-",P1932))))</f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s="18" t="str">
        <v/>
      </c>
      <c r="O1932" s="15" t="str" cm="1">
        <f t="array" ref="O1932">IFERROR(_xlfn.LET(
_xlpm.clean,TRIM(SUBSTITUTE(SUBSTITUTE(P1932,CHAR(160),"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2" t="str">
        <f t="shared" si="31"/>
        <v/>
      </c>
    </row>
    <row r="1933" spans="3:19" ht="15.75" customHeight="1">
      <c r="C1933" s="15" t="str" cm="1">
        <f t="array" ref="C1933">IFERROR(_xlfn.TEXTJOIN("",TRUE,_xlfn._xlws.FILTER(MID(S1933,_xlfn.SEQUENCE(LEN(S1933)),1),ISNUMBER(SEARCH(MID(S1933,_xlfn.SEQUENCE(LEN(S1933)),1),"ABCDEFGHIJKLMNOPQRSTUVWXYZabcdefghijklmnopqrstuvwxyz0123456789,")))),"")</f>
        <v/>
      </c>
      <c r="G1933" s="20" t="str" cm="1">
        <f t="array" ref="G1933">IF(TRIM(P1933)="","",IF(SUM(COUNTIF(P1933,{"*NLGD*","*FWG*"}))&gt;0,P1933,IF(SUM(COUNTIF(P1933,{"*GL*","*DGB*","*DGI*","*GT*","*CS*","*PWU*","*DBI*","*SWU*"}))=0,P1933,IF(IFERROR(VALUE(SUBSTITUTE(SUBSTITUTE(O1933,"W",""),"""","")),0)&gt;52,P1933&amp;"-OVRSIZE-",P1933))))</f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s="18" t="str">
        <v/>
      </c>
      <c r="O1933" s="15" t="str" cm="1">
        <f t="array" ref="O1933">IFERROR(_xlfn.LET(
_xlpm.clean,TRIM(SUBSTITUTE(SUBSTITUTE(P1933,CHAR(160),"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3" t="str">
        <f t="shared" si="31"/>
        <v/>
      </c>
    </row>
    <row r="1934" spans="3:19" ht="15.75" customHeight="1">
      <c r="C1934" s="15" t="str" cm="1">
        <f t="array" ref="C1934">IFERROR(_xlfn.TEXTJOIN("",TRUE,_xlfn._xlws.FILTER(MID(S1934,_xlfn.SEQUENCE(LEN(S1934)),1),ISNUMBER(SEARCH(MID(S1934,_xlfn.SEQUENCE(LEN(S1934)),1),"ABCDEFGHIJKLMNOPQRSTUVWXYZabcdefghijklmnopqrstuvwxyz0123456789,")))),"")</f>
        <v/>
      </c>
      <c r="G1934" s="20" t="str" cm="1">
        <f t="array" ref="G1934">IF(TRIM(P1934)="","",IF(SUM(COUNTIF(P1934,{"*NLGD*","*FWG*"}))&gt;0,P1934,IF(SUM(COUNTIF(P1934,{"*GL*","*DGB*","*DGI*","*GT*","*CS*","*PWU*","*DBI*","*SWU*"}))=0,P1934,IF(IFERROR(VALUE(SUBSTITUTE(SUBSTITUTE(O1934,"W",""),"""","")),0)&gt;52,P1934&amp;"-OVRSIZE-",P1934))))</f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s="18" t="str">
        <v/>
      </c>
      <c r="O1934" s="15" t="str" cm="1">
        <f t="array" ref="O1934">IFERROR(_xlfn.LET(
_xlpm.clean,TRIM(SUBSTITUTE(SUBSTITUTE(P1934,CHAR(160),"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4" t="str">
        <f t="shared" si="31"/>
        <v/>
      </c>
    </row>
    <row r="1935" spans="3:19" ht="15.75" customHeight="1">
      <c r="C1935" s="15" t="str" cm="1">
        <f t="array" ref="C1935">IFERROR(_xlfn.TEXTJOIN("",TRUE,_xlfn._xlws.FILTER(MID(S1935,_xlfn.SEQUENCE(LEN(S1935)),1),ISNUMBER(SEARCH(MID(S1935,_xlfn.SEQUENCE(LEN(S1935)),1),"ABCDEFGHIJKLMNOPQRSTUVWXYZabcdefghijklmnopqrstuvwxyz0123456789,")))),"")</f>
        <v/>
      </c>
      <c r="G1935" s="20" t="str" cm="1">
        <f t="array" ref="G1935">IF(TRIM(P1935)="","",IF(SUM(COUNTIF(P1935,{"*NLGD*","*FWG*"}))&gt;0,P1935,IF(SUM(COUNTIF(P1935,{"*GL*","*DGB*","*DGI*","*GT*","*CS*","*PWU*","*DBI*","*SWU*"}))=0,P1935,IF(IFERROR(VALUE(SUBSTITUTE(SUBSTITUTE(O1935,"W",""),"""","")),0)&gt;52,P1935&amp;"-OVRSIZE-",P1935))))</f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s="18" t="str">
        <v/>
      </c>
      <c r="O1935" s="15" t="str" cm="1">
        <f t="array" ref="O1935">IFERROR(_xlfn.LET(
_xlpm.clean,TRIM(SUBSTITUTE(SUBSTITUTE(P1935,CHAR(160),"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5" t="str">
        <f t="shared" si="31"/>
        <v/>
      </c>
    </row>
    <row r="1936" spans="3:19" ht="15.75" customHeight="1">
      <c r="C1936" s="15" t="str" cm="1">
        <f t="array" ref="C1936">IFERROR(_xlfn.TEXTJOIN("",TRUE,_xlfn._xlws.FILTER(MID(S1936,_xlfn.SEQUENCE(LEN(S1936)),1),ISNUMBER(SEARCH(MID(S1936,_xlfn.SEQUENCE(LEN(S1936)),1),"ABCDEFGHIJKLMNOPQRSTUVWXYZabcdefghijklmnopqrstuvwxyz0123456789,")))),"")</f>
        <v/>
      </c>
      <c r="G1936" s="20" t="str" cm="1">
        <f t="array" ref="G1936">IF(TRIM(P1936)="","",IF(SUM(COUNTIF(P1936,{"*NLGD*","*FWG*"}))&gt;0,P1936,IF(SUM(COUNTIF(P1936,{"*GL*","*DGB*","*DGI*","*GT*","*CS*","*PWU*","*DBI*","*SWU*"}))=0,P1936,IF(IFERROR(VALUE(SUBSTITUTE(SUBSTITUTE(O1936,"W",""),"""","")),0)&gt;52,P1936&amp;"-OVRSIZE-",P1936))))</f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s="18" t="str">
        <v/>
      </c>
      <c r="O1936" s="15" t="str" cm="1">
        <f t="array" ref="O1936">IFERROR(_xlfn.LET(
_xlpm.clean,TRIM(SUBSTITUTE(SUBSTITUTE(P1936,CHAR(160),"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6" t="str">
        <f t="shared" si="31"/>
        <v/>
      </c>
    </row>
    <row r="1937" spans="3:19" ht="15.75" customHeight="1">
      <c r="C1937" s="15" t="str" cm="1">
        <f t="array" ref="C1937">IFERROR(_xlfn.TEXTJOIN("",TRUE,_xlfn._xlws.FILTER(MID(S1937,_xlfn.SEQUENCE(LEN(S1937)),1),ISNUMBER(SEARCH(MID(S1937,_xlfn.SEQUENCE(LEN(S1937)),1),"ABCDEFGHIJKLMNOPQRSTUVWXYZabcdefghijklmnopqrstuvwxyz0123456789,")))),"")</f>
        <v/>
      </c>
      <c r="G1937" s="20" t="str" cm="1">
        <f t="array" ref="G1937">IF(TRIM(P1937)="","",IF(SUM(COUNTIF(P1937,{"*NLGD*","*FWG*"}))&gt;0,P1937,IF(SUM(COUNTIF(P1937,{"*GL*","*DGB*","*DGI*","*GT*","*CS*","*PWU*","*DBI*","*SWU*"}))=0,P1937,IF(IFERROR(VALUE(SUBSTITUTE(SUBSTITUTE(O1937,"W",""),"""","")),0)&gt;52,P1937&amp;"-OVRSIZE-",P1937))))</f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s="18" t="str">
        <v/>
      </c>
      <c r="O1937" s="15" t="str" cm="1">
        <f t="array" ref="O1937">IFERROR(_xlfn.LET(
_xlpm.clean,TRIM(SUBSTITUTE(SUBSTITUTE(P1937,CHAR(160),"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7" t="str">
        <f t="shared" si="31"/>
        <v/>
      </c>
    </row>
    <row r="1938" spans="3:19" ht="15.75" customHeight="1">
      <c r="C1938" s="15" t="str" cm="1">
        <f t="array" ref="C1938">IFERROR(_xlfn.TEXTJOIN("",TRUE,_xlfn._xlws.FILTER(MID(S1938,_xlfn.SEQUENCE(LEN(S1938)),1),ISNUMBER(SEARCH(MID(S1938,_xlfn.SEQUENCE(LEN(S1938)),1),"ABCDEFGHIJKLMNOPQRSTUVWXYZabcdefghijklmnopqrstuvwxyz0123456789,")))),"")</f>
        <v/>
      </c>
      <c r="G1938" s="20" t="str" cm="1">
        <f t="array" ref="G1938">IF(TRIM(P1938)="","",IF(SUM(COUNTIF(P1938,{"*NLGD*","*FWG*"}))&gt;0,P1938,IF(SUM(COUNTIF(P1938,{"*GL*","*DGB*","*DGI*","*GT*","*CS*","*PWU*","*DBI*","*SWU*"}))=0,P1938,IF(IFERROR(VALUE(SUBSTITUTE(SUBSTITUTE(O1938,"W",""),"""","")),0)&gt;52,P1938&amp;"-OVRSIZE-",P1938))))</f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s="18" t="str">
        <v/>
      </c>
      <c r="O1938" s="15" t="str" cm="1">
        <f t="array" ref="O1938">IFERROR(_xlfn.LET(
_xlpm.clean,TRIM(SUBSTITUTE(SUBSTITUTE(P1938,CHAR(160),"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8" t="str">
        <f t="shared" si="31"/>
        <v/>
      </c>
    </row>
    <row r="1939" spans="3:19" ht="15.75" customHeight="1">
      <c r="C1939" s="15" t="str" cm="1">
        <f t="array" ref="C1939">IFERROR(_xlfn.TEXTJOIN("",TRUE,_xlfn._xlws.FILTER(MID(S1939,_xlfn.SEQUENCE(LEN(S1939)),1),ISNUMBER(SEARCH(MID(S1939,_xlfn.SEQUENCE(LEN(S1939)),1),"ABCDEFGHIJKLMNOPQRSTUVWXYZabcdefghijklmnopqrstuvwxyz0123456789,")))),"")</f>
        <v/>
      </c>
      <c r="G1939" s="20" t="str" cm="1">
        <f t="array" ref="G1939">IF(TRIM(P1939)="","",IF(SUM(COUNTIF(P1939,{"*NLGD*","*FWG*"}))&gt;0,P1939,IF(SUM(COUNTIF(P1939,{"*GL*","*DGB*","*DGI*","*GT*","*CS*","*PWU*","*DBI*","*SWU*"}))=0,P1939,IF(IFERROR(VALUE(SUBSTITUTE(SUBSTITUTE(O1939,"W",""),"""","")),0)&gt;52,P1939&amp;"-OVRSIZE-",P1939))))</f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s="18" t="str">
        <v/>
      </c>
      <c r="O1939" s="15" t="str" cm="1">
        <f t="array" ref="O1939">IFERROR(_xlfn.LET(
_xlpm.clean,TRIM(SUBSTITUTE(SUBSTITUTE(P1939,CHAR(160),"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9" t="str">
        <f t="shared" si="31"/>
        <v/>
      </c>
    </row>
    <row r="1940" spans="3:19" ht="15.75" customHeight="1">
      <c r="C1940" s="15" t="str" cm="1">
        <f t="array" ref="C1940">IFERROR(_xlfn.TEXTJOIN("",TRUE,_xlfn._xlws.FILTER(MID(S1940,_xlfn.SEQUENCE(LEN(S1940)),1),ISNUMBER(SEARCH(MID(S1940,_xlfn.SEQUENCE(LEN(S1940)),1),"ABCDEFGHIJKLMNOPQRSTUVWXYZabcdefghijklmnopqrstuvwxyz0123456789,")))),"")</f>
        <v/>
      </c>
      <c r="G1940" s="20" t="str" cm="1">
        <f t="array" ref="G1940">IF(TRIM(P1940)="","",IF(SUM(COUNTIF(P1940,{"*NLGD*","*FWG*"}))&gt;0,P1940,IF(SUM(COUNTIF(P1940,{"*GL*","*DGB*","*DGI*","*GT*","*CS*","*PWU*","*DBI*","*SWU*"}))=0,P1940,IF(IFERROR(VALUE(SUBSTITUTE(SUBSTITUTE(O1940,"W",""),"""","")),0)&gt;52,P1940&amp;"-OVRSIZE-",P1940))))</f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s="18" t="str">
        <v/>
      </c>
      <c r="O1940" s="15" t="str" cm="1">
        <f t="array" ref="O1940">IFERROR(_xlfn.LET(
_xlpm.clean,TRIM(SUBSTITUTE(SUBSTITUTE(P1940,CHAR(160),"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0" t="str">
        <f t="shared" si="31"/>
        <v/>
      </c>
    </row>
    <row r="1941" spans="3:19" ht="15.75" customHeight="1">
      <c r="C1941" s="15" t="str" cm="1">
        <f t="array" ref="C1941">IFERROR(_xlfn.TEXTJOIN("",TRUE,_xlfn._xlws.FILTER(MID(S1941,_xlfn.SEQUENCE(LEN(S1941)),1),ISNUMBER(SEARCH(MID(S1941,_xlfn.SEQUENCE(LEN(S1941)),1),"ABCDEFGHIJKLMNOPQRSTUVWXYZabcdefghijklmnopqrstuvwxyz0123456789,")))),"")</f>
        <v/>
      </c>
      <c r="G1941" s="20" t="str" cm="1">
        <f t="array" ref="G1941">IF(TRIM(P1941)="","",IF(SUM(COUNTIF(P1941,{"*NLGD*","*FWG*"}))&gt;0,P1941,IF(SUM(COUNTIF(P1941,{"*GL*","*DGB*","*DGI*","*GT*","*CS*","*PWU*","*DBI*","*SWU*"}))=0,P1941,IF(IFERROR(VALUE(SUBSTITUTE(SUBSTITUTE(O1941,"W",""),"""","")),0)&gt;52,P1941&amp;"-OVRSIZE-",P1941))))</f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s="18" t="str">
        <v/>
      </c>
      <c r="O1941" s="15" t="str" cm="1">
        <f t="array" ref="O1941">IFERROR(_xlfn.LET(
_xlpm.clean,TRIM(SUBSTITUTE(SUBSTITUTE(P1941,CHAR(160),"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1" t="str">
        <f t="shared" si="31"/>
        <v/>
      </c>
    </row>
    <row r="1942" spans="3:19" ht="15.75" customHeight="1">
      <c r="C1942" s="15" t="str" cm="1">
        <f t="array" ref="C1942">IFERROR(_xlfn.TEXTJOIN("",TRUE,_xlfn._xlws.FILTER(MID(S1942,_xlfn.SEQUENCE(LEN(S1942)),1),ISNUMBER(SEARCH(MID(S1942,_xlfn.SEQUENCE(LEN(S1942)),1),"ABCDEFGHIJKLMNOPQRSTUVWXYZabcdefghijklmnopqrstuvwxyz0123456789,")))),"")</f>
        <v/>
      </c>
      <c r="G1942" s="20" t="str" cm="1">
        <f t="array" ref="G1942">IF(TRIM(P1942)="","",IF(SUM(COUNTIF(P1942,{"*NLGD*","*FWG*"}))&gt;0,P1942,IF(SUM(COUNTIF(P1942,{"*GL*","*DGB*","*DGI*","*GT*","*CS*","*PWU*","*DBI*","*SWU*"}))=0,P1942,IF(IFERROR(VALUE(SUBSTITUTE(SUBSTITUTE(O1942,"W",""),"""","")),0)&gt;52,P1942&amp;"-OVRSIZE-",P1942))))</f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s="18" t="str">
        <v/>
      </c>
      <c r="O1942" s="15" t="str" cm="1">
        <f t="array" ref="O1942">IFERROR(_xlfn.LET(
_xlpm.clean,TRIM(SUBSTITUTE(SUBSTITUTE(P1942,CHAR(160),"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2" t="str">
        <f t="shared" si="31"/>
        <v/>
      </c>
    </row>
    <row r="1943" spans="3:19" ht="15.75" customHeight="1">
      <c r="C1943" s="15" t="str" cm="1">
        <f t="array" ref="C1943">IFERROR(_xlfn.TEXTJOIN("",TRUE,_xlfn._xlws.FILTER(MID(S1943,_xlfn.SEQUENCE(LEN(S1943)),1),ISNUMBER(SEARCH(MID(S1943,_xlfn.SEQUENCE(LEN(S1943)),1),"ABCDEFGHIJKLMNOPQRSTUVWXYZabcdefghijklmnopqrstuvwxyz0123456789,")))),"")</f>
        <v/>
      </c>
      <c r="G1943" s="20" t="str" cm="1">
        <f t="array" ref="G1943">IF(TRIM(P1943)="","",IF(SUM(COUNTIF(P1943,{"*NLGD*","*FWG*"}))&gt;0,P1943,IF(SUM(COUNTIF(P1943,{"*GL*","*DGB*","*DGI*","*GT*","*CS*","*PWU*","*DBI*","*SWU*"}))=0,P1943,IF(IFERROR(VALUE(SUBSTITUTE(SUBSTITUTE(O1943,"W",""),"""","")),0)&gt;52,P1943&amp;"-OVRSIZE-",P1943))))</f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s="18" t="str">
        <v/>
      </c>
      <c r="O1943" s="15" t="str" cm="1">
        <f t="array" ref="O1943">IFERROR(_xlfn.LET(
_xlpm.clean,TRIM(SUBSTITUTE(SUBSTITUTE(P1943,CHAR(160),"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3" t="str">
        <f t="shared" si="31"/>
        <v/>
      </c>
    </row>
    <row r="1944" spans="3:19" ht="15.75" customHeight="1">
      <c r="C1944" s="15" t="str" cm="1">
        <f t="array" ref="C1944">IFERROR(_xlfn.TEXTJOIN("",TRUE,_xlfn._xlws.FILTER(MID(S1944,_xlfn.SEQUENCE(LEN(S1944)),1),ISNUMBER(SEARCH(MID(S1944,_xlfn.SEQUENCE(LEN(S1944)),1),"ABCDEFGHIJKLMNOPQRSTUVWXYZabcdefghijklmnopqrstuvwxyz0123456789,")))),"")</f>
        <v/>
      </c>
      <c r="G1944" s="20" t="str" cm="1">
        <f t="array" ref="G1944">IF(TRIM(P1944)="","",IF(SUM(COUNTIF(P1944,{"*NLGD*","*FWG*"}))&gt;0,P1944,IF(SUM(COUNTIF(P1944,{"*GL*","*DGB*","*DGI*","*GT*","*CS*","*PWU*","*DBI*","*SWU*"}))=0,P1944,IF(IFERROR(VALUE(SUBSTITUTE(SUBSTITUTE(O1944,"W",""),"""","")),0)&gt;52,P1944&amp;"-OVRSIZE-",P1944))))</f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s="18" t="str">
        <v/>
      </c>
      <c r="O1944" s="15" t="str" cm="1">
        <f t="array" ref="O1944">IFERROR(_xlfn.LET(
_xlpm.clean,TRIM(SUBSTITUTE(SUBSTITUTE(P1944,CHAR(160),"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4" t="str">
        <f t="shared" si="31"/>
        <v/>
      </c>
    </row>
    <row r="1945" spans="3:19" ht="15.75" customHeight="1">
      <c r="C1945" s="15" t="str" cm="1">
        <f t="array" ref="C1945">IFERROR(_xlfn.TEXTJOIN("",TRUE,_xlfn._xlws.FILTER(MID(S1945,_xlfn.SEQUENCE(LEN(S1945)),1),ISNUMBER(SEARCH(MID(S1945,_xlfn.SEQUENCE(LEN(S1945)),1),"ABCDEFGHIJKLMNOPQRSTUVWXYZabcdefghijklmnopqrstuvwxyz0123456789,")))),"")</f>
        <v/>
      </c>
      <c r="G1945" s="20" t="str" cm="1">
        <f t="array" ref="G1945">IF(TRIM(P1945)="","",IF(SUM(COUNTIF(P1945,{"*NLGD*","*FWG*"}))&gt;0,P1945,IF(SUM(COUNTIF(P1945,{"*GL*","*DGB*","*DGI*","*GT*","*CS*","*PWU*","*DBI*","*SWU*"}))=0,P1945,IF(IFERROR(VALUE(SUBSTITUTE(SUBSTITUTE(O1945,"W",""),"""","")),0)&gt;52,P1945&amp;"-OVRSIZE-",P1945))))</f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s="18" t="str">
        <v/>
      </c>
      <c r="O1945" s="15" t="str" cm="1">
        <f t="array" ref="O1945">IFERROR(_xlfn.LET(
_xlpm.clean,TRIM(SUBSTITUTE(SUBSTITUTE(P1945,CHAR(160),"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5" t="str">
        <f t="shared" si="31"/>
        <v/>
      </c>
    </row>
    <row r="1946" spans="3:19" ht="15.75" customHeight="1">
      <c r="C1946" s="15" t="str" cm="1">
        <f t="array" ref="C1946">IFERROR(_xlfn.TEXTJOIN("",TRUE,_xlfn._xlws.FILTER(MID(S1946,_xlfn.SEQUENCE(LEN(S1946)),1),ISNUMBER(SEARCH(MID(S1946,_xlfn.SEQUENCE(LEN(S1946)),1),"ABCDEFGHIJKLMNOPQRSTUVWXYZabcdefghijklmnopqrstuvwxyz0123456789,")))),"")</f>
        <v/>
      </c>
      <c r="G1946" s="20" t="str" cm="1">
        <f t="array" ref="G1946">IF(TRIM(P1946)="","",IF(SUM(COUNTIF(P1946,{"*NLGD*","*FWG*"}))&gt;0,P1946,IF(SUM(COUNTIF(P1946,{"*GL*","*DGB*","*DGI*","*GT*","*CS*","*PWU*","*DBI*","*SWU*"}))=0,P1946,IF(IFERROR(VALUE(SUBSTITUTE(SUBSTITUTE(O1946,"W",""),"""","")),0)&gt;52,P1946&amp;"-OVRSIZE-",P1946))))</f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s="18" t="str">
        <v/>
      </c>
      <c r="O1946" s="15" t="str" cm="1">
        <f t="array" ref="O1946">IFERROR(_xlfn.LET(
_xlpm.clean,TRIM(SUBSTITUTE(SUBSTITUTE(P1946,CHAR(160),"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6" t="str">
        <f t="shared" si="31"/>
        <v/>
      </c>
    </row>
    <row r="1947" spans="3:19" ht="15.75" customHeight="1">
      <c r="C1947" s="15" t="str" cm="1">
        <f t="array" ref="C1947">IFERROR(_xlfn.TEXTJOIN("",TRUE,_xlfn._xlws.FILTER(MID(S1947,_xlfn.SEQUENCE(LEN(S1947)),1),ISNUMBER(SEARCH(MID(S1947,_xlfn.SEQUENCE(LEN(S1947)),1),"ABCDEFGHIJKLMNOPQRSTUVWXYZabcdefghijklmnopqrstuvwxyz0123456789,")))),"")</f>
        <v/>
      </c>
      <c r="G1947" s="20" t="str" cm="1">
        <f t="array" ref="G1947">IF(TRIM(P1947)="","",IF(SUM(COUNTIF(P1947,{"*NLGD*","*FWG*"}))&gt;0,P1947,IF(SUM(COUNTIF(P1947,{"*GL*","*DGB*","*DGI*","*GT*","*CS*","*PWU*","*DBI*","*SWU*"}))=0,P1947,IF(IFERROR(VALUE(SUBSTITUTE(SUBSTITUTE(O1947,"W",""),"""","")),0)&gt;52,P1947&amp;"-OVRSIZE-",P1947))))</f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s="18" t="str">
        <v/>
      </c>
      <c r="O1947" s="15" t="str" cm="1">
        <f t="array" ref="O1947">IFERROR(_xlfn.LET(
_xlpm.clean,TRIM(SUBSTITUTE(SUBSTITUTE(P1947,CHAR(160),"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7" t="str">
        <f t="shared" si="31"/>
        <v/>
      </c>
    </row>
    <row r="1948" spans="3:19" ht="15.75" customHeight="1">
      <c r="C1948" s="15" t="str" cm="1">
        <f t="array" ref="C1948">IFERROR(_xlfn.TEXTJOIN("",TRUE,_xlfn._xlws.FILTER(MID(S1948,_xlfn.SEQUENCE(LEN(S1948)),1),ISNUMBER(SEARCH(MID(S1948,_xlfn.SEQUENCE(LEN(S1948)),1),"ABCDEFGHIJKLMNOPQRSTUVWXYZabcdefghijklmnopqrstuvwxyz0123456789,")))),"")</f>
        <v/>
      </c>
      <c r="G1948" s="20" t="str" cm="1">
        <f t="array" ref="G1948">IF(TRIM(P1948)="","",IF(SUM(COUNTIF(P1948,{"*NLGD*","*FWG*"}))&gt;0,P1948,IF(SUM(COUNTIF(P1948,{"*GL*","*DGB*","*DGI*","*GT*","*CS*","*PWU*","*DBI*","*SWU*"}))=0,P1948,IF(IFERROR(VALUE(SUBSTITUTE(SUBSTITUTE(O1948,"W",""),"""","")),0)&gt;52,P1948&amp;"-OVRSIZE-",P1948))))</f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s="18" t="str">
        <v/>
      </c>
      <c r="O1948" s="15" t="str" cm="1">
        <f t="array" ref="O1948">IFERROR(_xlfn.LET(
_xlpm.clean,TRIM(SUBSTITUTE(SUBSTITUTE(P1948,CHAR(160),"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8" t="str">
        <f t="shared" si="31"/>
        <v/>
      </c>
    </row>
    <row r="1949" spans="3:19" ht="15.75" customHeight="1">
      <c r="C1949" s="15" t="str" cm="1">
        <f t="array" ref="C1949">IFERROR(_xlfn.TEXTJOIN("",TRUE,_xlfn._xlws.FILTER(MID(S1949,_xlfn.SEQUENCE(LEN(S1949)),1),ISNUMBER(SEARCH(MID(S1949,_xlfn.SEQUENCE(LEN(S1949)),1),"ABCDEFGHIJKLMNOPQRSTUVWXYZabcdefghijklmnopqrstuvwxyz0123456789,")))),"")</f>
        <v/>
      </c>
      <c r="G1949" s="20" t="str" cm="1">
        <f t="array" ref="G1949">IF(TRIM(P1949)="","",IF(SUM(COUNTIF(P1949,{"*NLGD*","*FWG*"}))&gt;0,P1949,IF(SUM(COUNTIF(P1949,{"*GL*","*DGB*","*DGI*","*GT*","*CS*","*PWU*","*DBI*","*SWU*"}))=0,P1949,IF(IFERROR(VALUE(SUBSTITUTE(SUBSTITUTE(O1949,"W",""),"""","")),0)&gt;52,P1949&amp;"-OVRSIZE-",P1949))))</f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s="18" t="str">
        <v/>
      </c>
      <c r="O1949" s="15" t="str" cm="1">
        <f t="array" ref="O1949">IFERROR(_xlfn.LET(
_xlpm.clean,TRIM(SUBSTITUTE(SUBSTITUTE(P1949,CHAR(160),"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9" t="str">
        <f t="shared" si="31"/>
        <v/>
      </c>
    </row>
    <row r="1950" spans="3:19" ht="15.75" customHeight="1">
      <c r="C1950" s="15" t="str" cm="1">
        <f t="array" ref="C1950">IFERROR(_xlfn.TEXTJOIN("",TRUE,_xlfn._xlws.FILTER(MID(S1950,_xlfn.SEQUENCE(LEN(S1950)),1),ISNUMBER(SEARCH(MID(S1950,_xlfn.SEQUENCE(LEN(S1950)),1),"ABCDEFGHIJKLMNOPQRSTUVWXYZabcdefghijklmnopqrstuvwxyz0123456789,")))),"")</f>
        <v/>
      </c>
      <c r="G1950" s="20" t="str" cm="1">
        <f t="array" ref="G1950">IF(TRIM(P1950)="","",IF(SUM(COUNTIF(P1950,{"*NLGD*","*FWG*"}))&gt;0,P1950,IF(SUM(COUNTIF(P1950,{"*GL*","*DGB*","*DGI*","*GT*","*CS*","*PWU*","*DBI*","*SWU*"}))=0,P1950,IF(IFERROR(VALUE(SUBSTITUTE(SUBSTITUTE(O1950,"W",""),"""","")),0)&gt;52,P1950&amp;"-OVRSIZE-",P1950))))</f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s="18" t="str">
        <v/>
      </c>
      <c r="O1950" s="15" t="str" cm="1">
        <f t="array" ref="O1950">IFERROR(_xlfn.LET(
_xlpm.clean,TRIM(SUBSTITUTE(SUBSTITUTE(P1950,CHAR(160),"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0" t="str">
        <f t="shared" si="31"/>
        <v/>
      </c>
    </row>
    <row r="1951" spans="3:19" ht="15.75" customHeight="1">
      <c r="C1951" s="15" t="str" cm="1">
        <f t="array" ref="C1951">IFERROR(_xlfn.TEXTJOIN("",TRUE,_xlfn._xlws.FILTER(MID(S1951,_xlfn.SEQUENCE(LEN(S1951)),1),ISNUMBER(SEARCH(MID(S1951,_xlfn.SEQUENCE(LEN(S1951)),1),"ABCDEFGHIJKLMNOPQRSTUVWXYZabcdefghijklmnopqrstuvwxyz0123456789,")))),"")</f>
        <v/>
      </c>
      <c r="G1951" s="20" t="str" cm="1">
        <f t="array" ref="G1951">IF(TRIM(P1951)="","",IF(SUM(COUNTIF(P1951,{"*NLGD*","*FWG*"}))&gt;0,P1951,IF(SUM(COUNTIF(P1951,{"*GL*","*DGB*","*DGI*","*GT*","*CS*","*PWU*","*DBI*","*SWU*"}))=0,P1951,IF(IFERROR(VALUE(SUBSTITUTE(SUBSTITUTE(O1951,"W",""),"""","")),0)&gt;52,P1951&amp;"-OVRSIZE-",P1951))))</f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s="18" t="str">
        <v/>
      </c>
      <c r="O1951" s="15" t="str" cm="1">
        <f t="array" ref="O1951">IFERROR(_xlfn.LET(
_xlpm.clean,TRIM(SUBSTITUTE(SUBSTITUTE(P1951,CHAR(160),"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1" t="str">
        <f t="shared" si="31"/>
        <v/>
      </c>
    </row>
    <row r="1952" spans="3:19" ht="15.75" customHeight="1">
      <c r="C1952" s="15" t="str" cm="1">
        <f t="array" ref="C1952">IFERROR(_xlfn.TEXTJOIN("",TRUE,_xlfn._xlws.FILTER(MID(S1952,_xlfn.SEQUENCE(LEN(S1952)),1),ISNUMBER(SEARCH(MID(S1952,_xlfn.SEQUENCE(LEN(S1952)),1),"ABCDEFGHIJKLMNOPQRSTUVWXYZabcdefghijklmnopqrstuvwxyz0123456789,")))),"")</f>
        <v/>
      </c>
      <c r="G1952" s="20" t="str" cm="1">
        <f t="array" ref="G1952">IF(TRIM(P1952)="","",IF(SUM(COUNTIF(P1952,{"*NLGD*","*FWG*"}))&gt;0,P1952,IF(SUM(COUNTIF(P1952,{"*GL*","*DGB*","*DGI*","*GT*","*CS*","*PWU*","*DBI*","*SWU*"}))=0,P1952,IF(IFERROR(VALUE(SUBSTITUTE(SUBSTITUTE(O1952,"W",""),"""","")),0)&gt;52,P1952&amp;"-OVRSIZE-",P1952))))</f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s="18" t="str">
        <v/>
      </c>
      <c r="O1952" s="15" t="str" cm="1">
        <f t="array" ref="O1952">IFERROR(_xlfn.LET(
_xlpm.clean,TRIM(SUBSTITUTE(SUBSTITUTE(P1952,CHAR(160),"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2" t="str">
        <f t="shared" si="31"/>
        <v/>
      </c>
    </row>
    <row r="1953" spans="3:19" ht="15.75" customHeight="1">
      <c r="C1953" s="15" t="str" cm="1">
        <f t="array" ref="C1953">IFERROR(_xlfn.TEXTJOIN("",TRUE,_xlfn._xlws.FILTER(MID(S1953,_xlfn.SEQUENCE(LEN(S1953)),1),ISNUMBER(SEARCH(MID(S1953,_xlfn.SEQUENCE(LEN(S1953)),1),"ABCDEFGHIJKLMNOPQRSTUVWXYZabcdefghijklmnopqrstuvwxyz0123456789,")))),"")</f>
        <v/>
      </c>
      <c r="G1953" s="20" t="str" cm="1">
        <f t="array" ref="G1953">IF(TRIM(P1953)="","",IF(SUM(COUNTIF(P1953,{"*NLGD*","*FWG*"}))&gt;0,P1953,IF(SUM(COUNTIF(P1953,{"*GL*","*DGB*","*DGI*","*GT*","*CS*","*PWU*","*DBI*","*SWU*"}))=0,P1953,IF(IFERROR(VALUE(SUBSTITUTE(SUBSTITUTE(O1953,"W",""),"""","")),0)&gt;52,P1953&amp;"-OVRSIZE-",P1953))))</f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s="18" t="str">
        <v/>
      </c>
      <c r="O1953" s="15" t="str" cm="1">
        <f t="array" ref="O1953">IFERROR(_xlfn.LET(
_xlpm.clean,TRIM(SUBSTITUTE(SUBSTITUTE(P1953,CHAR(160),"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3" t="str">
        <f t="shared" si="31"/>
        <v/>
      </c>
    </row>
    <row r="1954" spans="3:19" ht="15.75" customHeight="1">
      <c r="C1954" s="15" t="str" cm="1">
        <f t="array" ref="C1954">IFERROR(_xlfn.TEXTJOIN("",TRUE,_xlfn._xlws.FILTER(MID(S1954,_xlfn.SEQUENCE(LEN(S1954)),1),ISNUMBER(SEARCH(MID(S1954,_xlfn.SEQUENCE(LEN(S1954)),1),"ABCDEFGHIJKLMNOPQRSTUVWXYZabcdefghijklmnopqrstuvwxyz0123456789,")))),"")</f>
        <v/>
      </c>
      <c r="G1954" s="20" t="str" cm="1">
        <f t="array" ref="G1954">IF(TRIM(P1954)="","",IF(SUM(COUNTIF(P1954,{"*NLGD*","*FWG*"}))&gt;0,P1954,IF(SUM(COUNTIF(P1954,{"*GL*","*DGB*","*DGI*","*GT*","*CS*","*PWU*","*DBI*","*SWU*"}))=0,P1954,IF(IFERROR(VALUE(SUBSTITUTE(SUBSTITUTE(O1954,"W",""),"""","")),0)&gt;52,P1954&amp;"-OVRSIZE-",P1954))))</f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s="18" t="str">
        <v/>
      </c>
      <c r="O1954" s="15" t="str" cm="1">
        <f t="array" ref="O1954">IFERROR(_xlfn.LET(
_xlpm.clean,TRIM(SUBSTITUTE(SUBSTITUTE(P1954,CHAR(160),"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4" t="str">
        <f t="shared" si="31"/>
        <v/>
      </c>
    </row>
    <row r="1955" spans="3:19" ht="15.75" customHeight="1">
      <c r="C1955" s="15" t="str" cm="1">
        <f t="array" ref="C1955">IFERROR(_xlfn.TEXTJOIN("",TRUE,_xlfn._xlws.FILTER(MID(S1955,_xlfn.SEQUENCE(LEN(S1955)),1),ISNUMBER(SEARCH(MID(S1955,_xlfn.SEQUENCE(LEN(S1955)),1),"ABCDEFGHIJKLMNOPQRSTUVWXYZabcdefghijklmnopqrstuvwxyz0123456789,")))),"")</f>
        <v/>
      </c>
      <c r="G1955" s="20" t="str" cm="1">
        <f t="array" ref="G1955">IF(TRIM(P1955)="","",IF(SUM(COUNTIF(P1955,{"*NLGD*","*FWG*"}))&gt;0,P1955,IF(SUM(COUNTIF(P1955,{"*GL*","*DGB*","*DGI*","*GT*","*CS*","*PWU*","*DBI*","*SWU*"}))=0,P1955,IF(IFERROR(VALUE(SUBSTITUTE(SUBSTITUTE(O1955,"W",""),"""","")),0)&gt;52,P1955&amp;"-OVRSIZE-",P1955))))</f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s="18" t="str">
        <v/>
      </c>
      <c r="O1955" s="15" t="str" cm="1">
        <f t="array" ref="O1955">IFERROR(_xlfn.LET(
_xlpm.clean,TRIM(SUBSTITUTE(SUBSTITUTE(P1955,CHAR(160),"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5" t="str">
        <f t="shared" si="31"/>
        <v/>
      </c>
    </row>
    <row r="1956" spans="3:19" ht="15.75" customHeight="1">
      <c r="C1956" s="15" t="str" cm="1">
        <f t="array" ref="C1956">IFERROR(_xlfn.TEXTJOIN("",TRUE,_xlfn._xlws.FILTER(MID(S1956,_xlfn.SEQUENCE(LEN(S1956)),1),ISNUMBER(SEARCH(MID(S1956,_xlfn.SEQUENCE(LEN(S1956)),1),"ABCDEFGHIJKLMNOPQRSTUVWXYZabcdefghijklmnopqrstuvwxyz0123456789,")))),"")</f>
        <v/>
      </c>
      <c r="G1956" s="20" t="str" cm="1">
        <f t="array" ref="G1956">IF(TRIM(P1956)="","",IF(SUM(COUNTIF(P1956,{"*NLGD*","*FWG*"}))&gt;0,P1956,IF(SUM(COUNTIF(P1956,{"*GL*","*DGB*","*DGI*","*GT*","*CS*","*PWU*","*DBI*","*SWU*"}))=0,P1956,IF(IFERROR(VALUE(SUBSTITUTE(SUBSTITUTE(O1956,"W",""),"""","")),0)&gt;52,P1956&amp;"-OVRSIZE-",P1956))))</f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s="18" t="str">
        <v/>
      </c>
      <c r="O1956" s="15" t="str" cm="1">
        <f t="array" ref="O1956">IFERROR(_xlfn.LET(
_xlpm.clean,TRIM(SUBSTITUTE(SUBSTITUTE(P1956,CHAR(160),"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6" t="str">
        <f t="shared" si="31"/>
        <v/>
      </c>
    </row>
    <row r="1957" spans="3:19" ht="15.75" customHeight="1">
      <c r="C1957" s="15" t="str" cm="1">
        <f t="array" ref="C1957">IFERROR(_xlfn.TEXTJOIN("",TRUE,_xlfn._xlws.FILTER(MID(S1957,_xlfn.SEQUENCE(LEN(S1957)),1),ISNUMBER(SEARCH(MID(S1957,_xlfn.SEQUENCE(LEN(S1957)),1),"ABCDEFGHIJKLMNOPQRSTUVWXYZabcdefghijklmnopqrstuvwxyz0123456789,")))),"")</f>
        <v/>
      </c>
      <c r="G1957" s="20" t="str" cm="1">
        <f t="array" ref="G1957">IF(TRIM(P1957)="","",IF(SUM(COUNTIF(P1957,{"*NLGD*","*FWG*"}))&gt;0,P1957,IF(SUM(COUNTIF(P1957,{"*GL*","*DGB*","*DGI*","*GT*","*CS*","*PWU*","*DBI*","*SWU*"}))=0,P1957,IF(IFERROR(VALUE(SUBSTITUTE(SUBSTITUTE(O1957,"W",""),"""","")),0)&gt;52,P1957&amp;"-OVRSIZE-",P1957))))</f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s="18" t="str">
        <v/>
      </c>
      <c r="O1957" s="15" t="str" cm="1">
        <f t="array" ref="O1957">IFERROR(_xlfn.LET(
_xlpm.clean,TRIM(SUBSTITUTE(SUBSTITUTE(P1957,CHAR(160),"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7" t="str">
        <f t="shared" si="31"/>
        <v/>
      </c>
    </row>
    <row r="1958" spans="3:19" ht="15.75" customHeight="1">
      <c r="C1958" s="15" t="str" cm="1">
        <f t="array" ref="C1958">IFERROR(_xlfn.TEXTJOIN("",TRUE,_xlfn._xlws.FILTER(MID(S1958,_xlfn.SEQUENCE(LEN(S1958)),1),ISNUMBER(SEARCH(MID(S1958,_xlfn.SEQUENCE(LEN(S1958)),1),"ABCDEFGHIJKLMNOPQRSTUVWXYZabcdefghijklmnopqrstuvwxyz0123456789,")))),"")</f>
        <v/>
      </c>
      <c r="G1958" s="20" t="str" cm="1">
        <f t="array" ref="G1958">IF(TRIM(P1958)="","",IF(SUM(COUNTIF(P1958,{"*NLGD*","*FWG*"}))&gt;0,P1958,IF(SUM(COUNTIF(P1958,{"*GL*","*DGB*","*DGI*","*GT*","*CS*","*PWU*","*DBI*","*SWU*"}))=0,P1958,IF(IFERROR(VALUE(SUBSTITUTE(SUBSTITUTE(O1958,"W",""),"""","")),0)&gt;52,P1958&amp;"-OVRSIZE-",P1958))))</f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s="18" t="str">
        <v/>
      </c>
      <c r="O1958" s="15" t="str" cm="1">
        <f t="array" ref="O1958">IFERROR(_xlfn.LET(
_xlpm.clean,TRIM(SUBSTITUTE(SUBSTITUTE(P1958,CHAR(160),"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8" t="str">
        <f t="shared" si="31"/>
        <v/>
      </c>
    </row>
    <row r="1959" spans="3:19" ht="15.75" customHeight="1">
      <c r="C1959" s="15" t="str" cm="1">
        <f t="array" ref="C1959">IFERROR(_xlfn.TEXTJOIN("",TRUE,_xlfn._xlws.FILTER(MID(S1959,_xlfn.SEQUENCE(LEN(S1959)),1),ISNUMBER(SEARCH(MID(S1959,_xlfn.SEQUENCE(LEN(S1959)),1),"ABCDEFGHIJKLMNOPQRSTUVWXYZabcdefghijklmnopqrstuvwxyz0123456789,")))),"")</f>
        <v/>
      </c>
      <c r="G1959" s="20" t="str" cm="1">
        <f t="array" ref="G1959">IF(TRIM(P1959)="","",IF(SUM(COUNTIF(P1959,{"*NLGD*","*FWG*"}))&gt;0,P1959,IF(SUM(COUNTIF(P1959,{"*GL*","*DGB*","*DGI*","*GT*","*CS*","*PWU*","*DBI*","*SWU*"}))=0,P1959,IF(IFERROR(VALUE(SUBSTITUTE(SUBSTITUTE(O1959,"W",""),"""","")),0)&gt;52,P1959&amp;"-OVRSIZE-",P1959))))</f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s="18" t="str">
        <v/>
      </c>
      <c r="O1959" s="15" t="str" cm="1">
        <f t="array" ref="O1959">IFERROR(_xlfn.LET(
_xlpm.clean,TRIM(SUBSTITUTE(SUBSTITUTE(P1959,CHAR(160),"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9" t="str">
        <f t="shared" si="31"/>
        <v/>
      </c>
    </row>
    <row r="1960" spans="3:19" ht="15.75" customHeight="1">
      <c r="C1960" s="15" t="str" cm="1">
        <f t="array" ref="C1960">IFERROR(_xlfn.TEXTJOIN("",TRUE,_xlfn._xlws.FILTER(MID(S1960,_xlfn.SEQUENCE(LEN(S1960)),1),ISNUMBER(SEARCH(MID(S1960,_xlfn.SEQUENCE(LEN(S1960)),1),"ABCDEFGHIJKLMNOPQRSTUVWXYZabcdefghijklmnopqrstuvwxyz0123456789,")))),"")</f>
        <v/>
      </c>
      <c r="G1960" s="20" t="str" cm="1">
        <f t="array" ref="G1960">IF(TRIM(P1960)="","",IF(SUM(COUNTIF(P1960,{"*NLGD*","*FWG*"}))&gt;0,P1960,IF(SUM(COUNTIF(P1960,{"*GL*","*DGB*","*DGI*","*GT*","*CS*","*PWU*","*DBI*","*SWU*"}))=0,P1960,IF(IFERROR(VALUE(SUBSTITUTE(SUBSTITUTE(O1960,"W",""),"""","")),0)&gt;52,P1960&amp;"-OVRSIZE-",P1960))))</f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s="18" t="str">
        <v/>
      </c>
      <c r="O1960" s="15" t="str" cm="1">
        <f t="array" ref="O1960">IFERROR(_xlfn.LET(
_xlpm.clean,TRIM(SUBSTITUTE(SUBSTITUTE(P1960,CHAR(160),"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0" t="str">
        <f t="shared" si="31"/>
        <v/>
      </c>
    </row>
    <row r="1961" spans="3:19" ht="15.75" customHeight="1">
      <c r="C1961" s="15" t="str" cm="1">
        <f t="array" ref="C1961">IFERROR(_xlfn.TEXTJOIN("",TRUE,_xlfn._xlws.FILTER(MID(S1961,_xlfn.SEQUENCE(LEN(S1961)),1),ISNUMBER(SEARCH(MID(S1961,_xlfn.SEQUENCE(LEN(S1961)),1),"ABCDEFGHIJKLMNOPQRSTUVWXYZabcdefghijklmnopqrstuvwxyz0123456789,")))),"")</f>
        <v/>
      </c>
      <c r="G1961" s="20" t="str" cm="1">
        <f t="array" ref="G1961">IF(TRIM(P1961)="","",IF(SUM(COUNTIF(P1961,{"*NLGD*","*FWG*"}))&gt;0,P1961,IF(SUM(COUNTIF(P1961,{"*GL*","*DGB*","*DGI*","*GT*","*CS*","*PWU*","*DBI*","*SWU*"}))=0,P1961,IF(IFERROR(VALUE(SUBSTITUTE(SUBSTITUTE(O1961,"W",""),"""","")),0)&gt;52,P1961&amp;"-OVRSIZE-",P1961))))</f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s="18" t="str">
        <v/>
      </c>
      <c r="O1961" s="15" t="str" cm="1">
        <f t="array" ref="O1961">IFERROR(_xlfn.LET(
_xlpm.clean,TRIM(SUBSTITUTE(SUBSTITUTE(P1961,CHAR(160),"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1" t="str">
        <f t="shared" si="31"/>
        <v/>
      </c>
    </row>
    <row r="1962" spans="3:19" ht="15.75" customHeight="1">
      <c r="C1962" s="15" t="str" cm="1">
        <f t="array" ref="C1962">IFERROR(_xlfn.TEXTJOIN("",TRUE,_xlfn._xlws.FILTER(MID(S1962,_xlfn.SEQUENCE(LEN(S1962)),1),ISNUMBER(SEARCH(MID(S1962,_xlfn.SEQUENCE(LEN(S1962)),1),"ABCDEFGHIJKLMNOPQRSTUVWXYZabcdefghijklmnopqrstuvwxyz0123456789,")))),"")</f>
        <v/>
      </c>
      <c r="G1962" s="20" t="str" cm="1">
        <f t="array" ref="G1962">IF(TRIM(P1962)="","",IF(SUM(COUNTIF(P1962,{"*NLGD*","*FWG*"}))&gt;0,P1962,IF(SUM(COUNTIF(P1962,{"*GL*","*DGB*","*DGI*","*GT*","*CS*","*PWU*","*DBI*","*SWU*"}))=0,P1962,IF(IFERROR(VALUE(SUBSTITUTE(SUBSTITUTE(O1962,"W",""),"""","")),0)&gt;52,P1962&amp;"-OVRSIZE-",P1962))))</f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s="18" t="str">
        <v/>
      </c>
      <c r="O1962" s="15" t="str" cm="1">
        <f t="array" ref="O1962">IFERROR(_xlfn.LET(
_xlpm.clean,TRIM(SUBSTITUTE(SUBSTITUTE(P1962,CHAR(160),"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2" t="str">
        <f t="shared" si="31"/>
        <v/>
      </c>
    </row>
    <row r="1963" spans="3:19" ht="15.75" customHeight="1">
      <c r="C1963" s="15" t="str" cm="1">
        <f t="array" ref="C1963">IFERROR(_xlfn.TEXTJOIN("",TRUE,_xlfn._xlws.FILTER(MID(S1963,_xlfn.SEQUENCE(LEN(S1963)),1),ISNUMBER(SEARCH(MID(S1963,_xlfn.SEQUENCE(LEN(S1963)),1),"ABCDEFGHIJKLMNOPQRSTUVWXYZabcdefghijklmnopqrstuvwxyz0123456789,")))),"")</f>
        <v/>
      </c>
      <c r="G1963" s="20" t="str" cm="1">
        <f t="array" ref="G1963">IF(TRIM(P1963)="","",IF(SUM(COUNTIF(P1963,{"*NLGD*","*FWG*"}))&gt;0,P1963,IF(SUM(COUNTIF(P1963,{"*GL*","*DGB*","*DGI*","*GT*","*CS*","*PWU*","*DBI*","*SWU*"}))=0,P1963,IF(IFERROR(VALUE(SUBSTITUTE(SUBSTITUTE(O1963,"W",""),"""","")),0)&gt;52,P1963&amp;"-OVRSIZE-",P1963))))</f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s="18" t="str">
        <v/>
      </c>
      <c r="O1963" s="15" t="str" cm="1">
        <f t="array" ref="O1963">IFERROR(_xlfn.LET(
_xlpm.clean,TRIM(SUBSTITUTE(SUBSTITUTE(P1963,CHAR(160),"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3" t="str">
        <f t="shared" si="31"/>
        <v/>
      </c>
    </row>
    <row r="1964" spans="3:19" ht="15.75" customHeight="1">
      <c r="C1964" s="15" t="str" cm="1">
        <f t="array" ref="C1964">IFERROR(_xlfn.TEXTJOIN("",TRUE,_xlfn._xlws.FILTER(MID(S1964,_xlfn.SEQUENCE(LEN(S1964)),1),ISNUMBER(SEARCH(MID(S1964,_xlfn.SEQUENCE(LEN(S1964)),1),"ABCDEFGHIJKLMNOPQRSTUVWXYZabcdefghijklmnopqrstuvwxyz0123456789,")))),"")</f>
        <v/>
      </c>
      <c r="G1964" s="20" t="str" cm="1">
        <f t="array" ref="G1964">IF(TRIM(P1964)="","",IF(SUM(COUNTIF(P1964,{"*NLGD*","*FWG*"}))&gt;0,P1964,IF(SUM(COUNTIF(P1964,{"*GL*","*DGB*","*DGI*","*GT*","*CS*","*PWU*","*DBI*","*SWU*"}))=0,P1964,IF(IFERROR(VALUE(SUBSTITUTE(SUBSTITUTE(O1964,"W",""),"""","")),0)&gt;52,P1964&amp;"-OVRSIZE-",P1964))))</f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s="18" t="str">
        <v/>
      </c>
      <c r="O1964" s="15" t="str" cm="1">
        <f t="array" ref="O1964">IFERROR(_xlfn.LET(
_xlpm.clean,TRIM(SUBSTITUTE(SUBSTITUTE(P1964,CHAR(160),"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4" t="str">
        <f t="shared" si="31"/>
        <v/>
      </c>
    </row>
    <row r="1965" spans="3:19" ht="15.75" customHeight="1">
      <c r="C1965" s="15" t="str" cm="1">
        <f t="array" ref="C1965">IFERROR(_xlfn.TEXTJOIN("",TRUE,_xlfn._xlws.FILTER(MID(S1965,_xlfn.SEQUENCE(LEN(S1965)),1),ISNUMBER(SEARCH(MID(S1965,_xlfn.SEQUENCE(LEN(S1965)),1),"ABCDEFGHIJKLMNOPQRSTUVWXYZabcdefghijklmnopqrstuvwxyz0123456789,")))),"")</f>
        <v/>
      </c>
      <c r="G1965" s="20" t="str" cm="1">
        <f t="array" ref="G1965">IF(TRIM(P1965)="","",IF(SUM(COUNTIF(P1965,{"*NLGD*","*FWG*"}))&gt;0,P1965,IF(SUM(COUNTIF(P1965,{"*GL*","*DGB*","*DGI*","*GT*","*CS*","*PWU*","*DBI*","*SWU*"}))=0,P1965,IF(IFERROR(VALUE(SUBSTITUTE(SUBSTITUTE(O1965,"W",""),"""","")),0)&gt;52,P1965&amp;"-OVRSIZE-",P1965))))</f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s="18" t="str">
        <v/>
      </c>
      <c r="O1965" s="15" t="str" cm="1">
        <f t="array" ref="O1965">IFERROR(_xlfn.LET(
_xlpm.clean,TRIM(SUBSTITUTE(SUBSTITUTE(P1965,CHAR(160),"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5" t="str">
        <f t="shared" si="31"/>
        <v/>
      </c>
    </row>
    <row r="1966" spans="3:19" ht="15.75" customHeight="1">
      <c r="C1966" s="15" t="str" cm="1">
        <f t="array" ref="C1966">IFERROR(_xlfn.TEXTJOIN("",TRUE,_xlfn._xlws.FILTER(MID(S1966,_xlfn.SEQUENCE(LEN(S1966)),1),ISNUMBER(SEARCH(MID(S1966,_xlfn.SEQUENCE(LEN(S1966)),1),"ABCDEFGHIJKLMNOPQRSTUVWXYZabcdefghijklmnopqrstuvwxyz0123456789,")))),"")</f>
        <v/>
      </c>
      <c r="G1966" s="20" t="str" cm="1">
        <f t="array" ref="G1966">IF(TRIM(P1966)="","",IF(SUM(COUNTIF(P1966,{"*NLGD*","*FWG*"}))&gt;0,P1966,IF(SUM(COUNTIF(P1966,{"*GL*","*DGB*","*DGI*","*GT*","*CS*","*PWU*","*DBI*","*SWU*"}))=0,P1966,IF(IFERROR(VALUE(SUBSTITUTE(SUBSTITUTE(O1966,"W",""),"""","")),0)&gt;52,P1966&amp;"-OVRSIZE-",P1966))))</f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s="18" t="str">
        <v/>
      </c>
      <c r="O1966" s="15" t="str" cm="1">
        <f t="array" ref="O1966">IFERROR(_xlfn.LET(
_xlpm.clean,TRIM(SUBSTITUTE(SUBSTITUTE(P1966,CHAR(160),"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6" t="str">
        <f t="shared" si="31"/>
        <v/>
      </c>
    </row>
    <row r="1967" spans="3:19" ht="15.75" customHeight="1">
      <c r="C1967" s="15" t="str" cm="1">
        <f t="array" ref="C1967">IFERROR(_xlfn.TEXTJOIN("",TRUE,_xlfn._xlws.FILTER(MID(S1967,_xlfn.SEQUENCE(LEN(S1967)),1),ISNUMBER(SEARCH(MID(S1967,_xlfn.SEQUENCE(LEN(S1967)),1),"ABCDEFGHIJKLMNOPQRSTUVWXYZabcdefghijklmnopqrstuvwxyz0123456789,")))),"")</f>
        <v/>
      </c>
      <c r="G1967" s="20" t="str" cm="1">
        <f t="array" ref="G1967">IF(TRIM(P1967)="","",IF(SUM(COUNTIF(P1967,{"*NLGD*","*FWG*"}))&gt;0,P1967,IF(SUM(COUNTIF(P1967,{"*GL*","*DGB*","*DGI*","*GT*","*CS*","*PWU*","*DBI*","*SWU*"}))=0,P1967,IF(IFERROR(VALUE(SUBSTITUTE(SUBSTITUTE(O1967,"W",""),"""","")),0)&gt;52,P1967&amp;"-OVRSIZE-",P1967))))</f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s="18" t="str">
        <v/>
      </c>
      <c r="O1967" s="15" t="str" cm="1">
        <f t="array" ref="O1967">IFERROR(_xlfn.LET(
_xlpm.clean,TRIM(SUBSTITUTE(SUBSTITUTE(P1967,CHAR(160),"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7" t="str">
        <f t="shared" si="31"/>
        <v/>
      </c>
    </row>
    <row r="1968" spans="3:19" ht="15.75" customHeight="1">
      <c r="C1968" s="15" t="str" cm="1">
        <f t="array" ref="C1968">IFERROR(_xlfn.TEXTJOIN("",TRUE,_xlfn._xlws.FILTER(MID(S1968,_xlfn.SEQUENCE(LEN(S1968)),1),ISNUMBER(SEARCH(MID(S1968,_xlfn.SEQUENCE(LEN(S1968)),1),"ABCDEFGHIJKLMNOPQRSTUVWXYZabcdefghijklmnopqrstuvwxyz0123456789,")))),"")</f>
        <v/>
      </c>
      <c r="G1968" s="20" t="str" cm="1">
        <f t="array" ref="G1968">IF(TRIM(P1968)="","",IF(SUM(COUNTIF(P1968,{"*NLGD*","*FWG*"}))&gt;0,P1968,IF(SUM(COUNTIF(P1968,{"*GL*","*DGB*","*DGI*","*GT*","*CS*","*PWU*","*DBI*","*SWU*"}))=0,P1968,IF(IFERROR(VALUE(SUBSTITUTE(SUBSTITUTE(O1968,"W",""),"""","")),0)&gt;52,P1968&amp;"-OVRSIZE-",P1968))))</f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s="18" t="str">
        <v/>
      </c>
      <c r="O1968" s="15" t="str" cm="1">
        <f t="array" ref="O1968">IFERROR(_xlfn.LET(
_xlpm.clean,TRIM(SUBSTITUTE(SUBSTITUTE(P1968,CHAR(160),"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8" t="str">
        <f t="shared" si="31"/>
        <v/>
      </c>
    </row>
    <row r="1969" spans="3:19" ht="15.75" customHeight="1">
      <c r="C1969" s="15" t="str" cm="1">
        <f t="array" ref="C1969">IFERROR(_xlfn.TEXTJOIN("",TRUE,_xlfn._xlws.FILTER(MID(S1969,_xlfn.SEQUENCE(LEN(S1969)),1),ISNUMBER(SEARCH(MID(S1969,_xlfn.SEQUENCE(LEN(S1969)),1),"ABCDEFGHIJKLMNOPQRSTUVWXYZabcdefghijklmnopqrstuvwxyz0123456789,")))),"")</f>
        <v/>
      </c>
      <c r="G1969" s="20" t="str" cm="1">
        <f t="array" ref="G1969">IF(TRIM(P1969)="","",IF(SUM(COUNTIF(P1969,{"*NLGD*","*FWG*"}))&gt;0,P1969,IF(SUM(COUNTIF(P1969,{"*GL*","*DGB*","*DGI*","*GT*","*CS*","*PWU*","*DBI*","*SWU*"}))=0,P1969,IF(IFERROR(VALUE(SUBSTITUTE(SUBSTITUTE(O1969,"W",""),"""","")),0)&gt;52,P1969&amp;"-OVRSIZE-",P1969))))</f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s="18" t="str">
        <v/>
      </c>
      <c r="O1969" s="15" t="str" cm="1">
        <f t="array" ref="O1969">IFERROR(_xlfn.LET(
_xlpm.clean,TRIM(SUBSTITUTE(SUBSTITUTE(P1969,CHAR(160),"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9" t="str">
        <f t="shared" si="31"/>
        <v/>
      </c>
    </row>
    <row r="1970" spans="3:19" ht="15.75" customHeight="1">
      <c r="C1970" s="15" t="str" cm="1">
        <f t="array" ref="C1970">IFERROR(_xlfn.TEXTJOIN("",TRUE,_xlfn._xlws.FILTER(MID(S1970,_xlfn.SEQUENCE(LEN(S1970)),1),ISNUMBER(SEARCH(MID(S1970,_xlfn.SEQUENCE(LEN(S1970)),1),"ABCDEFGHIJKLMNOPQRSTUVWXYZabcdefghijklmnopqrstuvwxyz0123456789,")))),"")</f>
        <v/>
      </c>
      <c r="G1970" s="20" t="str" cm="1">
        <f t="array" ref="G1970">IF(TRIM(P1970)="","",IF(SUM(COUNTIF(P1970,{"*NLGD*","*FWG*"}))&gt;0,P1970,IF(SUM(COUNTIF(P1970,{"*GL*","*DGB*","*DGI*","*GT*","*CS*","*PWU*","*DBI*","*SWU*"}))=0,P1970,IF(IFERROR(VALUE(SUBSTITUTE(SUBSTITUTE(O1970,"W",""),"""","")),0)&gt;52,P1970&amp;"-OVRSIZE-",P1970))))</f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s="18" t="str">
        <v/>
      </c>
      <c r="O1970" s="15" t="str" cm="1">
        <f t="array" ref="O1970">IFERROR(_xlfn.LET(
_xlpm.clean,TRIM(SUBSTITUTE(SUBSTITUTE(P1970,CHAR(160),"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0" t="str">
        <f t="shared" si="31"/>
        <v/>
      </c>
    </row>
    <row r="1971" spans="3:19" ht="15.75" customHeight="1">
      <c r="C1971" s="15" t="str" cm="1">
        <f t="array" ref="C1971">IFERROR(_xlfn.TEXTJOIN("",TRUE,_xlfn._xlws.FILTER(MID(S1971,_xlfn.SEQUENCE(LEN(S1971)),1),ISNUMBER(SEARCH(MID(S1971,_xlfn.SEQUENCE(LEN(S1971)),1),"ABCDEFGHIJKLMNOPQRSTUVWXYZabcdefghijklmnopqrstuvwxyz0123456789,")))),"")</f>
        <v/>
      </c>
      <c r="G1971" s="20" t="str" cm="1">
        <f t="array" ref="G1971">IF(TRIM(P1971)="","",IF(SUM(COUNTIF(P1971,{"*NLGD*","*FWG*"}))&gt;0,P1971,IF(SUM(COUNTIF(P1971,{"*GL*","*DGB*","*DGI*","*GT*","*CS*","*PWU*","*DBI*","*SWU*"}))=0,P1971,IF(IFERROR(VALUE(SUBSTITUTE(SUBSTITUTE(O1971,"W",""),"""","")),0)&gt;52,P1971&amp;"-OVRSIZE-",P1971))))</f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s="18" t="str">
        <v/>
      </c>
      <c r="O1971" s="15" t="str" cm="1">
        <f t="array" ref="O1971">IFERROR(_xlfn.LET(
_xlpm.clean,TRIM(SUBSTITUTE(SUBSTITUTE(P1971,CHAR(160),"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1" t="str">
        <f t="shared" si="31"/>
        <v/>
      </c>
    </row>
    <row r="1972" spans="3:19" ht="15.75" customHeight="1">
      <c r="C1972" s="15" t="str" cm="1">
        <f t="array" ref="C1972">IFERROR(_xlfn.TEXTJOIN("",TRUE,_xlfn._xlws.FILTER(MID(S1972,_xlfn.SEQUENCE(LEN(S1972)),1),ISNUMBER(SEARCH(MID(S1972,_xlfn.SEQUENCE(LEN(S1972)),1),"ABCDEFGHIJKLMNOPQRSTUVWXYZabcdefghijklmnopqrstuvwxyz0123456789,")))),"")</f>
        <v/>
      </c>
      <c r="G1972" s="20" t="str" cm="1">
        <f t="array" ref="G1972">IF(TRIM(P1972)="","",IF(SUM(COUNTIF(P1972,{"*NLGD*","*FWG*"}))&gt;0,P1972,IF(SUM(COUNTIF(P1972,{"*GL*","*DGB*","*DGI*","*GT*","*CS*","*PWU*","*DBI*","*SWU*"}))=0,P1972,IF(IFERROR(VALUE(SUBSTITUTE(SUBSTITUTE(O1972,"W",""),"""","")),0)&gt;52,P1972&amp;"-OVRSIZE-",P1972))))</f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s="18" t="str">
        <v/>
      </c>
      <c r="O1972" s="15" t="str" cm="1">
        <f t="array" ref="O1972">IFERROR(_xlfn.LET(
_xlpm.clean,TRIM(SUBSTITUTE(SUBSTITUTE(P1972,CHAR(160),"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2" t="str">
        <f t="shared" si="31"/>
        <v/>
      </c>
    </row>
    <row r="1973" spans="3:19" ht="15.75" customHeight="1">
      <c r="C1973" s="15" t="str" cm="1">
        <f t="array" ref="C1973">IFERROR(_xlfn.TEXTJOIN("",TRUE,_xlfn._xlws.FILTER(MID(S1973,_xlfn.SEQUENCE(LEN(S1973)),1),ISNUMBER(SEARCH(MID(S1973,_xlfn.SEQUENCE(LEN(S1973)),1),"ABCDEFGHIJKLMNOPQRSTUVWXYZabcdefghijklmnopqrstuvwxyz0123456789,")))),"")</f>
        <v/>
      </c>
      <c r="G1973" s="20" t="str" cm="1">
        <f t="array" ref="G1973">IF(TRIM(P1973)="","",IF(SUM(COUNTIF(P1973,{"*NLGD*","*FWG*"}))&gt;0,P1973,IF(SUM(COUNTIF(P1973,{"*GL*","*DGB*","*DGI*","*GT*","*CS*","*PWU*","*DBI*","*SWU*"}))=0,P1973,IF(IFERROR(VALUE(SUBSTITUTE(SUBSTITUTE(O1973,"W",""),"""","")),0)&gt;52,P1973&amp;"-OVRSIZE-",P1973))))</f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s="18" t="str">
        <v/>
      </c>
      <c r="O1973" s="15" t="str" cm="1">
        <f t="array" ref="O1973">IFERROR(_xlfn.LET(
_xlpm.clean,TRIM(SUBSTITUTE(SUBSTITUTE(P1973,CHAR(160),"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3" t="str">
        <f t="shared" si="31"/>
        <v/>
      </c>
    </row>
    <row r="1974" spans="3:19" ht="15.75" customHeight="1">
      <c r="C1974" s="15" t="str" cm="1">
        <f t="array" ref="C1974">IFERROR(_xlfn.TEXTJOIN("",TRUE,_xlfn._xlws.FILTER(MID(S1974,_xlfn.SEQUENCE(LEN(S1974)),1),ISNUMBER(SEARCH(MID(S1974,_xlfn.SEQUENCE(LEN(S1974)),1),"ABCDEFGHIJKLMNOPQRSTUVWXYZabcdefghijklmnopqrstuvwxyz0123456789,")))),"")</f>
        <v/>
      </c>
      <c r="G1974" s="20" t="str" cm="1">
        <f t="array" ref="G1974">IF(TRIM(P1974)="","",IF(SUM(COUNTIF(P1974,{"*NLGD*","*FWG*"}))&gt;0,P1974,IF(SUM(COUNTIF(P1974,{"*GL*","*DGB*","*DGI*","*GT*","*CS*","*PWU*","*DBI*","*SWU*"}))=0,P1974,IF(IFERROR(VALUE(SUBSTITUTE(SUBSTITUTE(O1974,"W",""),"""","")),0)&gt;52,P1974&amp;"-OVRSIZE-",P1974))))</f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s="18" t="str">
        <v/>
      </c>
      <c r="O1974" s="15" t="str" cm="1">
        <f t="array" ref="O1974">IFERROR(_xlfn.LET(
_xlpm.clean,TRIM(SUBSTITUTE(SUBSTITUTE(P1974,CHAR(160),"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4" t="str">
        <f t="shared" si="31"/>
        <v/>
      </c>
    </row>
    <row r="1975" spans="3:19" ht="15.75" customHeight="1">
      <c r="C1975" s="15" t="str" cm="1">
        <f t="array" ref="C1975">IFERROR(_xlfn.TEXTJOIN("",TRUE,_xlfn._xlws.FILTER(MID(S1975,_xlfn.SEQUENCE(LEN(S1975)),1),ISNUMBER(SEARCH(MID(S1975,_xlfn.SEQUENCE(LEN(S1975)),1),"ABCDEFGHIJKLMNOPQRSTUVWXYZabcdefghijklmnopqrstuvwxyz0123456789,")))),"")</f>
        <v/>
      </c>
      <c r="G1975" s="20" t="str" cm="1">
        <f t="array" ref="G1975">IF(TRIM(P1975)="","",IF(SUM(COUNTIF(P1975,{"*NLGD*","*FWG*"}))&gt;0,P1975,IF(SUM(COUNTIF(P1975,{"*GL*","*DGB*","*DGI*","*GT*","*CS*","*PWU*","*DBI*","*SWU*"}))=0,P1975,IF(IFERROR(VALUE(SUBSTITUTE(SUBSTITUTE(O1975,"W",""),"""","")),0)&gt;52,P1975&amp;"-OVRSIZE-",P1975))))</f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s="18" t="str">
        <v/>
      </c>
      <c r="O1975" s="15" t="str" cm="1">
        <f t="array" ref="O1975">IFERROR(_xlfn.LET(
_xlpm.clean,TRIM(SUBSTITUTE(SUBSTITUTE(P1975,CHAR(160),"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5" t="str">
        <f t="shared" si="31"/>
        <v/>
      </c>
    </row>
    <row r="1976" spans="3:19" ht="15.75" customHeight="1">
      <c r="C1976" s="15" t="str" cm="1">
        <f t="array" ref="C1976">IFERROR(_xlfn.TEXTJOIN("",TRUE,_xlfn._xlws.FILTER(MID(S1976,_xlfn.SEQUENCE(LEN(S1976)),1),ISNUMBER(SEARCH(MID(S1976,_xlfn.SEQUENCE(LEN(S1976)),1),"ABCDEFGHIJKLMNOPQRSTUVWXYZabcdefghijklmnopqrstuvwxyz0123456789,")))),"")</f>
        <v/>
      </c>
      <c r="G1976" s="20" t="str" cm="1">
        <f t="array" ref="G1976">IF(TRIM(P1976)="","",IF(SUM(COUNTIF(P1976,{"*NLGD*","*FWG*"}))&gt;0,P1976,IF(SUM(COUNTIF(P1976,{"*GL*","*DGB*","*DGI*","*GT*","*CS*","*PWU*","*DBI*","*SWU*"}))=0,P1976,IF(IFERROR(VALUE(SUBSTITUTE(SUBSTITUTE(O1976,"W",""),"""","")),0)&gt;52,P1976&amp;"-OVRSIZE-",P1976))))</f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s="18" t="str">
        <v/>
      </c>
      <c r="O1976" s="15" t="str" cm="1">
        <f t="array" ref="O1976">IFERROR(_xlfn.LET(
_xlpm.clean,TRIM(SUBSTITUTE(SUBSTITUTE(P1976,CHAR(160),"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6" t="str">
        <f t="shared" si="31"/>
        <v/>
      </c>
    </row>
    <row r="1977" spans="3:19" ht="15.75" customHeight="1">
      <c r="C1977" s="15" t="str" cm="1">
        <f t="array" ref="C1977">IFERROR(_xlfn.TEXTJOIN("",TRUE,_xlfn._xlws.FILTER(MID(S1977,_xlfn.SEQUENCE(LEN(S1977)),1),ISNUMBER(SEARCH(MID(S1977,_xlfn.SEQUENCE(LEN(S1977)),1),"ABCDEFGHIJKLMNOPQRSTUVWXYZabcdefghijklmnopqrstuvwxyz0123456789,")))),"")</f>
        <v/>
      </c>
      <c r="G1977" s="20" t="str" cm="1">
        <f t="array" ref="G1977">IF(TRIM(P1977)="","",IF(SUM(COUNTIF(P1977,{"*NLGD*","*FWG*"}))&gt;0,P1977,IF(SUM(COUNTIF(P1977,{"*GL*","*DGB*","*DGI*","*GT*","*CS*","*PWU*","*DBI*","*SWU*"}))=0,P1977,IF(IFERROR(VALUE(SUBSTITUTE(SUBSTITUTE(O1977,"W",""),"""","")),0)&gt;52,P1977&amp;"-OVRSIZE-",P1977))))</f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s="18" t="str">
        <v/>
      </c>
      <c r="O1977" s="15" t="str" cm="1">
        <f t="array" ref="O1977">IFERROR(_xlfn.LET(
_xlpm.clean,TRIM(SUBSTITUTE(SUBSTITUTE(P1977,CHAR(160),"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7" t="str">
        <f t="shared" si="31"/>
        <v/>
      </c>
    </row>
    <row r="1978" spans="3:19" ht="15.75" customHeight="1">
      <c r="C1978" s="15" t="str" cm="1">
        <f t="array" ref="C1978">IFERROR(_xlfn.TEXTJOIN("",TRUE,_xlfn._xlws.FILTER(MID(S1978,_xlfn.SEQUENCE(LEN(S1978)),1),ISNUMBER(SEARCH(MID(S1978,_xlfn.SEQUENCE(LEN(S1978)),1),"ABCDEFGHIJKLMNOPQRSTUVWXYZabcdefghijklmnopqrstuvwxyz0123456789,")))),"")</f>
        <v/>
      </c>
      <c r="G1978" s="20" t="str" cm="1">
        <f t="array" ref="G1978">IF(TRIM(P1978)="","",IF(SUM(COUNTIF(P1978,{"*NLGD*","*FWG*"}))&gt;0,P1978,IF(SUM(COUNTIF(P1978,{"*GL*","*DGB*","*DGI*","*GT*","*CS*","*PWU*","*DBI*","*SWU*"}))=0,P1978,IF(IFERROR(VALUE(SUBSTITUTE(SUBSTITUTE(O1978,"W",""),"""","")),0)&gt;52,P1978&amp;"-OVRSIZE-",P1978))))</f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s="18" t="str">
        <v/>
      </c>
      <c r="O1978" s="15" t="str" cm="1">
        <f t="array" ref="O1978">IFERROR(_xlfn.LET(
_xlpm.clean,TRIM(SUBSTITUTE(SUBSTITUTE(P1978,CHAR(160),"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8" t="str">
        <f t="shared" si="31"/>
        <v/>
      </c>
    </row>
    <row r="1979" spans="3:19" ht="15.75" customHeight="1">
      <c r="C1979" s="15" t="str" cm="1">
        <f t="array" ref="C1979">IFERROR(_xlfn.TEXTJOIN("",TRUE,_xlfn._xlws.FILTER(MID(S1979,_xlfn.SEQUENCE(LEN(S1979)),1),ISNUMBER(SEARCH(MID(S1979,_xlfn.SEQUENCE(LEN(S1979)),1),"ABCDEFGHIJKLMNOPQRSTUVWXYZabcdefghijklmnopqrstuvwxyz0123456789,")))),"")</f>
        <v/>
      </c>
      <c r="G1979" s="20" t="str" cm="1">
        <f t="array" ref="G1979">IF(TRIM(P1979)="","",IF(SUM(COUNTIF(P1979,{"*NLGD*","*FWG*"}))&gt;0,P1979,IF(SUM(COUNTIF(P1979,{"*GL*","*DGB*","*DGI*","*GT*","*CS*","*PWU*","*DBI*","*SWU*"}))=0,P1979,IF(IFERROR(VALUE(SUBSTITUTE(SUBSTITUTE(O1979,"W",""),"""","")),0)&gt;52,P1979&amp;"-OVRSIZE-",P1979))))</f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s="18" t="str">
        <v/>
      </c>
      <c r="O1979" s="15" t="str" cm="1">
        <f t="array" ref="O1979">IFERROR(_xlfn.LET(
_xlpm.clean,TRIM(SUBSTITUTE(SUBSTITUTE(P1979,CHAR(160),"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9" t="str">
        <f t="shared" si="31"/>
        <v/>
      </c>
    </row>
    <row r="1980" spans="3:19" ht="15.75" customHeight="1">
      <c r="C1980" s="15" t="str" cm="1">
        <f t="array" ref="C1980">IFERROR(_xlfn.TEXTJOIN("",TRUE,_xlfn._xlws.FILTER(MID(S1980,_xlfn.SEQUENCE(LEN(S1980)),1),ISNUMBER(SEARCH(MID(S1980,_xlfn.SEQUENCE(LEN(S1980)),1),"ABCDEFGHIJKLMNOPQRSTUVWXYZabcdefghijklmnopqrstuvwxyz0123456789,")))),"")</f>
        <v/>
      </c>
      <c r="G1980" s="20" t="str" cm="1">
        <f t="array" ref="G1980">IF(TRIM(P1980)="","",IF(SUM(COUNTIF(P1980,{"*NLGD*","*FWG*"}))&gt;0,P1980,IF(SUM(COUNTIF(P1980,{"*GL*","*DGB*","*DGI*","*GT*","*CS*","*PWU*","*DBI*","*SWU*"}))=0,P1980,IF(IFERROR(VALUE(SUBSTITUTE(SUBSTITUTE(O1980,"W",""),"""","")),0)&gt;52,P1980&amp;"-OVRSIZE-",P1980))))</f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s="18" t="str">
        <v/>
      </c>
      <c r="O1980" s="15" t="str" cm="1">
        <f t="array" ref="O1980">IFERROR(_xlfn.LET(
_xlpm.clean,TRIM(SUBSTITUTE(SUBSTITUTE(P1980,CHAR(160),"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0" t="str">
        <f t="shared" si="31"/>
        <v/>
      </c>
    </row>
    <row r="1981" spans="3:19" ht="15.75" customHeight="1">
      <c r="C1981" s="15" t="str" cm="1">
        <f t="array" ref="C1981">IFERROR(_xlfn.TEXTJOIN("",TRUE,_xlfn._xlws.FILTER(MID(S1981,_xlfn.SEQUENCE(LEN(S1981)),1),ISNUMBER(SEARCH(MID(S1981,_xlfn.SEQUENCE(LEN(S1981)),1),"ABCDEFGHIJKLMNOPQRSTUVWXYZabcdefghijklmnopqrstuvwxyz0123456789,")))),"")</f>
        <v/>
      </c>
      <c r="G1981" s="20" t="str" cm="1">
        <f t="array" ref="G1981">IF(TRIM(P1981)="","",IF(SUM(COUNTIF(P1981,{"*NLGD*","*FWG*"}))&gt;0,P1981,IF(SUM(COUNTIF(P1981,{"*GL*","*DGB*","*DGI*","*GT*","*CS*","*PWU*","*DBI*","*SWU*"}))=0,P1981,IF(IFERROR(VALUE(SUBSTITUTE(SUBSTITUTE(O1981,"W",""),"""","")),0)&gt;52,P1981&amp;"-OVRSIZE-",P1981))))</f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s="18" t="str">
        <v/>
      </c>
      <c r="O1981" s="15" t="str" cm="1">
        <f t="array" ref="O1981">IFERROR(_xlfn.LET(
_xlpm.clean,TRIM(SUBSTITUTE(SUBSTITUTE(P1981,CHAR(160),"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1" t="str">
        <f t="shared" si="31"/>
        <v/>
      </c>
    </row>
    <row r="1982" spans="3:19" ht="15.75" customHeight="1">
      <c r="C1982" s="15" t="str" cm="1">
        <f t="array" ref="C1982">IFERROR(_xlfn.TEXTJOIN("",TRUE,_xlfn._xlws.FILTER(MID(S1982,_xlfn.SEQUENCE(LEN(S1982)),1),ISNUMBER(SEARCH(MID(S1982,_xlfn.SEQUENCE(LEN(S1982)),1),"ABCDEFGHIJKLMNOPQRSTUVWXYZabcdefghijklmnopqrstuvwxyz0123456789,")))),"")</f>
        <v/>
      </c>
      <c r="G1982" s="20" t="str" cm="1">
        <f t="array" ref="G1982">IF(TRIM(P1982)="","",IF(SUM(COUNTIF(P1982,{"*NLGD*","*FWG*"}))&gt;0,P1982,IF(SUM(COUNTIF(P1982,{"*GL*","*DGB*","*DGI*","*GT*","*CS*","*PWU*","*DBI*","*SWU*"}))=0,P1982,IF(IFERROR(VALUE(SUBSTITUTE(SUBSTITUTE(O1982,"W",""),"""","")),0)&gt;52,P1982&amp;"-OVRSIZE-",P1982))))</f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s="18" t="str">
        <v/>
      </c>
      <c r="O1982" s="15" t="str" cm="1">
        <f t="array" ref="O1982">IFERROR(_xlfn.LET(
_xlpm.clean,TRIM(SUBSTITUTE(SUBSTITUTE(P1982,CHAR(160),"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2" t="str">
        <f t="shared" si="31"/>
        <v/>
      </c>
    </row>
    <row r="1983" spans="3:19" ht="15.75" customHeight="1">
      <c r="C1983" s="15" t="str" cm="1">
        <f t="array" ref="C1983">IFERROR(_xlfn.TEXTJOIN("",TRUE,_xlfn._xlws.FILTER(MID(S1983,_xlfn.SEQUENCE(LEN(S1983)),1),ISNUMBER(SEARCH(MID(S1983,_xlfn.SEQUENCE(LEN(S1983)),1),"ABCDEFGHIJKLMNOPQRSTUVWXYZabcdefghijklmnopqrstuvwxyz0123456789,")))),"")</f>
        <v/>
      </c>
      <c r="G1983" s="20" t="str" cm="1">
        <f t="array" ref="G1983">IF(TRIM(P1983)="","",IF(SUM(COUNTIF(P1983,{"*NLGD*","*FWG*"}))&gt;0,P1983,IF(SUM(COUNTIF(P1983,{"*GL*","*DGB*","*DGI*","*GT*","*CS*","*PWU*","*DBI*","*SWU*"}))=0,P1983,IF(IFERROR(VALUE(SUBSTITUTE(SUBSTITUTE(O1983,"W",""),"""","")),0)&gt;52,P1983&amp;"-OVRSIZE-",P1983))))</f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s="18" t="str">
        <v/>
      </c>
      <c r="O1983" s="15" t="str" cm="1">
        <f t="array" ref="O1983">IFERROR(_xlfn.LET(
_xlpm.clean,TRIM(SUBSTITUTE(SUBSTITUTE(P1983,CHAR(160),"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3" t="str">
        <f t="shared" si="31"/>
        <v/>
      </c>
    </row>
    <row r="1984" spans="3:19" ht="15.75" customHeight="1">
      <c r="C1984" s="15" t="str" cm="1">
        <f t="array" ref="C1984">IFERROR(_xlfn.TEXTJOIN("",TRUE,_xlfn._xlws.FILTER(MID(S1984,_xlfn.SEQUENCE(LEN(S1984)),1),ISNUMBER(SEARCH(MID(S1984,_xlfn.SEQUENCE(LEN(S1984)),1),"ABCDEFGHIJKLMNOPQRSTUVWXYZabcdefghijklmnopqrstuvwxyz0123456789,")))),"")</f>
        <v/>
      </c>
      <c r="G1984" s="20" t="str" cm="1">
        <f t="array" ref="G1984">IF(TRIM(P1984)="","",IF(SUM(COUNTIF(P1984,{"*NLGD*","*FWG*"}))&gt;0,P1984,IF(SUM(COUNTIF(P1984,{"*GL*","*DGB*","*DGI*","*GT*","*CS*","*PWU*","*DBI*","*SWU*"}))=0,P1984,IF(IFERROR(VALUE(SUBSTITUTE(SUBSTITUTE(O1984,"W",""),"""","")),0)&gt;52,P1984&amp;"-OVRSIZE-",P1984))))</f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s="18" t="str">
        <v/>
      </c>
      <c r="O1984" s="15" t="str" cm="1">
        <f t="array" ref="O1984">IFERROR(_xlfn.LET(
_xlpm.clean,TRIM(SUBSTITUTE(SUBSTITUTE(P1984,CHAR(160),"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4" t="str">
        <f t="shared" si="31"/>
        <v/>
      </c>
    </row>
    <row r="1985" spans="3:19" ht="15.75" customHeight="1">
      <c r="C1985" s="15" t="str" cm="1">
        <f t="array" ref="C1985">IFERROR(_xlfn.TEXTJOIN("",TRUE,_xlfn._xlws.FILTER(MID(S1985,_xlfn.SEQUENCE(LEN(S1985)),1),ISNUMBER(SEARCH(MID(S1985,_xlfn.SEQUENCE(LEN(S1985)),1),"ABCDEFGHIJKLMNOPQRSTUVWXYZabcdefghijklmnopqrstuvwxyz0123456789,")))),"")</f>
        <v/>
      </c>
      <c r="G1985" s="20" t="str" cm="1">
        <f t="array" ref="G1985">IF(TRIM(P1985)="","",IF(SUM(COUNTIF(P1985,{"*NLGD*","*FWG*"}))&gt;0,P1985,IF(SUM(COUNTIF(P1985,{"*GL*","*DGB*","*DGI*","*GT*","*CS*","*PWU*","*DBI*","*SWU*"}))=0,P1985,IF(IFERROR(VALUE(SUBSTITUTE(SUBSTITUTE(O1985,"W",""),"""","")),0)&gt;52,P1985&amp;"-OVRSIZE-",P1985))))</f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s="18" t="str">
        <v/>
      </c>
      <c r="O1985" s="15" t="str" cm="1">
        <f t="array" ref="O1985">IFERROR(_xlfn.LET(
_xlpm.clean,TRIM(SUBSTITUTE(SUBSTITUTE(P1985,CHAR(160),"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5" t="str">
        <f t="shared" si="31"/>
        <v/>
      </c>
    </row>
    <row r="1986" spans="3:19" ht="15.75" customHeight="1">
      <c r="C1986" s="15" t="str" cm="1">
        <f t="array" ref="C1986">IFERROR(_xlfn.TEXTJOIN("",TRUE,_xlfn._xlws.FILTER(MID(S1986,_xlfn.SEQUENCE(LEN(S1986)),1),ISNUMBER(SEARCH(MID(S1986,_xlfn.SEQUENCE(LEN(S1986)),1),"ABCDEFGHIJKLMNOPQRSTUVWXYZabcdefghijklmnopqrstuvwxyz0123456789,")))),"")</f>
        <v/>
      </c>
      <c r="G1986" s="20" t="str" cm="1">
        <f t="array" ref="G1986">IF(TRIM(P1986)="","",IF(SUM(COUNTIF(P1986,{"*NLGD*","*FWG*"}))&gt;0,P1986,IF(SUM(COUNTIF(P1986,{"*GL*","*DGB*","*DGI*","*GT*","*CS*","*PWU*","*DBI*","*SWU*"}))=0,P1986,IF(IFERROR(VALUE(SUBSTITUTE(SUBSTITUTE(O1986,"W",""),"""","")),0)&gt;52,P1986&amp;"-OVRSIZE-",P1986))))</f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s="18" t="str">
        <v/>
      </c>
      <c r="O1986" s="15" t="str" cm="1">
        <f t="array" ref="O1986">IFERROR(_xlfn.LET(
_xlpm.clean,TRIM(SUBSTITUTE(SUBSTITUTE(P1986,CHAR(160),"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6" t="str">
        <f t="shared" si="31"/>
        <v/>
      </c>
    </row>
    <row r="1987" spans="3:19" ht="15.75" customHeight="1">
      <c r="C1987" s="15" t="str" cm="1">
        <f t="array" ref="C1987">IFERROR(_xlfn.TEXTJOIN("",TRUE,_xlfn._xlws.FILTER(MID(S1987,_xlfn.SEQUENCE(LEN(S1987)),1),ISNUMBER(SEARCH(MID(S1987,_xlfn.SEQUENCE(LEN(S1987)),1),"ABCDEFGHIJKLMNOPQRSTUVWXYZabcdefghijklmnopqrstuvwxyz0123456789,")))),"")</f>
        <v/>
      </c>
      <c r="G1987" s="20" t="str" cm="1">
        <f t="array" ref="G1987">IF(TRIM(P1987)="","",IF(SUM(COUNTIF(P1987,{"*NLGD*","*FWG*"}))&gt;0,P1987,IF(SUM(COUNTIF(P1987,{"*GL*","*DGB*","*DGI*","*GT*","*CS*","*PWU*","*DBI*","*SWU*"}))=0,P1987,IF(IFERROR(VALUE(SUBSTITUTE(SUBSTITUTE(O1987,"W",""),"""","")),0)&gt;52,P1987&amp;"-OVRSIZE-",P1987))))</f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s="18" t="str">
        <v/>
      </c>
      <c r="O1987" s="15" t="str" cm="1">
        <f t="array" ref="O1987">IFERROR(_xlfn.LET(
_xlpm.clean,TRIM(SUBSTITUTE(SUBSTITUTE(P1987,CHAR(160),"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7" t="str">
        <f t="shared" si="31"/>
        <v/>
      </c>
    </row>
    <row r="1988" spans="3:19" ht="15.75" customHeight="1">
      <c r="C1988" s="15" t="str" cm="1">
        <f t="array" ref="C1988">IFERROR(_xlfn.TEXTJOIN("",TRUE,_xlfn._xlws.FILTER(MID(S1988,_xlfn.SEQUENCE(LEN(S1988)),1),ISNUMBER(SEARCH(MID(S1988,_xlfn.SEQUENCE(LEN(S1988)),1),"ABCDEFGHIJKLMNOPQRSTUVWXYZabcdefghijklmnopqrstuvwxyz0123456789,")))),"")</f>
        <v/>
      </c>
      <c r="G1988" s="20" t="str" cm="1">
        <f t="array" ref="G1988">IF(TRIM(P1988)="","",IF(SUM(COUNTIF(P1988,{"*NLGD*","*FWG*"}))&gt;0,P1988,IF(SUM(COUNTIF(P1988,{"*GL*","*DGB*","*DGI*","*GT*","*CS*","*PWU*","*DBI*","*SWU*"}))=0,P1988,IF(IFERROR(VALUE(SUBSTITUTE(SUBSTITUTE(O1988,"W",""),"""","")),0)&gt;52,P1988&amp;"-OVRSIZE-",P1988))))</f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s="18" t="str">
        <v/>
      </c>
      <c r="O1988" s="15" t="str" cm="1">
        <f t="array" ref="O1988">IFERROR(_xlfn.LET(
_xlpm.clean,TRIM(SUBSTITUTE(SUBSTITUTE(P1988,CHAR(160),"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8" t="str">
        <f t="shared" si="31"/>
        <v/>
      </c>
    </row>
    <row r="1989" spans="3:19" ht="15.75" customHeight="1">
      <c r="C1989" s="15" t="str" cm="1">
        <f t="array" ref="C1989">IFERROR(_xlfn.TEXTJOIN("",TRUE,_xlfn._xlws.FILTER(MID(S1989,_xlfn.SEQUENCE(LEN(S1989)),1),ISNUMBER(SEARCH(MID(S1989,_xlfn.SEQUENCE(LEN(S1989)),1),"ABCDEFGHIJKLMNOPQRSTUVWXYZabcdefghijklmnopqrstuvwxyz0123456789,")))),"")</f>
        <v/>
      </c>
      <c r="G1989" s="20" t="str" cm="1">
        <f t="array" ref="G1989">IF(TRIM(P1989)="","",IF(SUM(COUNTIF(P1989,{"*NLGD*","*FWG*"}))&gt;0,P1989,IF(SUM(COUNTIF(P1989,{"*GL*","*DGB*","*DGI*","*GT*","*CS*","*PWU*","*DBI*","*SWU*"}))=0,P1989,IF(IFERROR(VALUE(SUBSTITUTE(SUBSTITUTE(O1989,"W",""),"""","")),0)&gt;52,P1989&amp;"-OVRSIZE-",P1989))))</f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s="18" t="str">
        <v/>
      </c>
      <c r="O1989" s="15" t="str" cm="1">
        <f t="array" ref="O1989">IFERROR(_xlfn.LET(
_xlpm.clean,TRIM(SUBSTITUTE(SUBSTITUTE(P1989,CHAR(160),"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9" t="str">
        <f t="shared" si="31"/>
        <v/>
      </c>
    </row>
    <row r="1990" spans="3:19" ht="15.75" customHeight="1">
      <c r="C1990" s="15" t="str" cm="1">
        <f t="array" ref="C1990">IFERROR(_xlfn.TEXTJOIN("",TRUE,_xlfn._xlws.FILTER(MID(S1990,_xlfn.SEQUENCE(LEN(S1990)),1),ISNUMBER(SEARCH(MID(S1990,_xlfn.SEQUENCE(LEN(S1990)),1),"ABCDEFGHIJKLMNOPQRSTUVWXYZabcdefghijklmnopqrstuvwxyz0123456789,")))),"")</f>
        <v/>
      </c>
      <c r="G1990" s="20" t="str" cm="1">
        <f t="array" ref="G1990">IF(TRIM(P1990)="","",IF(SUM(COUNTIF(P1990,{"*NLGD*","*FWG*"}))&gt;0,P1990,IF(SUM(COUNTIF(P1990,{"*GL*","*DGB*","*DGI*","*GT*","*CS*","*PWU*","*DBI*","*SWU*"}))=0,P1990,IF(IFERROR(VALUE(SUBSTITUTE(SUBSTITUTE(O1990,"W",""),"""","")),0)&gt;52,P1990&amp;"-OVRSIZE-",P1990))))</f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s="18" t="str">
        <v/>
      </c>
      <c r="O1990" s="15" t="str" cm="1">
        <f t="array" ref="O1990">IFERROR(_xlfn.LET(
_xlpm.clean,TRIM(SUBSTITUTE(SUBSTITUTE(P1990,CHAR(160),"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0" t="str">
        <f t="shared" si="31"/>
        <v/>
      </c>
    </row>
    <row r="1991" spans="3:19" ht="15.75" customHeight="1">
      <c r="C1991" s="15" t="str" cm="1">
        <f t="array" ref="C1991">IFERROR(_xlfn.TEXTJOIN("",TRUE,_xlfn._xlws.FILTER(MID(S1991,_xlfn.SEQUENCE(LEN(S1991)),1),ISNUMBER(SEARCH(MID(S1991,_xlfn.SEQUENCE(LEN(S1991)),1),"ABCDEFGHIJKLMNOPQRSTUVWXYZabcdefghijklmnopqrstuvwxyz0123456789,")))),"")</f>
        <v/>
      </c>
      <c r="G1991" s="20" t="str" cm="1">
        <f t="array" ref="G1991">IF(TRIM(P1991)="","",IF(SUM(COUNTIF(P1991,{"*NLGD*","*FWG*"}))&gt;0,P1991,IF(SUM(COUNTIF(P1991,{"*GL*","*DGB*","*DGI*","*GT*","*CS*","*PWU*","*DBI*","*SWU*"}))=0,P1991,IF(IFERROR(VALUE(SUBSTITUTE(SUBSTITUTE(O1991,"W",""),"""","")),0)&gt;52,P1991&amp;"-OVRSIZE-",P1991))))</f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s="18" t="str">
        <v/>
      </c>
      <c r="O1991" s="15" t="str" cm="1">
        <f t="array" ref="O1991">IFERROR(_xlfn.LET(
_xlpm.clean,TRIM(SUBSTITUTE(SUBSTITUTE(P1991,CHAR(160),"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1" t="str">
        <f t="shared" si="31"/>
        <v/>
      </c>
    </row>
    <row r="1992" spans="3:19" ht="15.75" customHeight="1">
      <c r="C1992" s="15" t="str" cm="1">
        <f t="array" ref="C1992">IFERROR(_xlfn.TEXTJOIN("",TRUE,_xlfn._xlws.FILTER(MID(S1992,_xlfn.SEQUENCE(LEN(S1992)),1),ISNUMBER(SEARCH(MID(S1992,_xlfn.SEQUENCE(LEN(S1992)),1),"ABCDEFGHIJKLMNOPQRSTUVWXYZabcdefghijklmnopqrstuvwxyz0123456789,")))),"")</f>
        <v/>
      </c>
      <c r="G1992" s="20" t="str" cm="1">
        <f t="array" ref="G1992">IF(TRIM(P1992)="","",IF(SUM(COUNTIF(P1992,{"*NLGD*","*FWG*"}))&gt;0,P1992,IF(SUM(COUNTIF(P1992,{"*GL*","*DGB*","*DGI*","*GT*","*CS*","*PWU*","*DBI*","*SWU*"}))=0,P1992,IF(IFERROR(VALUE(SUBSTITUTE(SUBSTITUTE(O1992,"W",""),"""","")),0)&gt;52,P1992&amp;"-OVRSIZE-",P1992))))</f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s="18" t="str">
        <v/>
      </c>
      <c r="O1992" s="15" t="str" cm="1">
        <f t="array" ref="O1992">IFERROR(_xlfn.LET(
_xlpm.clean,TRIM(SUBSTITUTE(SUBSTITUTE(P1992,CHAR(160),"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2" t="str">
        <f t="shared" ref="S1992:S2049" si="32">IF(R1992="","",_xlfn.LET(
_xlpm.x,TRIM(SUBSTITUTE(SUBSTITUTE(SUBSTITUTE(SUBSTITUTE(R1992,":","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993" spans="3:19" ht="15.75" customHeight="1">
      <c r="C1993" s="15" t="str" cm="1">
        <f t="array" ref="C1993">IFERROR(_xlfn.TEXTJOIN("",TRUE,_xlfn._xlws.FILTER(MID(S1993,_xlfn.SEQUENCE(LEN(S1993)),1),ISNUMBER(SEARCH(MID(S1993,_xlfn.SEQUENCE(LEN(S1993)),1),"ABCDEFGHIJKLMNOPQRSTUVWXYZabcdefghijklmnopqrstuvwxyz0123456789,")))),"")</f>
        <v/>
      </c>
      <c r="G1993" s="20" t="str" cm="1">
        <f t="array" ref="G1993">IF(TRIM(P1993)="","",IF(SUM(COUNTIF(P1993,{"*NLGD*","*FWG*"}))&gt;0,P1993,IF(SUM(COUNTIF(P1993,{"*GL*","*DGB*","*DGI*","*GT*","*CS*","*PWU*","*DBI*","*SWU*"}))=0,P1993,IF(IFERROR(VALUE(SUBSTITUTE(SUBSTITUTE(O1993,"W",""),"""","")),0)&gt;52,P1993&amp;"-OVRSIZE-",P1993))))</f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s="18" t="str">
        <v/>
      </c>
      <c r="O1993" s="15" t="str" cm="1">
        <f t="array" ref="O1993">IFERROR(_xlfn.LET(
_xlpm.clean,TRIM(SUBSTITUTE(SUBSTITUTE(P1993,CHAR(160),"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3" t="str">
        <f t="shared" si="32"/>
        <v/>
      </c>
    </row>
    <row r="1994" spans="3:19" ht="15.75" customHeight="1">
      <c r="C1994" s="15" t="str" cm="1">
        <f t="array" ref="C1994">IFERROR(_xlfn.TEXTJOIN("",TRUE,_xlfn._xlws.FILTER(MID(S1994,_xlfn.SEQUENCE(LEN(S1994)),1),ISNUMBER(SEARCH(MID(S1994,_xlfn.SEQUENCE(LEN(S1994)),1),"ABCDEFGHIJKLMNOPQRSTUVWXYZabcdefghijklmnopqrstuvwxyz0123456789,")))),"")</f>
        <v/>
      </c>
      <c r="G1994" s="20" t="str" cm="1">
        <f t="array" ref="G1994">IF(TRIM(P1994)="","",IF(SUM(COUNTIF(P1994,{"*NLGD*","*FWG*"}))&gt;0,P1994,IF(SUM(COUNTIF(P1994,{"*GL*","*DGB*","*DGI*","*GT*","*CS*","*PWU*","*DBI*","*SWU*"}))=0,P1994,IF(IFERROR(VALUE(SUBSTITUTE(SUBSTITUTE(O1994,"W",""),"""","")),0)&gt;52,P1994&amp;"-OVRSIZE-",P1994))))</f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s="18" t="str">
        <v/>
      </c>
      <c r="O1994" s="15" t="str" cm="1">
        <f t="array" ref="O1994">IFERROR(_xlfn.LET(
_xlpm.clean,TRIM(SUBSTITUTE(SUBSTITUTE(P1994,CHAR(160),"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4" t="str">
        <f t="shared" si="32"/>
        <v/>
      </c>
    </row>
    <row r="1995" spans="3:19" ht="15.75" customHeight="1">
      <c r="C1995" s="15" t="str" cm="1">
        <f t="array" ref="C1995">IFERROR(_xlfn.TEXTJOIN("",TRUE,_xlfn._xlws.FILTER(MID(S1995,_xlfn.SEQUENCE(LEN(S1995)),1),ISNUMBER(SEARCH(MID(S1995,_xlfn.SEQUENCE(LEN(S1995)),1),"ABCDEFGHIJKLMNOPQRSTUVWXYZabcdefghijklmnopqrstuvwxyz0123456789,")))),"")</f>
        <v/>
      </c>
      <c r="G1995" s="20" t="str" cm="1">
        <f t="array" ref="G1995">IF(TRIM(P1995)="","",IF(SUM(COUNTIF(P1995,{"*NLGD*","*FWG*"}))&gt;0,P1995,IF(SUM(COUNTIF(P1995,{"*GL*","*DGB*","*DGI*","*GT*","*CS*","*PWU*","*DBI*","*SWU*"}))=0,P1995,IF(IFERROR(VALUE(SUBSTITUTE(SUBSTITUTE(O1995,"W",""),"""","")),0)&gt;52,P1995&amp;"-OVRSIZE-",P1995))))</f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s="18" t="str">
        <v/>
      </c>
      <c r="O1995" s="15" t="str" cm="1">
        <f t="array" ref="O1995">IFERROR(_xlfn.LET(
_xlpm.clean,TRIM(SUBSTITUTE(SUBSTITUTE(P1995,CHAR(160),"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5" t="str">
        <f t="shared" si="32"/>
        <v/>
      </c>
    </row>
    <row r="1996" spans="3:19" ht="15.75" customHeight="1">
      <c r="C1996" s="15" t="str" cm="1">
        <f t="array" ref="C1996">IFERROR(_xlfn.TEXTJOIN("",TRUE,_xlfn._xlws.FILTER(MID(S1996,_xlfn.SEQUENCE(LEN(S1996)),1),ISNUMBER(SEARCH(MID(S1996,_xlfn.SEQUENCE(LEN(S1996)),1),"ABCDEFGHIJKLMNOPQRSTUVWXYZabcdefghijklmnopqrstuvwxyz0123456789,")))),"")</f>
        <v/>
      </c>
      <c r="G1996" s="20" t="str" cm="1">
        <f t="array" ref="G1996">IF(TRIM(P1996)="","",IF(SUM(COUNTIF(P1996,{"*NLGD*","*FWG*"}))&gt;0,P1996,IF(SUM(COUNTIF(P1996,{"*GL*","*DGB*","*DGI*","*GT*","*CS*","*PWU*","*DBI*","*SWU*"}))=0,P1996,IF(IFERROR(VALUE(SUBSTITUTE(SUBSTITUTE(O1996,"W",""),"""","")),0)&gt;52,P1996&amp;"-OVRSIZE-",P1996))))</f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s="18" t="str">
        <v/>
      </c>
      <c r="O1996" s="15" t="str" cm="1">
        <f t="array" ref="O1996">IFERROR(_xlfn.LET(
_xlpm.clean,TRIM(SUBSTITUTE(SUBSTITUTE(P1996,CHAR(160),"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6" t="str">
        <f t="shared" si="32"/>
        <v/>
      </c>
    </row>
    <row r="1997" spans="3:19" ht="15.75" customHeight="1">
      <c r="C1997" s="15" t="str" cm="1">
        <f t="array" ref="C1997">IFERROR(_xlfn.TEXTJOIN("",TRUE,_xlfn._xlws.FILTER(MID(S1997,_xlfn.SEQUENCE(LEN(S1997)),1),ISNUMBER(SEARCH(MID(S1997,_xlfn.SEQUENCE(LEN(S1997)),1),"ABCDEFGHIJKLMNOPQRSTUVWXYZabcdefghijklmnopqrstuvwxyz0123456789,")))),"")</f>
        <v/>
      </c>
      <c r="G1997" s="20" t="str" cm="1">
        <f t="array" ref="G1997">IF(TRIM(P1997)="","",IF(SUM(COUNTIF(P1997,{"*NLGD*","*FWG*"}))&gt;0,P1997,IF(SUM(COUNTIF(P1997,{"*GL*","*DGB*","*DGI*","*GT*","*CS*","*PWU*","*DBI*","*SWU*"}))=0,P1997,IF(IFERROR(VALUE(SUBSTITUTE(SUBSTITUTE(O1997,"W",""),"""","")),0)&gt;52,P1997&amp;"-OVRSIZE-",P1997))))</f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s="18" t="str">
        <v/>
      </c>
      <c r="O1997" s="15" t="str" cm="1">
        <f t="array" ref="O1997">IFERROR(_xlfn.LET(
_xlpm.clean,TRIM(SUBSTITUTE(SUBSTITUTE(P1997,CHAR(160),"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7" t="str">
        <f t="shared" si="32"/>
        <v/>
      </c>
    </row>
    <row r="1998" spans="3:19" ht="15.75" customHeight="1">
      <c r="C1998" s="15" t="str" cm="1">
        <f t="array" ref="C1998">IFERROR(_xlfn.TEXTJOIN("",TRUE,_xlfn._xlws.FILTER(MID(S1998,_xlfn.SEQUENCE(LEN(S1998)),1),ISNUMBER(SEARCH(MID(S1998,_xlfn.SEQUENCE(LEN(S1998)),1),"ABCDEFGHIJKLMNOPQRSTUVWXYZabcdefghijklmnopqrstuvwxyz0123456789,")))),"")</f>
        <v/>
      </c>
      <c r="G1998" s="20" t="str" cm="1">
        <f t="array" ref="G1998">IF(TRIM(P1998)="","",IF(SUM(COUNTIF(P1998,{"*NLGD*","*FWG*"}))&gt;0,P1998,IF(SUM(COUNTIF(P1998,{"*GL*","*DGB*","*DGI*","*GT*","*CS*","*PWU*","*DBI*","*SWU*"}))=0,P1998,IF(IFERROR(VALUE(SUBSTITUTE(SUBSTITUTE(O1998,"W",""),"""","")),0)&gt;52,P1998&amp;"-OVRSIZE-",P1998))))</f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s="18" t="str">
        <v/>
      </c>
      <c r="O1998" s="15" t="str" cm="1">
        <f t="array" ref="O1998">IFERROR(_xlfn.LET(
_xlpm.clean,TRIM(SUBSTITUTE(SUBSTITUTE(P1998,CHAR(160),"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8" t="str">
        <f t="shared" si="32"/>
        <v/>
      </c>
    </row>
    <row r="1999" spans="3:19" ht="15.75" customHeight="1">
      <c r="C1999" s="15" t="str" cm="1">
        <f t="array" ref="C1999">IFERROR(_xlfn.TEXTJOIN("",TRUE,_xlfn._xlws.FILTER(MID(S1999,_xlfn.SEQUENCE(LEN(S1999)),1),ISNUMBER(SEARCH(MID(S1999,_xlfn.SEQUENCE(LEN(S1999)),1),"ABCDEFGHIJKLMNOPQRSTUVWXYZabcdefghijklmnopqrstuvwxyz0123456789,")))),"")</f>
        <v/>
      </c>
      <c r="G1999" s="20" t="str" cm="1">
        <f t="array" ref="G1999">IF(TRIM(P1999)="","",IF(SUM(COUNTIF(P1999,{"*NLGD*","*FWG*"}))&gt;0,P1999,IF(SUM(COUNTIF(P1999,{"*GL*","*DGB*","*DGI*","*GT*","*CS*","*PWU*","*DBI*","*SWU*"}))=0,P1999,IF(IFERROR(VALUE(SUBSTITUTE(SUBSTITUTE(O1999,"W",""),"""","")),0)&gt;52,P1999&amp;"-OVRSIZE-",P1999))))</f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s="18" t="str">
        <v/>
      </c>
      <c r="O1999" s="15" t="str" cm="1">
        <f t="array" ref="O1999">IFERROR(_xlfn.LET(
_xlpm.clean,TRIM(SUBSTITUTE(SUBSTITUTE(P1999,CHAR(160),"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9" t="str">
        <f t="shared" si="32"/>
        <v/>
      </c>
    </row>
    <row r="2000" spans="3:19" ht="15.75" customHeight="1">
      <c r="C2000" s="15" t="str" cm="1">
        <f t="array" ref="C2000">IFERROR(_xlfn.TEXTJOIN("",TRUE,_xlfn._xlws.FILTER(MID(S2000,_xlfn.SEQUENCE(LEN(S2000)),1),ISNUMBER(SEARCH(MID(S2000,_xlfn.SEQUENCE(LEN(S2000)),1),"ABCDEFGHIJKLMNOPQRSTUVWXYZabcdefghijklmnopqrstuvwxyz0123456789,")))),"")</f>
        <v/>
      </c>
      <c r="G2000" s="20" t="str" cm="1">
        <f t="array" ref="G2000">IF(TRIM(P2000)="","",IF(SUM(COUNTIF(P2000,{"*NLGD*","*FWG*"}))&gt;0,P2000,IF(SUM(COUNTIF(P2000,{"*GL*","*DGB*","*DGI*","*GT*","*CS*","*PWU*","*DBI*","*SWU*"}))=0,P2000,IF(IFERROR(VALUE(SUBSTITUTE(SUBSTITUTE(O2000,"W",""),"""","")),0)&gt;52,P2000&amp;"-OVRSIZE-",P2000))))</f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s="18" t="str">
        <v/>
      </c>
      <c r="O2000" s="15" t="str" cm="1">
        <f t="array" ref="O2000">IFERROR(_xlfn.LET(
_xlpm.clean,TRIM(SUBSTITUTE(SUBSTITUTE(P2000,CHAR(160),"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0" t="str">
        <f t="shared" si="32"/>
        <v/>
      </c>
    </row>
    <row r="2001" spans="3:19" ht="15.75" customHeight="1">
      <c r="C2001" s="15" t="str" cm="1">
        <f t="array" ref="C2001">IFERROR(_xlfn.TEXTJOIN("",TRUE,_xlfn._xlws.FILTER(MID(S2001,_xlfn.SEQUENCE(LEN(S2001)),1),ISNUMBER(SEARCH(MID(S2001,_xlfn.SEQUENCE(LEN(S2001)),1),"ABCDEFGHIJKLMNOPQRSTUVWXYZabcdefghijklmnopqrstuvwxyz0123456789,")))),"")</f>
        <v/>
      </c>
      <c r="G2001" s="20" t="str" cm="1">
        <f t="array" ref="G2001">IF(TRIM(P2001)="","",IF(SUM(COUNTIF(P2001,{"*NLGD*","*FWG*"}))&gt;0,P2001,IF(SUM(COUNTIF(P2001,{"*GL*","*DGB*","*DGI*","*GT*","*CS*","*PWU*","*DBI*","*SWU*"}))=0,P2001,IF(IFERROR(VALUE(SUBSTITUTE(SUBSTITUTE(O2001,"W",""),"""","")),0)&gt;52,P2001&amp;"-OVRSIZE-",P2001))))</f>
        <v/>
      </c>
      <c r="O2001" s="15" t="str" cm="1">
        <f t="array" ref="O2001">IFERROR(_xlfn.LET(
_xlpm.clean,TRIM(SUBSTITUTE(SUBSTITUTE(P2001,CHAR(160),"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1" t="str">
        <f t="shared" si="32"/>
        <v/>
      </c>
    </row>
    <row r="2002" spans="3:19" ht="15.75" customHeight="1">
      <c r="C2002" s="15" t="str" cm="1">
        <f t="array" ref="C2002">IFERROR(_xlfn.TEXTJOIN("",TRUE,_xlfn._xlws.FILTER(MID(S2002,_xlfn.SEQUENCE(LEN(S2002)),1),ISNUMBER(SEARCH(MID(S2002,_xlfn.SEQUENCE(LEN(S2002)),1),"ABCDEFGHIJKLMNOPQRSTUVWXYZabcdefghijklmnopqrstuvwxyz0123456789,")))),"")</f>
        <v/>
      </c>
      <c r="G2002" s="20" t="str" cm="1">
        <f t="array" ref="G2002">IF(TRIM(P2002)="","",IF(SUM(COUNTIF(P2002,{"*NLGD*","*FWG*"}))&gt;0,P2002,IF(SUM(COUNTIF(P2002,{"*GL*","*DGB*","*DGI*","*GT*","*CS*","*PWU*","*DBI*","*SWU*"}))=0,P2002,IF(IFERROR(VALUE(SUBSTITUTE(SUBSTITUTE(O2002,"W",""),"""","")),0)&gt;52,P2002&amp;"-OVRSIZE-",P2002))))</f>
        <v/>
      </c>
      <c r="O2002" s="15" t="str" cm="1">
        <f t="array" ref="O2002">IFERROR(_xlfn.LET(
_xlpm.clean,TRIM(SUBSTITUTE(SUBSTITUTE(P2002,CHAR(160),"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2" t="str">
        <f t="shared" si="32"/>
        <v/>
      </c>
    </row>
    <row r="2003" spans="3:19" ht="15.75" customHeight="1">
      <c r="C2003" s="15" t="str" cm="1">
        <f t="array" ref="C2003">IFERROR(_xlfn.TEXTJOIN("",TRUE,_xlfn._xlws.FILTER(MID(S2003,_xlfn.SEQUENCE(LEN(S2003)),1),ISNUMBER(SEARCH(MID(S2003,_xlfn.SEQUENCE(LEN(S2003)),1),"ABCDEFGHIJKLMNOPQRSTUVWXYZabcdefghijklmnopqrstuvwxyz0123456789,")))),"")</f>
        <v/>
      </c>
      <c r="G2003" s="20" t="str" cm="1">
        <f t="array" ref="G2003">IF(TRIM(P2003)="","",IF(SUM(COUNTIF(P2003,{"*NLGD*","*FWG*"}))&gt;0,P2003,IF(SUM(COUNTIF(P2003,{"*GL*","*DGB*","*DGI*","*GT*","*CS*","*PWU*","*DBI*","*SWU*"}))=0,P2003,IF(IFERROR(VALUE(SUBSTITUTE(SUBSTITUTE(O2003,"W",""),"""","")),0)&gt;52,P2003&amp;"-OVRSIZE-",P2003))))</f>
        <v/>
      </c>
      <c r="O2003" s="15" t="str" cm="1">
        <f t="array" ref="O2003">IFERROR(_xlfn.LET(
_xlpm.clean,TRIM(SUBSTITUTE(SUBSTITUTE(P2003,CHAR(160),"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3" t="str">
        <f t="shared" si="32"/>
        <v/>
      </c>
    </row>
    <row r="2004" spans="3:19" ht="15.75" customHeight="1">
      <c r="C2004" s="15" t="str" cm="1">
        <f t="array" ref="C2004">IFERROR(_xlfn.TEXTJOIN("",TRUE,_xlfn._xlws.FILTER(MID(S2004,_xlfn.SEQUENCE(LEN(S2004)),1),ISNUMBER(SEARCH(MID(S2004,_xlfn.SEQUENCE(LEN(S2004)),1),"ABCDEFGHIJKLMNOPQRSTUVWXYZabcdefghijklmnopqrstuvwxyz0123456789,")))),"")</f>
        <v/>
      </c>
      <c r="G2004" s="20" t="str" cm="1">
        <f t="array" ref="G2004">IF(TRIM(P2004)="","",IF(SUM(COUNTIF(P2004,{"*NLGD*","*FWG*"}))&gt;0,P2004,IF(SUM(COUNTIF(P2004,{"*GL*","*DGB*","*DGI*","*GT*","*CS*","*PWU*","*DBI*","*SWU*"}))=0,P2004,IF(IFERROR(VALUE(SUBSTITUTE(SUBSTITUTE(O2004,"W",""),"""","")),0)&gt;52,P2004&amp;"-OVRSIZE-",P2004))))</f>
        <v/>
      </c>
      <c r="O2004" s="15" t="str" cm="1">
        <f t="array" ref="O2004">IFERROR(_xlfn.LET(
_xlpm.clean,TRIM(SUBSTITUTE(SUBSTITUTE(P2004,CHAR(160),"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4" t="str">
        <f t="shared" si="32"/>
        <v/>
      </c>
    </row>
    <row r="2005" spans="3:19" ht="15.75" customHeight="1">
      <c r="C2005" s="15" t="str" cm="1">
        <f t="array" ref="C2005">IFERROR(_xlfn.TEXTJOIN("",TRUE,_xlfn._xlws.FILTER(MID(S2005,_xlfn.SEQUENCE(LEN(S2005)),1),ISNUMBER(SEARCH(MID(S2005,_xlfn.SEQUENCE(LEN(S2005)),1),"ABCDEFGHIJKLMNOPQRSTUVWXYZabcdefghijklmnopqrstuvwxyz0123456789,")))),"")</f>
        <v/>
      </c>
      <c r="G2005" s="20" t="str" cm="1">
        <f t="array" ref="G2005">IF(TRIM(P2005)="","",IF(SUM(COUNTIF(P2005,{"*NLGD*","*FWG*"}))&gt;0,P2005,IF(SUM(COUNTIF(P2005,{"*GL*","*DGB*","*DGI*","*GT*","*CS*","*PWU*","*DBI*","*SWU*"}))=0,P2005,IF(IFERROR(VALUE(SUBSTITUTE(SUBSTITUTE(O2005,"W",""),"""","")),0)&gt;52,P2005&amp;"-OVRSIZE-",P2005))))</f>
        <v/>
      </c>
      <c r="O2005" s="15" t="str" cm="1">
        <f t="array" ref="O2005">IFERROR(_xlfn.LET(
_xlpm.clean,TRIM(SUBSTITUTE(SUBSTITUTE(P2005,CHAR(160),"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5" t="str">
        <f t="shared" si="32"/>
        <v/>
      </c>
    </row>
    <row r="2006" spans="3:19" ht="15.75" customHeight="1">
      <c r="C2006" s="15" t="str" cm="1">
        <f t="array" ref="C2006">IFERROR(_xlfn.TEXTJOIN("",TRUE,_xlfn._xlws.FILTER(MID(S2006,_xlfn.SEQUENCE(LEN(S2006)),1),ISNUMBER(SEARCH(MID(S2006,_xlfn.SEQUENCE(LEN(S2006)),1),"ABCDEFGHIJKLMNOPQRSTUVWXYZabcdefghijklmnopqrstuvwxyz0123456789,")))),"")</f>
        <v/>
      </c>
      <c r="G2006" s="20" t="str" cm="1">
        <f t="array" ref="G2006">IF(TRIM(P2006)="","",IF(SUM(COUNTIF(P2006,{"*NLGD*","*FWG*"}))&gt;0,P2006,IF(SUM(COUNTIF(P2006,{"*GL*","*DGB*","*DGI*","*GT*","*CS*","*PWU*","*DBI*","*SWU*"}))=0,P2006,IF(IFERROR(VALUE(SUBSTITUTE(SUBSTITUTE(O2006,"W",""),"""","")),0)&gt;52,P2006&amp;"-OVRSIZE-",P2006))))</f>
        <v/>
      </c>
      <c r="O2006" s="15" t="str" cm="1">
        <f t="array" ref="O2006">IFERROR(_xlfn.LET(
_xlpm.clean,TRIM(SUBSTITUTE(SUBSTITUTE(P2006,CHAR(160),"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6" t="str">
        <f t="shared" si="32"/>
        <v/>
      </c>
    </row>
    <row r="2007" spans="3:19" ht="15.75" customHeight="1">
      <c r="C2007" s="15" t="str" cm="1">
        <f t="array" ref="C2007">IFERROR(_xlfn.TEXTJOIN("",TRUE,_xlfn._xlws.FILTER(MID(S2007,_xlfn.SEQUENCE(LEN(S2007)),1),ISNUMBER(SEARCH(MID(S2007,_xlfn.SEQUENCE(LEN(S2007)),1),"ABCDEFGHIJKLMNOPQRSTUVWXYZabcdefghijklmnopqrstuvwxyz0123456789,")))),"")</f>
        <v/>
      </c>
      <c r="G2007" s="20" t="str" cm="1">
        <f t="array" ref="G2007">IF(TRIM(P2007)="","",IF(SUM(COUNTIF(P2007,{"*NLGD*","*FWG*"}))&gt;0,P2007,IF(SUM(COUNTIF(P2007,{"*GL*","*DGB*","*DGI*","*GT*","*CS*","*PWU*","*DBI*","*SWU*"}))=0,P2007,IF(IFERROR(VALUE(SUBSTITUTE(SUBSTITUTE(O2007,"W",""),"""","")),0)&gt;52,P2007&amp;"-OVRSIZE-",P2007))))</f>
        <v/>
      </c>
      <c r="O2007" s="15" t="str" cm="1">
        <f t="array" ref="O2007">IFERROR(_xlfn.LET(
_xlpm.clean,TRIM(SUBSTITUTE(SUBSTITUTE(P2007,CHAR(160),"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7" t="str">
        <f t="shared" si="32"/>
        <v/>
      </c>
    </row>
    <row r="2008" spans="3:19" ht="15.75" customHeight="1">
      <c r="C2008" s="15" t="str" cm="1">
        <f t="array" ref="C2008">IFERROR(_xlfn.TEXTJOIN("",TRUE,_xlfn._xlws.FILTER(MID(S2008,_xlfn.SEQUENCE(LEN(S2008)),1),ISNUMBER(SEARCH(MID(S2008,_xlfn.SEQUENCE(LEN(S2008)),1),"ABCDEFGHIJKLMNOPQRSTUVWXYZabcdefghijklmnopqrstuvwxyz0123456789,")))),"")</f>
        <v/>
      </c>
      <c r="G2008" s="20" t="str" cm="1">
        <f t="array" ref="G2008">IF(TRIM(P2008)="","",IF(SUM(COUNTIF(P2008,{"*NLGD*","*FWG*"}))&gt;0,P2008,IF(SUM(COUNTIF(P2008,{"*GL*","*DGB*","*DGI*","*GT*","*CS*","*PWU*","*DBI*","*SWU*"}))=0,P2008,IF(IFERROR(VALUE(SUBSTITUTE(SUBSTITUTE(O2008,"W",""),"""","")),0)&gt;52,P2008&amp;"-OVRSIZE-",P2008))))</f>
        <v/>
      </c>
      <c r="O2008" s="15" t="str" cm="1">
        <f t="array" ref="O2008">IFERROR(_xlfn.LET(
_xlpm.clean,TRIM(SUBSTITUTE(SUBSTITUTE(P2008,CHAR(160),"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8" t="str">
        <f t="shared" si="32"/>
        <v/>
      </c>
    </row>
    <row r="2009" spans="3:19" ht="15.75" customHeight="1">
      <c r="C2009" s="15" t="str" cm="1">
        <f t="array" ref="C2009">IFERROR(_xlfn.TEXTJOIN("",TRUE,_xlfn._xlws.FILTER(MID(S2009,_xlfn.SEQUENCE(LEN(S2009)),1),ISNUMBER(SEARCH(MID(S2009,_xlfn.SEQUENCE(LEN(S2009)),1),"ABCDEFGHIJKLMNOPQRSTUVWXYZabcdefghijklmnopqrstuvwxyz0123456789,")))),"")</f>
        <v/>
      </c>
      <c r="G2009" s="20" t="str" cm="1">
        <f t="array" ref="G2009">IF(TRIM(P2009)="","",IF(SUM(COUNTIF(P2009,{"*NLGD*","*FWG*"}))&gt;0,P2009,IF(SUM(COUNTIF(P2009,{"*GL*","*DGB*","*DGI*","*GT*","*CS*","*PWU*","*DBI*","*SWU*"}))=0,P2009,IF(IFERROR(VALUE(SUBSTITUTE(SUBSTITUTE(O2009,"W",""),"""","")),0)&gt;52,P2009&amp;"-OVRSIZE-",P2009))))</f>
        <v/>
      </c>
      <c r="O2009" s="15" t="str" cm="1">
        <f t="array" ref="O2009">IFERROR(_xlfn.LET(
_xlpm.clean,TRIM(SUBSTITUTE(SUBSTITUTE(P2009,CHAR(160),"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9" t="str">
        <f t="shared" si="32"/>
        <v/>
      </c>
    </row>
    <row r="2010" spans="3:19" ht="15.75" customHeight="1">
      <c r="C2010" s="15" t="str" cm="1">
        <f t="array" ref="C2010">IFERROR(_xlfn.TEXTJOIN("",TRUE,_xlfn._xlws.FILTER(MID(S2010,_xlfn.SEQUENCE(LEN(S2010)),1),ISNUMBER(SEARCH(MID(S2010,_xlfn.SEQUENCE(LEN(S2010)),1),"ABCDEFGHIJKLMNOPQRSTUVWXYZabcdefghijklmnopqrstuvwxyz0123456789,")))),"")</f>
        <v/>
      </c>
      <c r="G2010" s="20" t="str" cm="1">
        <f t="array" ref="G2010">IF(TRIM(P2010)="","",IF(SUM(COUNTIF(P2010,{"*NLGD*","*FWG*"}))&gt;0,P2010,IF(SUM(COUNTIF(P2010,{"*GL*","*DGB*","*DGI*","*GT*","*CS*","*PWU*","*DBI*","*SWU*"}))=0,P2010,IF(IFERROR(VALUE(SUBSTITUTE(SUBSTITUTE(O2010,"W",""),"""","")),0)&gt;52,P2010&amp;"-OVRSIZE-",P2010))))</f>
        <v/>
      </c>
      <c r="O2010" s="15" t="str" cm="1">
        <f t="array" ref="O2010">IFERROR(_xlfn.LET(
_xlpm.clean,TRIM(SUBSTITUTE(SUBSTITUTE(P2010,CHAR(160),"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0" t="str">
        <f t="shared" si="32"/>
        <v/>
      </c>
    </row>
    <row r="2011" spans="3:19" ht="15.75" customHeight="1">
      <c r="C2011" s="15" t="str" cm="1">
        <f t="array" ref="C2011">IFERROR(_xlfn.TEXTJOIN("",TRUE,_xlfn._xlws.FILTER(MID(S2011,_xlfn.SEQUENCE(LEN(S2011)),1),ISNUMBER(SEARCH(MID(S2011,_xlfn.SEQUENCE(LEN(S2011)),1),"ABCDEFGHIJKLMNOPQRSTUVWXYZabcdefghijklmnopqrstuvwxyz0123456789,")))),"")</f>
        <v/>
      </c>
      <c r="G2011" s="20" t="str" cm="1">
        <f t="array" ref="G2011">IF(TRIM(P2011)="","",IF(SUM(COUNTIF(P2011,{"*NLGD*","*FWG*"}))&gt;0,P2011,IF(SUM(COUNTIF(P2011,{"*GL*","*DGB*","*DGI*","*GT*","*CS*","*PWU*","*DBI*","*SWU*"}))=0,P2011,IF(IFERROR(VALUE(SUBSTITUTE(SUBSTITUTE(O2011,"W",""),"""","")),0)&gt;52,P2011&amp;"-OVRSIZE-",P2011))))</f>
        <v/>
      </c>
      <c r="O2011" s="15" t="str" cm="1">
        <f t="array" ref="O2011">IFERROR(_xlfn.LET(
_xlpm.clean,TRIM(SUBSTITUTE(SUBSTITUTE(P2011,CHAR(160),"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1" t="str">
        <f t="shared" si="32"/>
        <v/>
      </c>
    </row>
    <row r="2012" spans="3:19" ht="15.75" customHeight="1">
      <c r="C2012" s="15" t="str" cm="1">
        <f t="array" ref="C2012">IFERROR(_xlfn.TEXTJOIN("",TRUE,_xlfn._xlws.FILTER(MID(S2012,_xlfn.SEQUENCE(LEN(S2012)),1),ISNUMBER(SEARCH(MID(S2012,_xlfn.SEQUENCE(LEN(S2012)),1),"ABCDEFGHIJKLMNOPQRSTUVWXYZabcdefghijklmnopqrstuvwxyz0123456789,")))),"")</f>
        <v/>
      </c>
      <c r="G2012" s="20" t="str" cm="1">
        <f t="array" ref="G2012">IF(TRIM(P2012)="","",IF(SUM(COUNTIF(P2012,{"*NLGD*","*FWG*"}))&gt;0,P2012,IF(SUM(COUNTIF(P2012,{"*GL*","*DGB*","*DGI*","*GT*","*CS*","*PWU*","*DBI*","*SWU*"}))=0,P2012,IF(IFERROR(VALUE(SUBSTITUTE(SUBSTITUTE(O2012,"W",""),"""","")),0)&gt;52,P2012&amp;"-OVRSIZE-",P2012))))</f>
        <v/>
      </c>
      <c r="O2012" s="15" t="str" cm="1">
        <f t="array" ref="O2012">IFERROR(_xlfn.LET(
_xlpm.clean,TRIM(SUBSTITUTE(SUBSTITUTE(P2012,CHAR(160),"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2" t="str">
        <f t="shared" si="32"/>
        <v/>
      </c>
    </row>
    <row r="2013" spans="3:19" ht="15.75" customHeight="1">
      <c r="C2013" s="15" t="str" cm="1">
        <f t="array" ref="C2013">IFERROR(_xlfn.TEXTJOIN("",TRUE,_xlfn._xlws.FILTER(MID(S2013,_xlfn.SEQUENCE(LEN(S2013)),1),ISNUMBER(SEARCH(MID(S2013,_xlfn.SEQUENCE(LEN(S2013)),1),"ABCDEFGHIJKLMNOPQRSTUVWXYZabcdefghijklmnopqrstuvwxyz0123456789,")))),"")</f>
        <v/>
      </c>
      <c r="G2013" s="20" t="str" cm="1">
        <f t="array" ref="G2013">IF(TRIM(P2013)="","",IF(SUM(COUNTIF(P2013,{"*NLGD*","*FWG*"}))&gt;0,P2013,IF(SUM(COUNTIF(P2013,{"*GL*","*DGB*","*DGI*","*GT*","*CS*","*PWU*","*DBI*","*SWU*"}))=0,P2013,IF(IFERROR(VALUE(SUBSTITUTE(SUBSTITUTE(O2013,"W",""),"""","")),0)&gt;52,P2013&amp;"-OVRSIZE-",P2013))))</f>
        <v/>
      </c>
      <c r="O2013" s="15" t="str" cm="1">
        <f t="array" ref="O2013">IFERROR(_xlfn.LET(
_xlpm.clean,TRIM(SUBSTITUTE(SUBSTITUTE(P2013,CHAR(160),"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3" t="str">
        <f t="shared" si="32"/>
        <v/>
      </c>
    </row>
    <row r="2014" spans="3:19" ht="15.75" customHeight="1">
      <c r="C2014" s="15" t="str" cm="1">
        <f t="array" ref="C2014">IFERROR(_xlfn.TEXTJOIN("",TRUE,_xlfn._xlws.FILTER(MID(S2014,_xlfn.SEQUENCE(LEN(S2014)),1),ISNUMBER(SEARCH(MID(S2014,_xlfn.SEQUENCE(LEN(S2014)),1),"ABCDEFGHIJKLMNOPQRSTUVWXYZabcdefghijklmnopqrstuvwxyz0123456789,")))),"")</f>
        <v/>
      </c>
      <c r="G2014" s="20" t="str" cm="1">
        <f t="array" ref="G2014">IF(TRIM(P2014)="","",IF(SUM(COUNTIF(P2014,{"*NLGD*","*FWG*"}))&gt;0,P2014,IF(SUM(COUNTIF(P2014,{"*GL*","*DGB*","*DGI*","*GT*","*CS*","*PWU*","*DBI*","*SWU*"}))=0,P2014,IF(IFERROR(VALUE(SUBSTITUTE(SUBSTITUTE(O2014,"W",""),"""","")),0)&gt;52,P2014&amp;"-OVRSIZE-",P2014))))</f>
        <v/>
      </c>
      <c r="O2014" s="15" t="str" cm="1">
        <f t="array" ref="O2014">IFERROR(_xlfn.LET(
_xlpm.clean,TRIM(SUBSTITUTE(SUBSTITUTE(P2014,CHAR(160),"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4" t="str">
        <f t="shared" si="32"/>
        <v/>
      </c>
    </row>
    <row r="2015" spans="3:19" ht="15.75" customHeight="1">
      <c r="C2015" s="15" t="str" cm="1">
        <f t="array" ref="C2015">IFERROR(_xlfn.TEXTJOIN("",TRUE,_xlfn._xlws.FILTER(MID(S2015,_xlfn.SEQUENCE(LEN(S2015)),1),ISNUMBER(SEARCH(MID(S2015,_xlfn.SEQUENCE(LEN(S2015)),1),"ABCDEFGHIJKLMNOPQRSTUVWXYZabcdefghijklmnopqrstuvwxyz0123456789,")))),"")</f>
        <v/>
      </c>
      <c r="G2015" s="20" t="str" cm="1">
        <f t="array" ref="G2015">IF(TRIM(P2015)="","",IF(SUM(COUNTIF(P2015,{"*NLGD*","*FWG*"}))&gt;0,P2015,IF(SUM(COUNTIF(P2015,{"*GL*","*DGB*","*DGI*","*GT*","*CS*","*PWU*","*DBI*","*SWU*"}))=0,P2015,IF(IFERROR(VALUE(SUBSTITUTE(SUBSTITUTE(O2015,"W",""),"""","")),0)&gt;52,P2015&amp;"-OVRSIZE-",P2015))))</f>
        <v/>
      </c>
      <c r="O2015" s="15" t="str" cm="1">
        <f t="array" ref="O2015">IFERROR(_xlfn.LET(
_xlpm.clean,TRIM(SUBSTITUTE(SUBSTITUTE(P2015,CHAR(160),"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5" t="str">
        <f t="shared" si="32"/>
        <v/>
      </c>
    </row>
    <row r="2016" spans="3:19" ht="15.75" customHeight="1">
      <c r="C2016" s="15" t="str" cm="1">
        <f t="array" ref="C2016">IFERROR(_xlfn.TEXTJOIN("",TRUE,_xlfn._xlws.FILTER(MID(S2016,_xlfn.SEQUENCE(LEN(S2016)),1),ISNUMBER(SEARCH(MID(S2016,_xlfn.SEQUENCE(LEN(S2016)),1),"ABCDEFGHIJKLMNOPQRSTUVWXYZabcdefghijklmnopqrstuvwxyz0123456789,")))),"")</f>
        <v/>
      </c>
      <c r="G2016" s="20" t="str" cm="1">
        <f t="array" ref="G2016">IF(TRIM(P2016)="","",IF(SUM(COUNTIF(P2016,{"*NLGD*","*FWG*"}))&gt;0,P2016,IF(SUM(COUNTIF(P2016,{"*GL*","*DGB*","*DGI*","*GT*","*CS*","*PWU*","*DBI*","*SWU*"}))=0,P2016,IF(IFERROR(VALUE(SUBSTITUTE(SUBSTITUTE(O2016,"W",""),"""","")),0)&gt;52,P2016&amp;"-OVRSIZE-",P2016))))</f>
        <v/>
      </c>
      <c r="O2016" s="15" t="str" cm="1">
        <f t="array" ref="O2016">IFERROR(_xlfn.LET(
_xlpm.clean,TRIM(SUBSTITUTE(SUBSTITUTE(P2016,CHAR(160),"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6" t="str">
        <f t="shared" si="32"/>
        <v/>
      </c>
    </row>
    <row r="2017" spans="3:19" ht="15.75" customHeight="1">
      <c r="C2017" s="15" t="str" cm="1">
        <f t="array" ref="C2017">IFERROR(_xlfn.TEXTJOIN("",TRUE,_xlfn._xlws.FILTER(MID(S2017,_xlfn.SEQUENCE(LEN(S2017)),1),ISNUMBER(SEARCH(MID(S2017,_xlfn.SEQUENCE(LEN(S2017)),1),"ABCDEFGHIJKLMNOPQRSTUVWXYZabcdefghijklmnopqrstuvwxyz0123456789,")))),"")</f>
        <v/>
      </c>
      <c r="G2017" s="20" t="str" cm="1">
        <f t="array" ref="G2017">IF(TRIM(P2017)="","",IF(SUM(COUNTIF(P2017,{"*NLGD*","*FWG*"}))&gt;0,P2017,IF(SUM(COUNTIF(P2017,{"*GL*","*DGB*","*DGI*","*GT*","*CS*","*PWU*","*DBI*","*SWU*"}))=0,P2017,IF(IFERROR(VALUE(SUBSTITUTE(SUBSTITUTE(O2017,"W",""),"""","")),0)&gt;52,P2017&amp;"-OVRSIZE-",P2017))))</f>
        <v/>
      </c>
      <c r="O2017" s="15" t="str" cm="1">
        <f t="array" ref="O2017">IFERROR(_xlfn.LET(
_xlpm.clean,TRIM(SUBSTITUTE(SUBSTITUTE(P2017,CHAR(160),"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7" t="str">
        <f t="shared" si="32"/>
        <v/>
      </c>
    </row>
    <row r="2018" spans="3:19" ht="15.75" customHeight="1">
      <c r="C2018" s="15" t="str" cm="1">
        <f t="array" ref="C2018">IFERROR(_xlfn.TEXTJOIN("",TRUE,_xlfn._xlws.FILTER(MID(S2018,_xlfn.SEQUENCE(LEN(S2018)),1),ISNUMBER(SEARCH(MID(S2018,_xlfn.SEQUENCE(LEN(S2018)),1),"ABCDEFGHIJKLMNOPQRSTUVWXYZabcdefghijklmnopqrstuvwxyz0123456789,")))),"")</f>
        <v/>
      </c>
      <c r="G2018" s="20" t="str" cm="1">
        <f t="array" ref="G2018">IF(TRIM(P2018)="","",IF(SUM(COUNTIF(P2018,{"*NLGD*","*FWG*"}))&gt;0,P2018,IF(SUM(COUNTIF(P2018,{"*GL*","*DGB*","*DGI*","*GT*","*CS*","*PWU*","*DBI*","*SWU*"}))=0,P2018,IF(IFERROR(VALUE(SUBSTITUTE(SUBSTITUTE(O2018,"W",""),"""","")),0)&gt;52,P2018&amp;"-OVRSIZE-",P2018))))</f>
        <v/>
      </c>
      <c r="O2018" s="15" t="str" cm="1">
        <f t="array" ref="O2018">IFERROR(_xlfn.LET(
_xlpm.clean,TRIM(SUBSTITUTE(SUBSTITUTE(P2018,CHAR(160),"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8" t="str">
        <f t="shared" si="32"/>
        <v/>
      </c>
    </row>
    <row r="2019" spans="3:19" ht="15.75" customHeight="1">
      <c r="C2019" s="15" t="str" cm="1">
        <f t="array" ref="C2019">IFERROR(_xlfn.TEXTJOIN("",TRUE,_xlfn._xlws.FILTER(MID(S2019,_xlfn.SEQUENCE(LEN(S2019)),1),ISNUMBER(SEARCH(MID(S2019,_xlfn.SEQUENCE(LEN(S2019)),1),"ABCDEFGHIJKLMNOPQRSTUVWXYZabcdefghijklmnopqrstuvwxyz0123456789,")))),"")</f>
        <v/>
      </c>
      <c r="G2019" s="20" t="str" cm="1">
        <f t="array" ref="G2019">IF(TRIM(P2019)="","",IF(SUM(COUNTIF(P2019,{"*NLGD*","*FWG*"}))&gt;0,P2019,IF(SUM(COUNTIF(P2019,{"*GL*","*DGB*","*DGI*","*GT*","*CS*","*PWU*","*DBI*","*SWU*"}))=0,P2019,IF(IFERROR(VALUE(SUBSTITUTE(SUBSTITUTE(O2019,"W",""),"""","")),0)&gt;52,P2019&amp;"-OVRSIZE-",P2019))))</f>
        <v/>
      </c>
      <c r="O2019" s="15" t="str" cm="1">
        <f t="array" ref="O2019">IFERROR(_xlfn.LET(
_xlpm.clean,TRIM(SUBSTITUTE(SUBSTITUTE(P2019,CHAR(160),"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9" t="str">
        <f t="shared" si="32"/>
        <v/>
      </c>
    </row>
    <row r="2020" spans="3:19" ht="15.75" customHeight="1">
      <c r="C2020" s="15" t="str" cm="1">
        <f t="array" ref="C2020">IFERROR(_xlfn.TEXTJOIN("",TRUE,_xlfn._xlws.FILTER(MID(S2020,_xlfn.SEQUENCE(LEN(S2020)),1),ISNUMBER(SEARCH(MID(S2020,_xlfn.SEQUENCE(LEN(S2020)),1),"ABCDEFGHIJKLMNOPQRSTUVWXYZabcdefghijklmnopqrstuvwxyz0123456789,")))),"")</f>
        <v/>
      </c>
      <c r="G2020" s="20" t="str" cm="1">
        <f t="array" ref="G2020">IF(TRIM(P2020)="","",IF(SUM(COUNTIF(P2020,{"*NLGD*","*FWG*"}))&gt;0,P2020,IF(SUM(COUNTIF(P2020,{"*GL*","*DGB*","*DGI*","*GT*","*CS*","*PWU*","*DBI*","*SWU*"}))=0,P2020,IF(IFERROR(VALUE(SUBSTITUTE(SUBSTITUTE(O2020,"W",""),"""","")),0)&gt;52,P2020&amp;"-OVRSIZE-",P2020))))</f>
        <v/>
      </c>
      <c r="O2020" s="15" t="str" cm="1">
        <f t="array" ref="O2020">IFERROR(_xlfn.LET(
_xlpm.clean,TRIM(SUBSTITUTE(SUBSTITUTE(P2020,CHAR(160),"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0" t="str">
        <f t="shared" si="32"/>
        <v/>
      </c>
    </row>
    <row r="2021" spans="3:19" ht="15.75" customHeight="1">
      <c r="C2021" s="15" t="str" cm="1">
        <f t="array" ref="C2021">IFERROR(_xlfn.TEXTJOIN("",TRUE,_xlfn._xlws.FILTER(MID(S2021,_xlfn.SEQUENCE(LEN(S2021)),1),ISNUMBER(SEARCH(MID(S2021,_xlfn.SEQUENCE(LEN(S2021)),1),"ABCDEFGHIJKLMNOPQRSTUVWXYZabcdefghijklmnopqrstuvwxyz0123456789,")))),"")</f>
        <v/>
      </c>
      <c r="G2021" s="20" t="str" cm="1">
        <f t="array" ref="G2021">IF(TRIM(P2021)="","",IF(SUM(COUNTIF(P2021,{"*NLGD*","*FWG*"}))&gt;0,P2021,IF(SUM(COUNTIF(P2021,{"*GL*","*DGB*","*DGI*","*GT*","*CS*","*PWU*","*DBI*","*SWU*"}))=0,P2021,IF(IFERROR(VALUE(SUBSTITUTE(SUBSTITUTE(O2021,"W",""),"""","")),0)&gt;52,P2021&amp;"-OVRSIZE-",P2021))))</f>
        <v/>
      </c>
      <c r="O2021" s="15" t="str" cm="1">
        <f t="array" ref="O2021">IFERROR(_xlfn.LET(
_xlpm.clean,TRIM(SUBSTITUTE(SUBSTITUTE(P2021,CHAR(160),"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1" t="str">
        <f t="shared" si="32"/>
        <v/>
      </c>
    </row>
    <row r="2022" spans="3:19" ht="15.75" customHeight="1">
      <c r="C2022" s="15" t="str" cm="1">
        <f t="array" ref="C2022">IFERROR(_xlfn.TEXTJOIN("",TRUE,_xlfn._xlws.FILTER(MID(S2022,_xlfn.SEQUENCE(LEN(S2022)),1),ISNUMBER(SEARCH(MID(S2022,_xlfn.SEQUENCE(LEN(S2022)),1),"ABCDEFGHIJKLMNOPQRSTUVWXYZabcdefghijklmnopqrstuvwxyz0123456789,")))),"")</f>
        <v/>
      </c>
      <c r="G2022" s="20" t="str" cm="1">
        <f t="array" ref="G2022">IF(TRIM(P2022)="","",IF(SUM(COUNTIF(P2022,{"*NLGD*","*FWG*"}))&gt;0,P2022,IF(SUM(COUNTIF(P2022,{"*GL*","*DGB*","*DGI*","*GT*","*CS*","*PWU*","*DBI*","*SWU*"}))=0,P2022,IF(IFERROR(VALUE(SUBSTITUTE(SUBSTITUTE(O2022,"W",""),"""","")),0)&gt;52,P2022&amp;"-OVRSIZE-",P2022))))</f>
        <v/>
      </c>
      <c r="O2022" s="15" t="str" cm="1">
        <f t="array" ref="O2022">IFERROR(_xlfn.LET(
_xlpm.clean,TRIM(SUBSTITUTE(SUBSTITUTE(P2022,CHAR(160),"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2" t="str">
        <f t="shared" si="32"/>
        <v/>
      </c>
    </row>
    <row r="2023" spans="3:19" ht="15.75" customHeight="1">
      <c r="C2023" s="15" t="str" cm="1">
        <f t="array" ref="C2023">IFERROR(_xlfn.TEXTJOIN("",TRUE,_xlfn._xlws.FILTER(MID(S2023,_xlfn.SEQUENCE(LEN(S2023)),1),ISNUMBER(SEARCH(MID(S2023,_xlfn.SEQUENCE(LEN(S2023)),1),"ABCDEFGHIJKLMNOPQRSTUVWXYZabcdefghijklmnopqrstuvwxyz0123456789,")))),"")</f>
        <v/>
      </c>
      <c r="G2023" s="20" t="str" cm="1">
        <f t="array" ref="G2023">IF(TRIM(P2023)="","",IF(SUM(COUNTIF(P2023,{"*NLGD*","*FWG*"}))&gt;0,P2023,IF(SUM(COUNTIF(P2023,{"*GL*","*DGB*","*DGI*","*GT*","*CS*","*PWU*","*DBI*","*SWU*"}))=0,P2023,IF(IFERROR(VALUE(SUBSTITUTE(SUBSTITUTE(O2023,"W",""),"""","")),0)&gt;52,P2023&amp;"-OVRSIZE-",P2023))))</f>
        <v/>
      </c>
      <c r="O2023" s="15" t="str" cm="1">
        <f t="array" ref="O2023">IFERROR(_xlfn.LET(
_xlpm.clean,TRIM(SUBSTITUTE(SUBSTITUTE(P2023,CHAR(160),"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3" t="str">
        <f t="shared" si="32"/>
        <v/>
      </c>
    </row>
    <row r="2024" spans="3:19" ht="15.75" customHeight="1">
      <c r="C2024" s="15" t="str" cm="1">
        <f t="array" ref="C2024">IFERROR(_xlfn.TEXTJOIN("",TRUE,_xlfn._xlws.FILTER(MID(S2024,_xlfn.SEQUENCE(LEN(S2024)),1),ISNUMBER(SEARCH(MID(S2024,_xlfn.SEQUENCE(LEN(S2024)),1),"ABCDEFGHIJKLMNOPQRSTUVWXYZabcdefghijklmnopqrstuvwxyz0123456789,")))),"")</f>
        <v/>
      </c>
      <c r="G2024" s="20" t="str" cm="1">
        <f t="array" ref="G2024">IF(TRIM(P2024)="","",IF(SUM(COUNTIF(P2024,{"*NLGD*","*FWG*"}))&gt;0,P2024,IF(SUM(COUNTIF(P2024,{"*GL*","*DGB*","*DGI*","*GT*","*CS*","*PWU*","*DBI*","*SWU*"}))=0,P2024,IF(IFERROR(VALUE(SUBSTITUTE(SUBSTITUTE(O2024,"W",""),"""","")),0)&gt;52,P2024&amp;"-OVRSIZE-",P2024))))</f>
        <v/>
      </c>
      <c r="O2024" s="15" t="str" cm="1">
        <f t="array" ref="O2024">IFERROR(_xlfn.LET(
_xlpm.clean,TRIM(SUBSTITUTE(SUBSTITUTE(P2024,CHAR(160),"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4" t="str">
        <f t="shared" si="32"/>
        <v/>
      </c>
    </row>
    <row r="2025" spans="3:19" ht="15.75" customHeight="1">
      <c r="C2025" s="15" t="str" cm="1">
        <f t="array" ref="C2025">IFERROR(_xlfn.TEXTJOIN("",TRUE,_xlfn._xlws.FILTER(MID(S2025,_xlfn.SEQUENCE(LEN(S2025)),1),ISNUMBER(SEARCH(MID(S2025,_xlfn.SEQUENCE(LEN(S2025)),1),"ABCDEFGHIJKLMNOPQRSTUVWXYZabcdefghijklmnopqrstuvwxyz0123456789,")))),"")</f>
        <v/>
      </c>
      <c r="G2025" s="20" t="str" cm="1">
        <f t="array" ref="G2025">IF(TRIM(P2025)="","",IF(SUM(COUNTIF(P2025,{"*NLGD*","*FWG*"}))&gt;0,P2025,IF(SUM(COUNTIF(P2025,{"*GL*","*DGB*","*DGI*","*GT*","*CS*","*PWU*","*DBI*","*SWU*"}))=0,P2025,IF(IFERROR(VALUE(SUBSTITUTE(SUBSTITUTE(O2025,"W",""),"""","")),0)&gt;52,P2025&amp;"-OVRSIZE-",P2025))))</f>
        <v/>
      </c>
      <c r="O2025" s="15" t="str" cm="1">
        <f t="array" ref="O2025">IFERROR(_xlfn.LET(
_xlpm.clean,TRIM(SUBSTITUTE(SUBSTITUTE(P2025,CHAR(160),"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5" t="str">
        <f t="shared" si="32"/>
        <v/>
      </c>
    </row>
    <row r="2026" spans="3:19" ht="15.75" customHeight="1">
      <c r="C2026" s="15" t="str" cm="1">
        <f t="array" ref="C2026">IFERROR(_xlfn.TEXTJOIN("",TRUE,_xlfn._xlws.FILTER(MID(S2026,_xlfn.SEQUENCE(LEN(S2026)),1),ISNUMBER(SEARCH(MID(S2026,_xlfn.SEQUENCE(LEN(S2026)),1),"ABCDEFGHIJKLMNOPQRSTUVWXYZabcdefghijklmnopqrstuvwxyz0123456789,")))),"")</f>
        <v/>
      </c>
      <c r="G2026" s="20" t="str" cm="1">
        <f t="array" ref="G2026">IF(TRIM(P2026)="","",IF(SUM(COUNTIF(P2026,{"*NLGD*","*FWG*"}))&gt;0,P2026,IF(SUM(COUNTIF(P2026,{"*GL*","*DGB*","*DGI*","*GT*","*CS*","*PWU*","*DBI*","*SWU*"}))=0,P2026,IF(IFERROR(VALUE(SUBSTITUTE(SUBSTITUTE(O2026,"W",""),"""","")),0)&gt;52,P2026&amp;"-OVRSIZE-",P2026))))</f>
        <v/>
      </c>
      <c r="O2026" s="15" t="str" cm="1">
        <f t="array" ref="O2026">IFERROR(_xlfn.LET(
_xlpm.clean,TRIM(SUBSTITUTE(SUBSTITUTE(P2026,CHAR(160),"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6" t="str">
        <f t="shared" si="32"/>
        <v/>
      </c>
    </row>
    <row r="2027" spans="3:19" ht="15.75" customHeight="1">
      <c r="C2027" s="15" t="str" cm="1">
        <f t="array" ref="C2027">IFERROR(_xlfn.TEXTJOIN("",TRUE,_xlfn._xlws.FILTER(MID(S2027,_xlfn.SEQUENCE(LEN(S2027)),1),ISNUMBER(SEARCH(MID(S2027,_xlfn.SEQUENCE(LEN(S2027)),1),"ABCDEFGHIJKLMNOPQRSTUVWXYZabcdefghijklmnopqrstuvwxyz0123456789,")))),"")</f>
        <v/>
      </c>
      <c r="G2027" s="20" t="str" cm="1">
        <f t="array" ref="G2027">IF(TRIM(P2027)="","",IF(SUM(COUNTIF(P2027,{"*NLGD*","*FWG*"}))&gt;0,P2027,IF(SUM(COUNTIF(P2027,{"*GL*","*DGB*","*DGI*","*GT*","*CS*","*PWU*","*DBI*","*SWU*"}))=0,P2027,IF(IFERROR(VALUE(SUBSTITUTE(SUBSTITUTE(O2027,"W",""),"""","")),0)&gt;52,P2027&amp;"-OVRSIZE-",P2027))))</f>
        <v/>
      </c>
      <c r="O2027" s="15" t="str" cm="1">
        <f t="array" ref="O2027">IFERROR(_xlfn.LET(
_xlpm.clean,TRIM(SUBSTITUTE(SUBSTITUTE(P2027,CHAR(160),"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7" t="str">
        <f t="shared" si="32"/>
        <v/>
      </c>
    </row>
    <row r="2028" spans="3:19" ht="15.75" customHeight="1">
      <c r="C2028" s="15" t="str" cm="1">
        <f t="array" ref="C2028">IFERROR(_xlfn.TEXTJOIN("",TRUE,_xlfn._xlws.FILTER(MID(S2028,_xlfn.SEQUENCE(LEN(S2028)),1),ISNUMBER(SEARCH(MID(S2028,_xlfn.SEQUENCE(LEN(S2028)),1),"ABCDEFGHIJKLMNOPQRSTUVWXYZabcdefghijklmnopqrstuvwxyz0123456789,")))),"")</f>
        <v/>
      </c>
      <c r="G2028" s="20" t="str" cm="1">
        <f t="array" ref="G2028">IF(TRIM(P2028)="","",IF(SUM(COUNTIF(P2028,{"*NLGD*","*FWG*"}))&gt;0,P2028,IF(SUM(COUNTIF(P2028,{"*GL*","*DGB*","*DGI*","*GT*","*CS*","*PWU*","*DBI*","*SWU*"}))=0,P2028,IF(IFERROR(VALUE(SUBSTITUTE(SUBSTITUTE(O2028,"W",""),"""","")),0)&gt;52,P2028&amp;"-OVRSIZE-",P2028))))</f>
        <v/>
      </c>
      <c r="O2028" s="15" t="str" cm="1">
        <f t="array" ref="O2028">IFERROR(_xlfn.LET(
_xlpm.clean,TRIM(SUBSTITUTE(SUBSTITUTE(P2028,CHAR(160),"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8" t="str">
        <f t="shared" si="32"/>
        <v/>
      </c>
    </row>
    <row r="2029" spans="3:19" ht="15.75" customHeight="1">
      <c r="C2029" s="15" t="str" cm="1">
        <f t="array" ref="C2029">IFERROR(_xlfn.TEXTJOIN("",TRUE,_xlfn._xlws.FILTER(MID(S2029,_xlfn.SEQUENCE(LEN(S2029)),1),ISNUMBER(SEARCH(MID(S2029,_xlfn.SEQUENCE(LEN(S2029)),1),"ABCDEFGHIJKLMNOPQRSTUVWXYZabcdefghijklmnopqrstuvwxyz0123456789,")))),"")</f>
        <v/>
      </c>
      <c r="G2029" s="20" t="str" cm="1">
        <f t="array" ref="G2029">IF(TRIM(P2029)="","",IF(SUM(COUNTIF(P2029,{"*NLGD*","*FWG*"}))&gt;0,P2029,IF(SUM(COUNTIF(P2029,{"*GL*","*DGB*","*DGI*","*GT*","*CS*","*PWU*","*DBI*","*SWU*"}))=0,P2029,IF(IFERROR(VALUE(SUBSTITUTE(SUBSTITUTE(O2029,"W",""),"""","")),0)&gt;52,P2029&amp;"-OVRSIZE-",P2029))))</f>
        <v/>
      </c>
      <c r="O2029" s="15" t="str" cm="1">
        <f t="array" ref="O2029">IFERROR(_xlfn.LET(
_xlpm.clean,TRIM(SUBSTITUTE(SUBSTITUTE(P2029,CHAR(160),"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9" t="str">
        <f t="shared" si="32"/>
        <v/>
      </c>
    </row>
    <row r="2030" spans="3:19" ht="15.75" customHeight="1">
      <c r="C2030" s="15" t="str" cm="1">
        <f t="array" ref="C2030">IFERROR(_xlfn.TEXTJOIN("",TRUE,_xlfn._xlws.FILTER(MID(S2030,_xlfn.SEQUENCE(LEN(S2030)),1),ISNUMBER(SEARCH(MID(S2030,_xlfn.SEQUENCE(LEN(S2030)),1),"ABCDEFGHIJKLMNOPQRSTUVWXYZabcdefghijklmnopqrstuvwxyz0123456789,")))),"")</f>
        <v/>
      </c>
      <c r="G2030" s="20" t="str" cm="1">
        <f t="array" ref="G2030">IF(TRIM(P2030)="","",IF(SUM(COUNTIF(P2030,{"*NLGD*","*FWG*"}))&gt;0,P2030,IF(SUM(COUNTIF(P2030,{"*GL*","*DGB*","*DGI*","*GT*","*CS*","*PWU*","*DBI*","*SWU*"}))=0,P2030,IF(IFERROR(VALUE(SUBSTITUTE(SUBSTITUTE(O2030,"W",""),"""","")),0)&gt;52,P2030&amp;"-OVRSIZE-",P2030))))</f>
        <v/>
      </c>
      <c r="O2030" s="15" t="str" cm="1">
        <f t="array" ref="O2030">IFERROR(_xlfn.LET(
_xlpm.clean,TRIM(SUBSTITUTE(SUBSTITUTE(P2030,CHAR(160),"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0" t="str">
        <f t="shared" si="32"/>
        <v/>
      </c>
    </row>
    <row r="2031" spans="3:19" ht="15.75" customHeight="1">
      <c r="C2031" s="15" t="str" cm="1">
        <f t="array" ref="C2031">IFERROR(_xlfn.TEXTJOIN("",TRUE,_xlfn._xlws.FILTER(MID(S2031,_xlfn.SEQUENCE(LEN(S2031)),1),ISNUMBER(SEARCH(MID(S2031,_xlfn.SEQUENCE(LEN(S2031)),1),"ABCDEFGHIJKLMNOPQRSTUVWXYZabcdefghijklmnopqrstuvwxyz0123456789,")))),"")</f>
        <v/>
      </c>
      <c r="G2031" s="20" t="str" cm="1">
        <f t="array" ref="G2031">IF(TRIM(P2031)="","",IF(SUM(COUNTIF(P2031,{"*NLGD*","*FWG*"}))&gt;0,P2031,IF(SUM(COUNTIF(P2031,{"*GL*","*DGB*","*DGI*","*GT*","*CS*","*PWU*","*DBI*","*SWU*"}))=0,P2031,IF(IFERROR(VALUE(SUBSTITUTE(SUBSTITUTE(O2031,"W",""),"""","")),0)&gt;52,P2031&amp;"-OVRSIZE-",P2031))))</f>
        <v/>
      </c>
      <c r="O2031" s="15" t="str" cm="1">
        <f t="array" ref="O2031">IFERROR(_xlfn.LET(
_xlpm.clean,TRIM(SUBSTITUTE(SUBSTITUTE(P2031,CHAR(160),"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1" t="str">
        <f t="shared" si="32"/>
        <v/>
      </c>
    </row>
    <row r="2032" spans="3:19" ht="15.75" customHeight="1">
      <c r="C2032" s="15" t="str" cm="1">
        <f t="array" ref="C2032">IFERROR(_xlfn.TEXTJOIN("",TRUE,_xlfn._xlws.FILTER(MID(S2032,_xlfn.SEQUENCE(LEN(S2032)),1),ISNUMBER(SEARCH(MID(S2032,_xlfn.SEQUENCE(LEN(S2032)),1),"ABCDEFGHIJKLMNOPQRSTUVWXYZabcdefghijklmnopqrstuvwxyz0123456789,")))),"")</f>
        <v/>
      </c>
      <c r="G2032" s="20" t="str" cm="1">
        <f t="array" ref="G2032">IF(TRIM(P2032)="","",IF(SUM(COUNTIF(P2032,{"*NLGD*","*FWG*"}))&gt;0,P2032,IF(SUM(COUNTIF(P2032,{"*GL*","*DGB*","*DGI*","*GT*","*CS*","*PWU*","*DBI*","*SWU*"}))=0,P2032,IF(IFERROR(VALUE(SUBSTITUTE(SUBSTITUTE(O2032,"W",""),"""","")),0)&gt;52,P2032&amp;"-OVRSIZE-",P2032))))</f>
        <v/>
      </c>
      <c r="O2032" s="15" t="str" cm="1">
        <f t="array" ref="O2032">IFERROR(_xlfn.LET(
_xlpm.clean,TRIM(SUBSTITUTE(SUBSTITUTE(P2032,CHAR(160),"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2" t="str">
        <f t="shared" si="32"/>
        <v/>
      </c>
    </row>
    <row r="2033" spans="3:19" ht="15.75" customHeight="1">
      <c r="C2033" s="15" t="str" cm="1">
        <f t="array" ref="C2033">IFERROR(_xlfn.TEXTJOIN("",TRUE,_xlfn._xlws.FILTER(MID(S2033,_xlfn.SEQUENCE(LEN(S2033)),1),ISNUMBER(SEARCH(MID(S2033,_xlfn.SEQUENCE(LEN(S2033)),1),"ABCDEFGHIJKLMNOPQRSTUVWXYZabcdefghijklmnopqrstuvwxyz0123456789,")))),"")</f>
        <v/>
      </c>
      <c r="G2033" s="20" t="str" cm="1">
        <f t="array" ref="G2033">IF(TRIM(P2033)="","",IF(SUM(COUNTIF(P2033,{"*NLGD*","*FWG*"}))&gt;0,P2033,IF(SUM(COUNTIF(P2033,{"*GL*","*DGB*","*DGI*","*GT*","*CS*","*PWU*","*DBI*","*SWU*"}))=0,P2033,IF(IFERROR(VALUE(SUBSTITUTE(SUBSTITUTE(O2033,"W",""),"""","")),0)&gt;52,P2033&amp;"-OVRSIZE-",P2033))))</f>
        <v/>
      </c>
      <c r="O2033" s="15" t="str" cm="1">
        <f t="array" ref="O2033">IFERROR(_xlfn.LET(
_xlpm.clean,TRIM(SUBSTITUTE(SUBSTITUTE(P2033,CHAR(160),"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3" t="str">
        <f t="shared" si="32"/>
        <v/>
      </c>
    </row>
    <row r="2034" spans="3:19" ht="15.75" customHeight="1">
      <c r="C2034" s="15" t="str" cm="1">
        <f t="array" ref="C2034">IFERROR(_xlfn.TEXTJOIN("",TRUE,_xlfn._xlws.FILTER(MID(S2034,_xlfn.SEQUENCE(LEN(S2034)),1),ISNUMBER(SEARCH(MID(S2034,_xlfn.SEQUENCE(LEN(S2034)),1),"ABCDEFGHIJKLMNOPQRSTUVWXYZabcdefghijklmnopqrstuvwxyz0123456789,")))),"")</f>
        <v/>
      </c>
      <c r="G2034" s="20" t="str" cm="1">
        <f t="array" ref="G2034">IF(TRIM(P2034)="","",IF(SUM(COUNTIF(P2034,{"*NLGD*","*FWG*"}))&gt;0,P2034,IF(SUM(COUNTIF(P2034,{"*GL*","*DGB*","*DGI*","*GT*","*CS*","*PWU*","*DBI*","*SWU*"}))=0,P2034,IF(IFERROR(VALUE(SUBSTITUTE(SUBSTITUTE(O2034,"W",""),"""","")),0)&gt;52,P2034&amp;"-OVRSIZE-",P2034))))</f>
        <v/>
      </c>
      <c r="O2034" s="15" t="str" cm="1">
        <f t="array" ref="O2034">IFERROR(_xlfn.LET(
_xlpm.clean,TRIM(SUBSTITUTE(SUBSTITUTE(P2034,CHAR(160),"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4" t="str">
        <f t="shared" si="32"/>
        <v/>
      </c>
    </row>
    <row r="2035" spans="3:19" ht="15.75" customHeight="1">
      <c r="C2035" s="15" t="str" cm="1">
        <f t="array" ref="C2035">IFERROR(_xlfn.TEXTJOIN("",TRUE,_xlfn._xlws.FILTER(MID(S2035,_xlfn.SEQUENCE(LEN(S2035)),1),ISNUMBER(SEARCH(MID(S2035,_xlfn.SEQUENCE(LEN(S2035)),1),"ABCDEFGHIJKLMNOPQRSTUVWXYZabcdefghijklmnopqrstuvwxyz0123456789,")))),"")</f>
        <v/>
      </c>
      <c r="G2035" s="20" t="str" cm="1">
        <f t="array" ref="G2035">IF(TRIM(P2035)="","",IF(SUM(COUNTIF(P2035,{"*NLGD*","*FWG*"}))&gt;0,P2035,IF(SUM(COUNTIF(P2035,{"*GL*","*DGB*","*DGI*","*GT*","*CS*","*PWU*","*DBI*","*SWU*"}))=0,P2035,IF(IFERROR(VALUE(SUBSTITUTE(SUBSTITUTE(O2035,"W",""),"""","")),0)&gt;52,P2035&amp;"-OVRSIZE-",P2035))))</f>
        <v/>
      </c>
      <c r="O2035" s="15" t="str" cm="1">
        <f t="array" ref="O2035">IFERROR(_xlfn.LET(
_xlpm.clean,TRIM(SUBSTITUTE(SUBSTITUTE(P2035,CHAR(160),"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5" t="str">
        <f t="shared" si="32"/>
        <v/>
      </c>
    </row>
    <row r="2036" spans="3:19" ht="15.75" customHeight="1">
      <c r="C2036" s="15" t="str" cm="1">
        <f t="array" ref="C2036">IFERROR(_xlfn.TEXTJOIN("",TRUE,_xlfn._xlws.FILTER(MID(S2036,_xlfn.SEQUENCE(LEN(S2036)),1),ISNUMBER(SEARCH(MID(S2036,_xlfn.SEQUENCE(LEN(S2036)),1),"ABCDEFGHIJKLMNOPQRSTUVWXYZabcdefghijklmnopqrstuvwxyz0123456789,")))),"")</f>
        <v/>
      </c>
      <c r="G2036" s="20" t="str" cm="1">
        <f t="array" ref="G2036">IF(TRIM(P2036)="","",IF(SUM(COUNTIF(P2036,{"*NLGD*","*FWG*"}))&gt;0,P2036,IF(SUM(COUNTIF(P2036,{"*GL*","*DGB*","*DGI*","*GT*","*CS*","*PWU*","*DBI*","*SWU*"}))=0,P2036,IF(IFERROR(VALUE(SUBSTITUTE(SUBSTITUTE(O2036,"W",""),"""","")),0)&gt;52,P2036&amp;"-OVRSIZE-",P2036))))</f>
        <v/>
      </c>
      <c r="O2036" s="15" t="str" cm="1">
        <f t="array" ref="O2036">IFERROR(_xlfn.LET(
_xlpm.clean,TRIM(SUBSTITUTE(SUBSTITUTE(P2036,CHAR(160),"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6" t="str">
        <f t="shared" si="32"/>
        <v/>
      </c>
    </row>
    <row r="2037" spans="3:19" ht="15.75" customHeight="1">
      <c r="C2037" s="15" t="str" cm="1">
        <f t="array" ref="C2037">IFERROR(_xlfn.TEXTJOIN("",TRUE,_xlfn._xlws.FILTER(MID(S2037,_xlfn.SEQUENCE(LEN(S2037)),1),ISNUMBER(SEARCH(MID(S2037,_xlfn.SEQUENCE(LEN(S2037)),1),"ABCDEFGHIJKLMNOPQRSTUVWXYZabcdefghijklmnopqrstuvwxyz0123456789,")))),"")</f>
        <v/>
      </c>
      <c r="G2037" s="20" t="str" cm="1">
        <f t="array" ref="G2037">IF(TRIM(P2037)="","",IF(SUM(COUNTIF(P2037,{"*NLGD*","*FWG*"}))&gt;0,P2037,IF(SUM(COUNTIF(P2037,{"*GL*","*DGB*","*DGI*","*GT*","*CS*","*PWU*","*DBI*","*SWU*"}))=0,P2037,IF(IFERROR(VALUE(SUBSTITUTE(SUBSTITUTE(O2037,"W",""),"""","")),0)&gt;52,P2037&amp;"-OVRSIZE-",P2037))))</f>
        <v/>
      </c>
      <c r="O2037" s="15" t="str" cm="1">
        <f t="array" ref="O2037">IFERROR(_xlfn.LET(
_xlpm.clean,TRIM(SUBSTITUTE(SUBSTITUTE(P2037,CHAR(160),"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7" t="str">
        <f t="shared" si="32"/>
        <v/>
      </c>
    </row>
    <row r="2038" spans="3:19" ht="15.75" customHeight="1">
      <c r="C2038" s="15" t="str" cm="1">
        <f t="array" ref="C2038">IFERROR(_xlfn.TEXTJOIN("",TRUE,_xlfn._xlws.FILTER(MID(S2038,_xlfn.SEQUENCE(LEN(S2038)),1),ISNUMBER(SEARCH(MID(S2038,_xlfn.SEQUENCE(LEN(S2038)),1),"ABCDEFGHIJKLMNOPQRSTUVWXYZabcdefghijklmnopqrstuvwxyz0123456789,")))),"")</f>
        <v/>
      </c>
      <c r="G2038" s="20" t="str" cm="1">
        <f t="array" ref="G2038">IF(TRIM(P2038)="","",IF(SUM(COUNTIF(P2038,{"*NLGD*","*FWG*"}))&gt;0,P2038,IF(SUM(COUNTIF(P2038,{"*GL*","*DGB*","*DGI*","*GT*","*CS*","*PWU*","*DBI*","*SWU*"}))=0,P2038,IF(IFERROR(VALUE(SUBSTITUTE(SUBSTITUTE(O2038,"W",""),"""","")),0)&gt;52,P2038&amp;"-OVRSIZE-",P2038))))</f>
        <v/>
      </c>
      <c r="O2038" s="15" t="str" cm="1">
        <f t="array" ref="O2038">IFERROR(_xlfn.LET(
_xlpm.clean,TRIM(SUBSTITUTE(SUBSTITUTE(P2038,CHAR(160),"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8" t="str">
        <f t="shared" si="32"/>
        <v/>
      </c>
    </row>
    <row r="2039" spans="3:19" ht="15.75" customHeight="1">
      <c r="C2039" s="15" t="str" cm="1">
        <f t="array" ref="C2039">IFERROR(_xlfn.TEXTJOIN("",TRUE,_xlfn._xlws.FILTER(MID(S2039,_xlfn.SEQUENCE(LEN(S2039)),1),ISNUMBER(SEARCH(MID(S2039,_xlfn.SEQUENCE(LEN(S2039)),1),"ABCDEFGHIJKLMNOPQRSTUVWXYZabcdefghijklmnopqrstuvwxyz0123456789,")))),"")</f>
        <v/>
      </c>
      <c r="G2039" s="20" t="str" cm="1">
        <f t="array" ref="G2039">IF(TRIM(P2039)="","",IF(SUM(COUNTIF(P2039,{"*NLGD*","*FWG*"}))&gt;0,P2039,IF(SUM(COUNTIF(P2039,{"*GL*","*DGB*","*DGI*","*GT*","*CS*","*PWU*","*DBI*","*SWU*"}))=0,P2039,IF(IFERROR(VALUE(SUBSTITUTE(SUBSTITUTE(O2039,"W",""),"""","")),0)&gt;52,P2039&amp;"-OVRSIZE-",P2039))))</f>
        <v/>
      </c>
      <c r="O2039" s="15" t="str" cm="1">
        <f t="array" ref="O2039">IFERROR(_xlfn.LET(
_xlpm.clean,TRIM(SUBSTITUTE(SUBSTITUTE(P2039,CHAR(160),"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9" t="str">
        <f t="shared" si="32"/>
        <v/>
      </c>
    </row>
    <row r="2040" spans="3:19" ht="15.75" customHeight="1">
      <c r="C2040" s="15" t="str" cm="1">
        <f t="array" ref="C2040">IFERROR(_xlfn.TEXTJOIN("",TRUE,_xlfn._xlws.FILTER(MID(S2040,_xlfn.SEQUENCE(LEN(S2040)),1),ISNUMBER(SEARCH(MID(S2040,_xlfn.SEQUENCE(LEN(S2040)),1),"ABCDEFGHIJKLMNOPQRSTUVWXYZabcdefghijklmnopqrstuvwxyz0123456789,")))),"")</f>
        <v/>
      </c>
      <c r="G2040" s="20" t="str" cm="1">
        <f t="array" ref="G2040">IF(TRIM(P2040)="","",IF(SUM(COUNTIF(P2040,{"*NLGD*","*FWG*"}))&gt;0,P2040,IF(SUM(COUNTIF(P2040,{"*GL*","*DGB*","*DGI*","*GT*","*CS*","*PWU*","*DBI*","*SWU*"}))=0,P2040,IF(IFERROR(VALUE(SUBSTITUTE(SUBSTITUTE(O2040,"W",""),"""","")),0)&gt;52,P2040&amp;"-OVRSIZE-",P2040))))</f>
        <v/>
      </c>
      <c r="O2040" s="15" t="str" cm="1">
        <f t="array" ref="O2040">IFERROR(_xlfn.LET(
_xlpm.clean,TRIM(SUBSTITUTE(SUBSTITUTE(P2040,CHAR(160),"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0" t="str">
        <f t="shared" si="32"/>
        <v/>
      </c>
    </row>
    <row r="2041" spans="3:19" ht="15.75" customHeight="1">
      <c r="C2041" s="15" t="str" cm="1">
        <f t="array" ref="C2041">IFERROR(_xlfn.TEXTJOIN("",TRUE,_xlfn._xlws.FILTER(MID(S2041,_xlfn.SEQUENCE(LEN(S2041)),1),ISNUMBER(SEARCH(MID(S2041,_xlfn.SEQUENCE(LEN(S2041)),1),"ABCDEFGHIJKLMNOPQRSTUVWXYZabcdefghijklmnopqrstuvwxyz0123456789,")))),"")</f>
        <v/>
      </c>
      <c r="G2041" s="20" t="str" cm="1">
        <f t="array" ref="G2041">IF(TRIM(P2041)="","",IF(SUM(COUNTIF(P2041,{"*NLGD*","*FWG*"}))&gt;0,P2041,IF(SUM(COUNTIF(P2041,{"*GL*","*DGB*","*DGI*","*GT*","*CS*","*PWU*","*DBI*","*SWU*"}))=0,P2041,IF(IFERROR(VALUE(SUBSTITUTE(SUBSTITUTE(O2041,"W",""),"""","")),0)&gt;52,P2041&amp;"-OVRSIZE-",P2041))))</f>
        <v/>
      </c>
      <c r="O2041" s="15" t="str" cm="1">
        <f t="array" ref="O2041">IFERROR(_xlfn.LET(
_xlpm.clean,TRIM(SUBSTITUTE(SUBSTITUTE(P2041,CHAR(160),"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1" t="str">
        <f t="shared" si="32"/>
        <v/>
      </c>
    </row>
    <row r="2042" spans="3:19" ht="15.75" customHeight="1">
      <c r="C2042" s="15" t="str" cm="1">
        <f t="array" ref="C2042">IFERROR(_xlfn.TEXTJOIN("",TRUE,_xlfn._xlws.FILTER(MID(S2042,_xlfn.SEQUENCE(LEN(S2042)),1),ISNUMBER(SEARCH(MID(S2042,_xlfn.SEQUENCE(LEN(S2042)),1),"ABCDEFGHIJKLMNOPQRSTUVWXYZabcdefghijklmnopqrstuvwxyz0123456789,")))),"")</f>
        <v/>
      </c>
      <c r="G2042" s="20" t="str" cm="1">
        <f t="array" ref="G2042">IF(TRIM(P2042)="","",IF(SUM(COUNTIF(P2042,{"*NLGD*","*FWG*"}))&gt;0,P2042,IF(SUM(COUNTIF(P2042,{"*GL*","*DGB*","*DGI*","*GT*","*CS*","*PWU*","*DBI*","*SWU*"}))=0,P2042,IF(IFERROR(VALUE(SUBSTITUTE(SUBSTITUTE(O2042,"W",""),"""","")),0)&gt;52,P2042&amp;"-OVRSIZE-",P2042))))</f>
        <v/>
      </c>
      <c r="O2042" s="15" t="str" cm="1">
        <f t="array" ref="O2042">IFERROR(_xlfn.LET(
_xlpm.clean,TRIM(SUBSTITUTE(SUBSTITUTE(P2042,CHAR(160),"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2" t="str">
        <f t="shared" si="32"/>
        <v/>
      </c>
    </row>
    <row r="2043" spans="3:19" ht="15.75" customHeight="1">
      <c r="C2043" s="15" t="str" cm="1">
        <f t="array" ref="C2043">IFERROR(_xlfn.TEXTJOIN("",TRUE,_xlfn._xlws.FILTER(MID(S2043,_xlfn.SEQUENCE(LEN(S2043)),1),ISNUMBER(SEARCH(MID(S2043,_xlfn.SEQUENCE(LEN(S2043)),1),"ABCDEFGHIJKLMNOPQRSTUVWXYZabcdefghijklmnopqrstuvwxyz0123456789,")))),"")</f>
        <v/>
      </c>
      <c r="G2043" s="20" t="str" cm="1">
        <f t="array" ref="G2043">IF(TRIM(P2043)="","",IF(SUM(COUNTIF(P2043,{"*NLGD*","*FWG*"}))&gt;0,P2043,IF(SUM(COUNTIF(P2043,{"*GL*","*DGB*","*DGI*","*GT*","*CS*","*PWU*","*DBI*","*SWU*"}))=0,P2043,IF(IFERROR(VALUE(SUBSTITUTE(SUBSTITUTE(O2043,"W",""),"""","")),0)&gt;52,P2043&amp;"-OVRSIZE-",P2043))))</f>
        <v/>
      </c>
      <c r="O2043" s="15" t="str" cm="1">
        <f t="array" ref="O2043">IFERROR(_xlfn.LET(
_xlpm.clean,TRIM(SUBSTITUTE(SUBSTITUTE(P2043,CHAR(160),"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3" t="str">
        <f t="shared" si="32"/>
        <v/>
      </c>
    </row>
    <row r="2044" spans="3:19" ht="15.75" customHeight="1">
      <c r="C2044" s="15" t="str" cm="1">
        <f t="array" ref="C2044">IFERROR(_xlfn.TEXTJOIN("",TRUE,_xlfn._xlws.FILTER(MID(S2044,_xlfn.SEQUENCE(LEN(S2044)),1),ISNUMBER(SEARCH(MID(S2044,_xlfn.SEQUENCE(LEN(S2044)),1),"ABCDEFGHIJKLMNOPQRSTUVWXYZabcdefghijklmnopqrstuvwxyz0123456789,")))),"")</f>
        <v/>
      </c>
      <c r="G2044" s="20" t="str" cm="1">
        <f t="array" ref="G2044">IF(TRIM(P2044)="","",IF(SUM(COUNTIF(P2044,{"*NLGD*","*FWG*"}))&gt;0,P2044,IF(SUM(COUNTIF(P2044,{"*GL*","*DGB*","*DGI*","*GT*","*CS*","*PWU*","*DBI*","*SWU*"}))=0,P2044,IF(IFERROR(VALUE(SUBSTITUTE(SUBSTITUTE(O2044,"W",""),"""","")),0)&gt;52,P2044&amp;"-OVRSIZE-",P2044))))</f>
        <v/>
      </c>
      <c r="O2044" s="15" t="str" cm="1">
        <f t="array" ref="O2044">IFERROR(_xlfn.LET(
_xlpm.clean,TRIM(SUBSTITUTE(SUBSTITUTE(P2044,CHAR(160),"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4" t="str">
        <f t="shared" si="32"/>
        <v/>
      </c>
    </row>
    <row r="2045" spans="3:19" ht="15.75" customHeight="1">
      <c r="C2045" s="15" t="str" cm="1">
        <f t="array" ref="C2045">IFERROR(_xlfn.TEXTJOIN("",TRUE,_xlfn._xlws.FILTER(MID(S2045,_xlfn.SEQUENCE(LEN(S2045)),1),ISNUMBER(SEARCH(MID(S2045,_xlfn.SEQUENCE(LEN(S2045)),1),"ABCDEFGHIJKLMNOPQRSTUVWXYZabcdefghijklmnopqrstuvwxyz0123456789,")))),"")</f>
        <v/>
      </c>
      <c r="G2045" s="20" t="str" cm="1">
        <f t="array" ref="G2045">IF(TRIM(P2045)="","",IF(SUM(COUNTIF(P2045,{"*NLGD*","*FWG*"}))&gt;0,P2045,IF(SUM(COUNTIF(P2045,{"*GL*","*DGB*","*DGI*","*GT*","*CS*","*PWU*","*DBI*","*SWU*"}))=0,P2045,IF(IFERROR(VALUE(SUBSTITUTE(SUBSTITUTE(O2045,"W",""),"""","")),0)&gt;52,P2045&amp;"-OVRSIZE-",P2045))))</f>
        <v/>
      </c>
      <c r="O2045" s="15" t="str" cm="1">
        <f t="array" ref="O2045">IFERROR(_xlfn.LET(
_xlpm.clean,TRIM(SUBSTITUTE(SUBSTITUTE(P2045,CHAR(160),"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5" t="str">
        <f t="shared" si="32"/>
        <v/>
      </c>
    </row>
    <row r="2046" spans="3:19" ht="15.75" customHeight="1">
      <c r="C2046" s="15" t="str" cm="1">
        <f t="array" ref="C2046">IFERROR(_xlfn.TEXTJOIN("",TRUE,_xlfn._xlws.FILTER(MID(S2046,_xlfn.SEQUENCE(LEN(S2046)),1),ISNUMBER(SEARCH(MID(S2046,_xlfn.SEQUENCE(LEN(S2046)),1),"ABCDEFGHIJKLMNOPQRSTUVWXYZabcdefghijklmnopqrstuvwxyz0123456789,")))),"")</f>
        <v/>
      </c>
      <c r="G2046" s="20" t="str" cm="1">
        <f t="array" ref="G2046">IF(TRIM(P2046)="","",IF(SUM(COUNTIF(P2046,{"*NLGD*","*FWG*"}))&gt;0,P2046,IF(SUM(COUNTIF(P2046,{"*GL*","*DGB*","*DGI*","*GT*","*CS*","*PWU*","*DBI*","*SWU*"}))=0,P2046,IF(IFERROR(VALUE(SUBSTITUTE(SUBSTITUTE(O2046,"W",""),"""","")),0)&gt;52,P2046&amp;"-OVRSIZE-",P2046))))</f>
        <v/>
      </c>
      <c r="O2046" s="15" t="str" cm="1">
        <f t="array" ref="O2046">IFERROR(_xlfn.LET(
_xlpm.clean,TRIM(SUBSTITUTE(SUBSTITUTE(P2046,CHAR(160),"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6" t="str">
        <f t="shared" si="32"/>
        <v/>
      </c>
    </row>
    <row r="2047" spans="3:19" ht="15.75" customHeight="1">
      <c r="C2047" s="15" t="str" cm="1">
        <f t="array" ref="C2047">IFERROR(_xlfn.TEXTJOIN("",TRUE,_xlfn._xlws.FILTER(MID(S2047,_xlfn.SEQUENCE(LEN(S2047)),1),ISNUMBER(SEARCH(MID(S2047,_xlfn.SEQUENCE(LEN(S2047)),1),"ABCDEFGHIJKLMNOPQRSTUVWXYZabcdefghijklmnopqrstuvwxyz0123456789,")))),"")</f>
        <v/>
      </c>
      <c r="G2047" s="20" t="str" cm="1">
        <f t="array" ref="G2047">IF(TRIM(P2047)="","",IF(SUM(COUNTIF(P2047,{"*NLGD*","*FWG*"}))&gt;0,P2047,IF(SUM(COUNTIF(P2047,{"*GL*","*DGB*","*DGI*","*GT*","*CS*","*PWU*","*DBI*","*SWU*"}))=0,P2047,IF(IFERROR(VALUE(SUBSTITUTE(SUBSTITUTE(O2047,"W",""),"""","")),0)&gt;52,P2047&amp;"-OVRSIZE-",P2047))))</f>
        <v/>
      </c>
      <c r="O2047" s="15" t="str" cm="1">
        <f t="array" ref="O2047">IFERROR(_xlfn.LET(
_xlpm.clean,TRIM(SUBSTITUTE(SUBSTITUTE(P2047,CHAR(160),"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7" t="str">
        <f t="shared" si="32"/>
        <v/>
      </c>
    </row>
    <row r="2048" spans="3:19" ht="15.75" customHeight="1">
      <c r="C2048" s="15" t="str" cm="1">
        <f t="array" ref="C2048">IFERROR(_xlfn.TEXTJOIN("",TRUE,_xlfn._xlws.FILTER(MID(S2048,_xlfn.SEQUENCE(LEN(S2048)),1),ISNUMBER(SEARCH(MID(S2048,_xlfn.SEQUENCE(LEN(S2048)),1),"ABCDEFGHIJKLMNOPQRSTUVWXYZabcdefghijklmnopqrstuvwxyz0123456789,")))),"")</f>
        <v/>
      </c>
      <c r="G2048" s="20" t="str" cm="1">
        <f t="array" ref="G2048">IF(TRIM(P2048)="","",IF(SUM(COUNTIF(P2048,{"*NLGD*","*FWG*"}))&gt;0,P2048,IF(SUM(COUNTIF(P2048,{"*GL*","*DGB*","*DGI*","*GT*","*CS*","*PWU*","*DBI*","*SWU*"}))=0,P2048,IF(IFERROR(VALUE(SUBSTITUTE(SUBSTITUTE(O2048,"W",""),"""","")),0)&gt;52,P2048&amp;"-OVRSIZE-",P2048))))</f>
        <v/>
      </c>
      <c r="O2048" s="15" t="str" cm="1">
        <f t="array" ref="O2048">IFERROR(_xlfn.LET(
_xlpm.clean,TRIM(SUBSTITUTE(SUBSTITUTE(P2048,CHAR(160),"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8" t="str">
        <f t="shared" si="32"/>
        <v/>
      </c>
    </row>
    <row r="2049" spans="7:19" ht="15.75" customHeight="1">
      <c r="G2049" s="20" t="str" cm="1">
        <f t="array" ref="G2049">IF(TRIM(P2049)="","",IF(SUM(COUNTIF(P2049,{"*NLGD*","*FWG*"}))&gt;0,P2049,IF(SUM(COUNTIF(P2049,{"*GL*","*DGB*","*DGI*","*GT*","*CS*","*PWU*","*DBI*","*SWU*"}))=0,P2049,IF(IFERROR(VALUE(SUBSTITUTE(SUBSTITUTE(O2049,"W",""),"""","")),0)&gt;52,P2049&amp;"-OVRSIZE-",P2049))))</f>
        <v/>
      </c>
      <c r="O2049" s="15" t="str" cm="1">
        <f t="array" ref="O2049">IFERROR(_xlfn.LET(
_xlpm.clean,TRIM(SUBSTITUTE(SUBSTITUTE(P2049,CHAR(160),"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9" t="str">
        <f t="shared" si="32"/>
        <v/>
      </c>
    </row>
  </sheetData>
  <conditionalFormatting sqref="O1:O1048576">
    <cfRule type="expression" dxfId="8" priority="1">
      <formula>O1=""</formula>
    </cfRule>
  </conditionalFormatting>
  <conditionalFormatting sqref="P1:P1048576">
    <cfRule type="expression" dxfId="7" priority="2">
      <formula>_xlfn.LET( _xlpm.s,TRIM(Q1048377), _xlpm.beforeX,TRIM(_xlfn.TEXTBEFORE(_xlpm.s,"X")), _xlpm.last,TRIM(_xlfn.TEXTAFTER(_xlpm.beforeX," ",-1)), _xlpm.prev,TRIM(_xlfn.TEXTAFTER(_xlfn.TEXTBEFORE(_xlpm.beforeX," "&amp;_xlpm.last)," ",-1)), IFERROR( IF(ISNUMBER(SEARCH("/",_xlpm.last)), IF(ISNUMBER(--_xlpm.prev), --_xlpm.prev + --SUBSTITUTE(_xlfn.TEXTBEFORE(_xlpm.last,"/"),".","") / --_xlfn.TEXTAFTER(_xlpm.last,"/"), --_xlfn.TEXTBEFORE(_xlpm.last,".") + --_xlfn.TEXTAFTER(_xlfn.TEXTBEFORE(_xlpm.last,"/"),".") / --_xlfn.TEXTAFTER(_xlpm.last,"/") ), --_xlpm.last ), "") 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00AA-7CEF-44D6-80A1-D529E1546A35}">
  <dimension ref="A1:M1"/>
  <sheetViews>
    <sheetView workbookViewId="0">
      <selection activeCell="G29" sqref="G29"/>
    </sheetView>
  </sheetViews>
  <sheetFormatPr defaultRowHeight="12.75"/>
  <cols>
    <col min="1" max="2" width="14.7109375" style="19" customWidth="1"/>
    <col min="3" max="3" width="17.7109375" style="19" customWidth="1"/>
    <col min="4" max="5" width="14.7109375" style="19" customWidth="1"/>
    <col min="6" max="6" width="22.7109375" style="19" customWidth="1"/>
    <col min="7" max="7" width="53.140625" style="19" customWidth="1"/>
    <col min="8" max="10" width="7.5703125" style="19" customWidth="1"/>
    <col min="11" max="12" width="14.7109375" style="19" customWidth="1"/>
    <col min="13" max="13" width="31.140625" style="19" customWidth="1"/>
  </cols>
  <sheetData>
    <row r="1" spans="1:1">
      <c r="A1" s="19" t="e" cm="1" vm="1">
        <f t="array" ref="A1">_xlfn._xlws.FILTER('Helper Trucklist Page'!A:M,_xlfn.BYROW('Helper Trucklist Page'!A:M,_xlfn.LAMBDA(_xlpm.row,SUM(--(_xlpm.row&lt;&gt;""))&gt;0)))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0D06-5B20-4B21-A96D-E3BE479B5141}">
  <sheetPr>
    <pageSetUpPr fitToPage="1"/>
  </sheetPr>
  <dimension ref="A1:M348"/>
  <sheetViews>
    <sheetView tabSelected="1" workbookViewId="0">
      <selection activeCell="G215" sqref="G215"/>
    </sheetView>
  </sheetViews>
  <sheetFormatPr defaultRowHeight="12.75"/>
  <cols>
    <col min="1" max="1" width="16.5703125" style="19" customWidth="1"/>
    <col min="2" max="2" width="13.140625" style="19" customWidth="1"/>
    <col min="3" max="3" width="18.7109375" style="19" customWidth="1"/>
    <col min="4" max="4" width="15.7109375" style="19" customWidth="1"/>
    <col min="5" max="5" width="14.7109375" style="19" customWidth="1"/>
    <col min="6" max="6" width="22.7109375" style="19" customWidth="1"/>
    <col min="7" max="7" width="64.85546875" style="19" customWidth="1"/>
    <col min="8" max="10" width="3.85546875" style="19" customWidth="1"/>
    <col min="11" max="12" width="7.5703125" style="19" customWidth="1"/>
    <col min="13" max="13" width="18.7109375" style="19" customWidth="1"/>
  </cols>
  <sheetData>
    <row r="1" spans="1:13" s="32" customFormat="1" ht="30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57" spans="7:7">
      <c r="G57" s="49"/>
    </row>
    <row r="58" spans="7:7">
      <c r="G58" s="49"/>
    </row>
    <row r="81" spans="7:7">
      <c r="G81" s="30"/>
    </row>
    <row r="92" spans="7:7">
      <c r="G92" s="49"/>
    </row>
    <row r="100" spans="7:7">
      <c r="G100" s="49"/>
    </row>
    <row r="101" spans="7:7">
      <c r="G101" s="49"/>
    </row>
    <row r="103" spans="7:7">
      <c r="G103" s="49"/>
    </row>
    <row r="104" spans="7:7">
      <c r="G104" s="49"/>
    </row>
    <row r="105" spans="7:7">
      <c r="G105" s="49"/>
    </row>
    <row r="140" spans="7:7">
      <c r="G140" s="49"/>
    </row>
    <row r="143" spans="7:7">
      <c r="G143" s="49"/>
    </row>
    <row r="150" spans="7:7">
      <c r="G150" s="49"/>
    </row>
    <row r="153" spans="7:7">
      <c r="G153" s="49"/>
    </row>
    <row r="213" spans="7:7">
      <c r="G213" s="49"/>
    </row>
    <row r="215" spans="7:7">
      <c r="G215" s="49"/>
    </row>
    <row r="217" spans="7:7">
      <c r="G217" s="49"/>
    </row>
    <row r="219" spans="7:7">
      <c r="G219" s="49"/>
    </row>
    <row r="221" spans="7:7">
      <c r="G221" s="49"/>
    </row>
    <row r="326" spans="7:7">
      <c r="G326" s="30"/>
    </row>
    <row r="333" spans="7:7">
      <c r="G333" s="30"/>
    </row>
    <row r="348" spans="7:7">
      <c r="G348" s="30"/>
    </row>
  </sheetData>
  <conditionalFormatting sqref="B2:C1048576">
    <cfRule type="expression" dxfId="6" priority="12">
      <formula>AND(LEN(TRIM($B2))&gt;0,SUMPRODUCT(--(LEFT(TRIM($B$2:$B$2000),9)=LEFT(TRIM($B2),9)))&lt;4)</formula>
    </cfRule>
  </conditionalFormatting>
  <conditionalFormatting sqref="F1:F1048576">
    <cfRule type="expression" dxfId="5" priority="18">
      <formula>ISNUMBER(SEARCH("OK",$F1))</formula>
    </cfRule>
    <cfRule type="expression" dxfId="4" priority="19">
      <formula>ISNUMBER(SEARCH("PN",$F1))</formula>
    </cfRule>
  </conditionalFormatting>
  <conditionalFormatting sqref="G1:G1048576">
    <cfRule type="expression" dxfId="3" priority="1">
      <formula>LEFT(TRIM($F1&amp;""),2)="ED"</formula>
    </cfRule>
    <cfRule type="expression" dxfId="2" priority="2">
      <formula>ISNUMBER(SEARCH("PTD",$F1&amp;""))</formula>
    </cfRule>
    <cfRule type="expression" dxfId="1" priority="13">
      <formula>COUNTIF($G1,"*OVRSIZE*")&gt;0</formula>
    </cfRule>
  </conditionalFormatting>
  <conditionalFormatting sqref="J1:J1048576">
    <cfRule type="expression" dxfId="0" priority="5">
      <formula>ISNUMBER(SEARCH("1",$J1&amp;""))</formula>
    </cfRule>
  </conditionalFormatting>
  <pageMargins left="0.25" right="0.25" top="0.75" bottom="0.75" header="0.3" footer="0.3"/>
  <pageSetup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5B9D-EB4C-46B4-A774-7876675D32FF}">
  <dimension ref="A1:V813"/>
  <sheetViews>
    <sheetView topLeftCell="C1" workbookViewId="0">
      <selection activeCell="U4" sqref="U4"/>
    </sheetView>
  </sheetViews>
  <sheetFormatPr defaultRowHeight="12.75"/>
  <cols>
    <col min="7" max="7" width="57.28515625" customWidth="1"/>
    <col min="17" max="17" width="17.42578125" style="33" customWidth="1"/>
    <col min="18" max="19" width="14.28515625" style="19" customWidth="1"/>
    <col min="20" max="20" width="13.5703125" style="34" customWidth="1"/>
    <col min="21" max="21" width="14" customWidth="1"/>
  </cols>
  <sheetData>
    <row r="1" spans="1:22">
      <c r="A1" t="str" cm="1">
        <f t="array" ref="A1">_xlfn._xlws.FILTER('Copy This Data'!A:M,'Copy This Data'!L:L="full","No window rows found")</f>
        <v>No window rows found</v>
      </c>
      <c r="O1" t="e" cm="1" vm="2">
        <f t="array" ref="O1">_xlfn._xlws.FILTER(
_xlfn.HSTACK(
C1:C10000,
IF(
(ISNUMBER(SEARCH("-OVRSIZE-",G1:G10000)))+
(ISNUMBER(SEARCH("-OVERSIZE-",G1:G10000))),
"1O",
1
)
),
C1:C10000&lt;&gt;""
)</f>
        <v>#VALUE!</v>
      </c>
      <c r="Q1" s="35" t="e" cm="1" vm="1">
        <f t="array" ref="Q1">_xlfn.LET(
_xlpm.names,_xlfn._xlws.FILTER(O1:O10000,O1:O10000&lt;&gt;""),
_xlpm.codes,_xlfn._xlws.FILTER(P1:P10000,O1:O10000&lt;&gt;""),
_xlpm.u,_xlfn.UNIQUE(_xlpm.names),
_xlfn.VSTACK(
{"Homeowner","Window Count","Oversize Count"},
_xlfn.HSTACK(
_xlpm.u,
_xlfn.MAP(_xlpm.u,_xlfn.LAMBDA(_xlpm.n,SUM((_xlpm.names=_xlpm.n)*((_xlpm.codes&amp;"")="1")))),
_xlfn.MAP(_xlpm.u,_xlfn.LAMBDA(_xlpm.n,SUM((_xlpm.names=_xlpm.n)*((_xlpm.codes&amp;"")="1O"))))
)
)
)</f>
        <v>#VALUE!</v>
      </c>
      <c r="R1" s="36"/>
      <c r="S1" s="36"/>
      <c r="T1" s="37" t="s">
        <v>17</v>
      </c>
      <c r="U1" s="32" t="s">
        <v>18</v>
      </c>
    </row>
    <row r="2" spans="1:22">
      <c r="T2" s="34" t="str">
        <f>IF(AND(TRIM(Q2&amp;"")="",TRIM(R2&amp;"")=""),"",IF(R2&lt;5,"Misc Pallet",ROUNDUP(R2/7,0)&amp;" Pallet"&amp;IF(ROUNDUP(R2/7,0)&gt;1,"s","")))</f>
        <v/>
      </c>
      <c r="U2" s="38" t="s">
        <v>19</v>
      </c>
      <c r="V2" cm="1">
        <f t="array" ref="V2">SUM(IFERROR(--_xlfn.TEXTBEFORE(_xlfn._xlws.FILTER(T2:T10000,ISNUMBER(SEARCH("Pallet",T2:T10000))*ISERROR(SEARCH("Misc",T2:T10000)))," "),0))</f>
        <v>0</v>
      </c>
    </row>
    <row r="3" spans="1:22">
      <c r="T3" s="34" t="str">
        <f t="shared" ref="T3:T66" si="0">IF(AND(TRIM(Q3&amp;"")="",TRIM(R3&amp;"")=""),"",IF(R3&lt;5,"Misc Pallet",ROUNDUP(R3/7,0)&amp;" Pallet"&amp;IF(ROUNDUP(R3/7,0)&gt;1,"s","")))</f>
        <v/>
      </c>
      <c r="U3" s="38" t="s">
        <v>20</v>
      </c>
      <c r="V3">
        <f>SUMIF(T2:T10000,"Misc Pallet",R2:R10000)</f>
        <v>0</v>
      </c>
    </row>
    <row r="4" spans="1:22">
      <c r="T4" s="34" t="str">
        <f t="shared" si="0"/>
        <v/>
      </c>
      <c r="U4" s="38" t="s">
        <v>21</v>
      </c>
      <c r="V4">
        <f>SUM(S2:S10000)</f>
        <v>0</v>
      </c>
    </row>
    <row r="5" spans="1:22">
      <c r="T5" s="34" t="str">
        <f t="shared" si="0"/>
        <v/>
      </c>
      <c r="U5" s="38" t="s">
        <v>22</v>
      </c>
      <c r="V5">
        <f>COUNTA(L1:L10000)</f>
        <v>0</v>
      </c>
    </row>
    <row r="6" spans="1:22">
      <c r="T6" s="34" t="str">
        <f t="shared" si="0"/>
        <v/>
      </c>
    </row>
    <row r="7" spans="1:22">
      <c r="T7" s="34" t="str">
        <f t="shared" si="0"/>
        <v/>
      </c>
    </row>
    <row r="8" spans="1:22">
      <c r="T8" s="34" t="str">
        <f t="shared" si="0"/>
        <v/>
      </c>
    </row>
    <row r="9" spans="1:22">
      <c r="T9" s="34" t="str">
        <f t="shared" si="0"/>
        <v/>
      </c>
    </row>
    <row r="10" spans="1:22">
      <c r="T10" s="34" t="str">
        <f t="shared" si="0"/>
        <v/>
      </c>
    </row>
    <row r="11" spans="1:22">
      <c r="T11" s="34" t="str">
        <f t="shared" si="0"/>
        <v/>
      </c>
    </row>
    <row r="12" spans="1:22">
      <c r="T12" s="34" t="str">
        <f t="shared" si="0"/>
        <v/>
      </c>
    </row>
    <row r="13" spans="1:22">
      <c r="T13" s="34" t="str">
        <f t="shared" si="0"/>
        <v/>
      </c>
    </row>
    <row r="14" spans="1:22">
      <c r="T14" s="34" t="str">
        <f t="shared" si="0"/>
        <v/>
      </c>
    </row>
    <row r="15" spans="1:22">
      <c r="T15" s="34" t="str">
        <f t="shared" si="0"/>
        <v/>
      </c>
    </row>
    <row r="16" spans="1:22">
      <c r="T16" s="34" t="str">
        <f t="shared" si="0"/>
        <v/>
      </c>
    </row>
    <row r="17" spans="20:20">
      <c r="T17" s="34" t="str">
        <f t="shared" si="0"/>
        <v/>
      </c>
    </row>
    <row r="18" spans="20:20">
      <c r="T18" s="34" t="str">
        <f t="shared" si="0"/>
        <v/>
      </c>
    </row>
    <row r="19" spans="20:20">
      <c r="T19" s="34" t="str">
        <f t="shared" si="0"/>
        <v/>
      </c>
    </row>
    <row r="20" spans="20:20">
      <c r="T20" s="34" t="str">
        <f t="shared" si="0"/>
        <v/>
      </c>
    </row>
    <row r="21" spans="20:20">
      <c r="T21" s="34" t="str">
        <f t="shared" si="0"/>
        <v/>
      </c>
    </row>
    <row r="22" spans="20:20">
      <c r="T22" s="34" t="str">
        <f t="shared" si="0"/>
        <v/>
      </c>
    </row>
    <row r="23" spans="20:20">
      <c r="T23" s="34" t="str">
        <f t="shared" si="0"/>
        <v/>
      </c>
    </row>
    <row r="24" spans="20:20">
      <c r="T24" s="34" t="str">
        <f t="shared" si="0"/>
        <v/>
      </c>
    </row>
    <row r="25" spans="20:20">
      <c r="T25" s="34" t="str">
        <f t="shared" si="0"/>
        <v/>
      </c>
    </row>
    <row r="26" spans="20:20">
      <c r="T26" s="34" t="str">
        <f t="shared" si="0"/>
        <v/>
      </c>
    </row>
    <row r="27" spans="20:20">
      <c r="T27" s="34" t="str">
        <f t="shared" si="0"/>
        <v/>
      </c>
    </row>
    <row r="28" spans="20:20">
      <c r="T28" s="34" t="str">
        <f t="shared" si="0"/>
        <v/>
      </c>
    </row>
    <row r="29" spans="20:20">
      <c r="T29" s="34" t="str">
        <f t="shared" si="0"/>
        <v/>
      </c>
    </row>
    <row r="30" spans="20:20">
      <c r="T30" s="34" t="str">
        <f t="shared" si="0"/>
        <v/>
      </c>
    </row>
    <row r="31" spans="20:20">
      <c r="T31" s="34" t="str">
        <f t="shared" si="0"/>
        <v/>
      </c>
    </row>
    <row r="32" spans="20:20">
      <c r="T32" s="34" t="str">
        <f t="shared" si="0"/>
        <v/>
      </c>
    </row>
    <row r="33" spans="20:20">
      <c r="T33" s="34" t="str">
        <f t="shared" si="0"/>
        <v/>
      </c>
    </row>
    <row r="34" spans="20:20">
      <c r="T34" s="34" t="str">
        <f t="shared" si="0"/>
        <v/>
      </c>
    </row>
    <row r="35" spans="20:20">
      <c r="T35" s="34" t="str">
        <f t="shared" si="0"/>
        <v/>
      </c>
    </row>
    <row r="36" spans="20:20">
      <c r="T36" s="34" t="str">
        <f t="shared" si="0"/>
        <v/>
      </c>
    </row>
    <row r="37" spans="20:20">
      <c r="T37" s="34" t="str">
        <f t="shared" si="0"/>
        <v/>
      </c>
    </row>
    <row r="38" spans="20:20">
      <c r="T38" s="34" t="str">
        <f t="shared" si="0"/>
        <v/>
      </c>
    </row>
    <row r="39" spans="20:20">
      <c r="T39" s="34" t="str">
        <f t="shared" si="0"/>
        <v/>
      </c>
    </row>
    <row r="40" spans="20:20">
      <c r="T40" s="34" t="str">
        <f t="shared" si="0"/>
        <v/>
      </c>
    </row>
    <row r="41" spans="20:20">
      <c r="T41" s="34" t="str">
        <f t="shared" si="0"/>
        <v/>
      </c>
    </row>
    <row r="42" spans="20:20">
      <c r="T42" s="34" t="str">
        <f t="shared" si="0"/>
        <v/>
      </c>
    </row>
    <row r="43" spans="20:20">
      <c r="T43" s="34" t="str">
        <f t="shared" si="0"/>
        <v/>
      </c>
    </row>
    <row r="44" spans="20:20">
      <c r="T44" s="34" t="str">
        <f t="shared" si="0"/>
        <v/>
      </c>
    </row>
    <row r="45" spans="20:20">
      <c r="T45" s="34" t="str">
        <f t="shared" si="0"/>
        <v/>
      </c>
    </row>
    <row r="46" spans="20:20">
      <c r="T46" s="34" t="str">
        <f t="shared" si="0"/>
        <v/>
      </c>
    </row>
    <row r="47" spans="20:20">
      <c r="T47" s="34" t="str">
        <f t="shared" si="0"/>
        <v/>
      </c>
    </row>
    <row r="48" spans="20:20">
      <c r="T48" s="34" t="str">
        <f t="shared" si="0"/>
        <v/>
      </c>
    </row>
    <row r="49" spans="20:20">
      <c r="T49" s="34" t="str">
        <f t="shared" si="0"/>
        <v/>
      </c>
    </row>
    <row r="50" spans="20:20">
      <c r="T50" s="34" t="str">
        <f t="shared" si="0"/>
        <v/>
      </c>
    </row>
    <row r="51" spans="20:20">
      <c r="T51" s="34" t="str">
        <f t="shared" si="0"/>
        <v/>
      </c>
    </row>
    <row r="52" spans="20:20">
      <c r="T52" s="34" t="str">
        <f t="shared" si="0"/>
        <v/>
      </c>
    </row>
    <row r="53" spans="20:20">
      <c r="T53" s="34" t="str">
        <f t="shared" si="0"/>
        <v/>
      </c>
    </row>
    <row r="54" spans="20:20">
      <c r="T54" s="34" t="str">
        <f t="shared" si="0"/>
        <v/>
      </c>
    </row>
    <row r="55" spans="20:20">
      <c r="T55" s="34" t="str">
        <f t="shared" si="0"/>
        <v/>
      </c>
    </row>
    <row r="56" spans="20:20">
      <c r="T56" s="34" t="str">
        <f t="shared" si="0"/>
        <v/>
      </c>
    </row>
    <row r="57" spans="20:20">
      <c r="T57" s="34" t="str">
        <f t="shared" si="0"/>
        <v/>
      </c>
    </row>
    <row r="58" spans="20:20">
      <c r="T58" s="34" t="str">
        <f t="shared" si="0"/>
        <v/>
      </c>
    </row>
    <row r="59" spans="20:20">
      <c r="T59" s="34" t="str">
        <f t="shared" si="0"/>
        <v/>
      </c>
    </row>
    <row r="60" spans="20:20">
      <c r="T60" s="34" t="str">
        <f t="shared" si="0"/>
        <v/>
      </c>
    </row>
    <row r="61" spans="20:20">
      <c r="T61" s="34" t="str">
        <f t="shared" si="0"/>
        <v/>
      </c>
    </row>
    <row r="62" spans="20:20">
      <c r="T62" s="34" t="str">
        <f t="shared" si="0"/>
        <v/>
      </c>
    </row>
    <row r="63" spans="20:20">
      <c r="T63" s="34" t="str">
        <f t="shared" si="0"/>
        <v/>
      </c>
    </row>
    <row r="64" spans="20:20">
      <c r="T64" s="34" t="str">
        <f t="shared" si="0"/>
        <v/>
      </c>
    </row>
    <row r="65" spans="20:20">
      <c r="T65" s="34" t="str">
        <f t="shared" si="0"/>
        <v/>
      </c>
    </row>
    <row r="66" spans="20:20">
      <c r="T66" s="34" t="str">
        <f t="shared" si="0"/>
        <v/>
      </c>
    </row>
    <row r="67" spans="20:20">
      <c r="T67" s="34" t="str">
        <f t="shared" ref="T67:T130" si="1">IF(AND(TRIM(Q67&amp;"")="",TRIM(R67&amp;"")=""),"",IF(R67&lt;5,"Misc Pallet",ROUNDUP(R67/7,0)&amp;" Pallet"&amp;IF(ROUNDUP(R67/7,0)&gt;1,"s","")))</f>
        <v/>
      </c>
    </row>
    <row r="68" spans="20:20">
      <c r="T68" s="34" t="str">
        <f t="shared" si="1"/>
        <v/>
      </c>
    </row>
    <row r="69" spans="20:20">
      <c r="T69" s="34" t="str">
        <f t="shared" si="1"/>
        <v/>
      </c>
    </row>
    <row r="70" spans="20:20">
      <c r="T70" s="34" t="str">
        <f t="shared" si="1"/>
        <v/>
      </c>
    </row>
    <row r="71" spans="20:20">
      <c r="T71" s="34" t="str">
        <f t="shared" si="1"/>
        <v/>
      </c>
    </row>
    <row r="72" spans="20:20">
      <c r="T72" s="34" t="str">
        <f t="shared" si="1"/>
        <v/>
      </c>
    </row>
    <row r="73" spans="20:20">
      <c r="T73" s="34" t="str">
        <f t="shared" si="1"/>
        <v/>
      </c>
    </row>
    <row r="74" spans="20:20">
      <c r="T74" s="34" t="str">
        <f t="shared" si="1"/>
        <v/>
      </c>
    </row>
    <row r="75" spans="20:20">
      <c r="T75" s="34" t="str">
        <f t="shared" si="1"/>
        <v/>
      </c>
    </row>
    <row r="76" spans="20:20">
      <c r="T76" s="34" t="str">
        <f t="shared" si="1"/>
        <v/>
      </c>
    </row>
    <row r="77" spans="20:20">
      <c r="T77" s="34" t="str">
        <f t="shared" si="1"/>
        <v/>
      </c>
    </row>
    <row r="78" spans="20:20">
      <c r="T78" s="34" t="str">
        <f t="shared" si="1"/>
        <v/>
      </c>
    </row>
    <row r="79" spans="20:20">
      <c r="T79" s="34" t="str">
        <f t="shared" si="1"/>
        <v/>
      </c>
    </row>
    <row r="80" spans="20:20">
      <c r="T80" s="34" t="str">
        <f t="shared" si="1"/>
        <v/>
      </c>
    </row>
    <row r="81" spans="20:20">
      <c r="T81" s="34" t="str">
        <f t="shared" si="1"/>
        <v/>
      </c>
    </row>
    <row r="82" spans="20:20">
      <c r="T82" s="34" t="str">
        <f t="shared" si="1"/>
        <v/>
      </c>
    </row>
    <row r="83" spans="20:20">
      <c r="T83" s="34" t="str">
        <f t="shared" si="1"/>
        <v/>
      </c>
    </row>
    <row r="84" spans="20:20">
      <c r="T84" s="34" t="str">
        <f t="shared" si="1"/>
        <v/>
      </c>
    </row>
    <row r="85" spans="20:20">
      <c r="T85" s="34" t="str">
        <f t="shared" si="1"/>
        <v/>
      </c>
    </row>
    <row r="86" spans="20:20">
      <c r="T86" s="34" t="str">
        <f t="shared" si="1"/>
        <v/>
      </c>
    </row>
    <row r="87" spans="20:20">
      <c r="T87" s="34" t="str">
        <f t="shared" si="1"/>
        <v/>
      </c>
    </row>
    <row r="88" spans="20:20">
      <c r="T88" s="34" t="str">
        <f t="shared" si="1"/>
        <v/>
      </c>
    </row>
    <row r="89" spans="20:20">
      <c r="T89" s="34" t="str">
        <f t="shared" si="1"/>
        <v/>
      </c>
    </row>
    <row r="90" spans="20:20">
      <c r="T90" s="34" t="str">
        <f t="shared" si="1"/>
        <v/>
      </c>
    </row>
    <row r="91" spans="20:20">
      <c r="T91" s="34" t="str">
        <f t="shared" si="1"/>
        <v/>
      </c>
    </row>
    <row r="92" spans="20:20">
      <c r="T92" s="34" t="str">
        <f t="shared" si="1"/>
        <v/>
      </c>
    </row>
    <row r="93" spans="20:20">
      <c r="T93" s="34" t="str">
        <f t="shared" si="1"/>
        <v/>
      </c>
    </row>
    <row r="94" spans="20:20">
      <c r="T94" s="34" t="str">
        <f t="shared" si="1"/>
        <v/>
      </c>
    </row>
    <row r="95" spans="20:20">
      <c r="T95" s="34" t="str">
        <f t="shared" si="1"/>
        <v/>
      </c>
    </row>
    <row r="96" spans="20:20">
      <c r="T96" s="34" t="str">
        <f t="shared" si="1"/>
        <v/>
      </c>
    </row>
    <row r="97" spans="20:20">
      <c r="T97" s="34" t="str">
        <f t="shared" si="1"/>
        <v/>
      </c>
    </row>
    <row r="98" spans="20:20">
      <c r="T98" s="34" t="str">
        <f t="shared" si="1"/>
        <v/>
      </c>
    </row>
    <row r="99" spans="20:20">
      <c r="T99" s="34" t="str">
        <f t="shared" si="1"/>
        <v/>
      </c>
    </row>
    <row r="100" spans="20:20">
      <c r="T100" s="34" t="str">
        <f t="shared" si="1"/>
        <v/>
      </c>
    </row>
    <row r="101" spans="20:20">
      <c r="T101" s="34" t="str">
        <f t="shared" si="1"/>
        <v/>
      </c>
    </row>
    <row r="102" spans="20:20">
      <c r="T102" s="34" t="str">
        <f t="shared" si="1"/>
        <v/>
      </c>
    </row>
    <row r="103" spans="20:20">
      <c r="T103" s="34" t="str">
        <f t="shared" si="1"/>
        <v/>
      </c>
    </row>
    <row r="104" spans="20:20">
      <c r="T104" s="34" t="str">
        <f t="shared" si="1"/>
        <v/>
      </c>
    </row>
    <row r="105" spans="20:20">
      <c r="T105" s="34" t="str">
        <f t="shared" si="1"/>
        <v/>
      </c>
    </row>
    <row r="106" spans="20:20">
      <c r="T106" s="34" t="str">
        <f t="shared" si="1"/>
        <v/>
      </c>
    </row>
    <row r="107" spans="20:20">
      <c r="T107" s="34" t="str">
        <f t="shared" si="1"/>
        <v/>
      </c>
    </row>
    <row r="108" spans="20:20">
      <c r="T108" s="34" t="str">
        <f t="shared" si="1"/>
        <v/>
      </c>
    </row>
    <row r="109" spans="20:20">
      <c r="T109" s="34" t="str">
        <f t="shared" si="1"/>
        <v/>
      </c>
    </row>
    <row r="110" spans="20:20">
      <c r="T110" s="34" t="str">
        <f t="shared" si="1"/>
        <v/>
      </c>
    </row>
    <row r="111" spans="20:20">
      <c r="T111" s="34" t="str">
        <f t="shared" si="1"/>
        <v/>
      </c>
    </row>
    <row r="112" spans="20:20">
      <c r="T112" s="34" t="str">
        <f t="shared" si="1"/>
        <v/>
      </c>
    </row>
    <row r="113" spans="20:20">
      <c r="T113" s="34" t="str">
        <f t="shared" si="1"/>
        <v/>
      </c>
    </row>
    <row r="114" spans="20:20">
      <c r="T114" s="34" t="str">
        <f t="shared" si="1"/>
        <v/>
      </c>
    </row>
    <row r="115" spans="20:20">
      <c r="T115" s="34" t="str">
        <f t="shared" si="1"/>
        <v/>
      </c>
    </row>
    <row r="116" spans="20:20">
      <c r="T116" s="34" t="str">
        <f t="shared" si="1"/>
        <v/>
      </c>
    </row>
    <row r="117" spans="20:20">
      <c r="T117" s="34" t="str">
        <f t="shared" si="1"/>
        <v/>
      </c>
    </row>
    <row r="118" spans="20:20">
      <c r="T118" s="34" t="str">
        <f t="shared" si="1"/>
        <v/>
      </c>
    </row>
    <row r="119" spans="20:20">
      <c r="T119" s="34" t="str">
        <f t="shared" si="1"/>
        <v/>
      </c>
    </row>
    <row r="120" spans="20:20">
      <c r="T120" s="34" t="str">
        <f t="shared" si="1"/>
        <v/>
      </c>
    </row>
    <row r="121" spans="20:20">
      <c r="T121" s="34" t="str">
        <f t="shared" si="1"/>
        <v/>
      </c>
    </row>
    <row r="122" spans="20:20">
      <c r="T122" s="34" t="str">
        <f t="shared" si="1"/>
        <v/>
      </c>
    </row>
    <row r="123" spans="20:20">
      <c r="T123" s="34" t="str">
        <f t="shared" si="1"/>
        <v/>
      </c>
    </row>
    <row r="124" spans="20:20">
      <c r="T124" s="34" t="str">
        <f t="shared" si="1"/>
        <v/>
      </c>
    </row>
    <row r="125" spans="20:20">
      <c r="T125" s="34" t="str">
        <f t="shared" si="1"/>
        <v/>
      </c>
    </row>
    <row r="126" spans="20:20">
      <c r="T126" s="34" t="str">
        <f t="shared" si="1"/>
        <v/>
      </c>
    </row>
    <row r="127" spans="20:20">
      <c r="T127" s="34" t="str">
        <f t="shared" si="1"/>
        <v/>
      </c>
    </row>
    <row r="128" spans="20:20">
      <c r="T128" s="34" t="str">
        <f t="shared" si="1"/>
        <v/>
      </c>
    </row>
    <row r="129" spans="20:20">
      <c r="T129" s="34" t="str">
        <f t="shared" si="1"/>
        <v/>
      </c>
    </row>
    <row r="130" spans="20:20">
      <c r="T130" s="34" t="str">
        <f t="shared" si="1"/>
        <v/>
      </c>
    </row>
    <row r="131" spans="20:20">
      <c r="T131" s="34" t="str">
        <f t="shared" ref="T131:T194" si="2">IF(AND(TRIM(Q131&amp;"")="",TRIM(R131&amp;"")=""),"",IF(R131&lt;5,"Misc Pallet",ROUNDUP(R131/7,0)&amp;" Pallet"&amp;IF(ROUNDUP(R131/7,0)&gt;1,"s","")))</f>
        <v/>
      </c>
    </row>
    <row r="132" spans="20:20">
      <c r="T132" s="34" t="str">
        <f t="shared" si="2"/>
        <v/>
      </c>
    </row>
    <row r="133" spans="20:20">
      <c r="T133" s="34" t="str">
        <f t="shared" si="2"/>
        <v/>
      </c>
    </row>
    <row r="134" spans="20:20">
      <c r="T134" s="34" t="str">
        <f t="shared" si="2"/>
        <v/>
      </c>
    </row>
    <row r="135" spans="20:20">
      <c r="T135" s="34" t="str">
        <f t="shared" si="2"/>
        <v/>
      </c>
    </row>
    <row r="136" spans="20:20">
      <c r="T136" s="34" t="str">
        <f t="shared" si="2"/>
        <v/>
      </c>
    </row>
    <row r="137" spans="20:20">
      <c r="T137" s="34" t="str">
        <f t="shared" si="2"/>
        <v/>
      </c>
    </row>
    <row r="138" spans="20:20">
      <c r="T138" s="34" t="str">
        <f t="shared" si="2"/>
        <v/>
      </c>
    </row>
    <row r="139" spans="20:20">
      <c r="T139" s="34" t="str">
        <f t="shared" si="2"/>
        <v/>
      </c>
    </row>
    <row r="140" spans="20:20">
      <c r="T140" s="34" t="str">
        <f t="shared" si="2"/>
        <v/>
      </c>
    </row>
    <row r="141" spans="20:20">
      <c r="T141" s="34" t="str">
        <f t="shared" si="2"/>
        <v/>
      </c>
    </row>
    <row r="142" spans="20:20">
      <c r="T142" s="34" t="str">
        <f t="shared" si="2"/>
        <v/>
      </c>
    </row>
    <row r="143" spans="20:20">
      <c r="T143" s="34" t="str">
        <f t="shared" si="2"/>
        <v/>
      </c>
    </row>
    <row r="144" spans="20:20">
      <c r="T144" s="34" t="str">
        <f t="shared" si="2"/>
        <v/>
      </c>
    </row>
    <row r="145" spans="20:20">
      <c r="T145" s="34" t="str">
        <f t="shared" si="2"/>
        <v/>
      </c>
    </row>
    <row r="146" spans="20:20">
      <c r="T146" s="34" t="str">
        <f t="shared" si="2"/>
        <v/>
      </c>
    </row>
    <row r="147" spans="20:20">
      <c r="T147" s="34" t="str">
        <f t="shared" si="2"/>
        <v/>
      </c>
    </row>
    <row r="148" spans="20:20">
      <c r="T148" s="34" t="str">
        <f t="shared" si="2"/>
        <v/>
      </c>
    </row>
    <row r="149" spans="20:20">
      <c r="T149" s="34" t="str">
        <f t="shared" si="2"/>
        <v/>
      </c>
    </row>
    <row r="150" spans="20:20">
      <c r="T150" s="34" t="str">
        <f t="shared" si="2"/>
        <v/>
      </c>
    </row>
    <row r="151" spans="20:20">
      <c r="T151" s="34" t="str">
        <f t="shared" si="2"/>
        <v/>
      </c>
    </row>
    <row r="152" spans="20:20">
      <c r="T152" s="34" t="str">
        <f t="shared" si="2"/>
        <v/>
      </c>
    </row>
    <row r="153" spans="20:20">
      <c r="T153" s="34" t="str">
        <f t="shared" si="2"/>
        <v/>
      </c>
    </row>
    <row r="154" spans="20:20">
      <c r="T154" s="34" t="str">
        <f t="shared" si="2"/>
        <v/>
      </c>
    </row>
    <row r="155" spans="20:20">
      <c r="T155" s="34" t="str">
        <f t="shared" si="2"/>
        <v/>
      </c>
    </row>
    <row r="156" spans="20:20">
      <c r="T156" s="34" t="str">
        <f t="shared" si="2"/>
        <v/>
      </c>
    </row>
    <row r="157" spans="20:20">
      <c r="T157" s="34" t="str">
        <f t="shared" si="2"/>
        <v/>
      </c>
    </row>
    <row r="158" spans="20:20">
      <c r="T158" s="34" t="str">
        <f t="shared" si="2"/>
        <v/>
      </c>
    </row>
    <row r="159" spans="20:20">
      <c r="T159" s="34" t="str">
        <f t="shared" si="2"/>
        <v/>
      </c>
    </row>
    <row r="160" spans="20:20">
      <c r="T160" s="34" t="str">
        <f t="shared" si="2"/>
        <v/>
      </c>
    </row>
    <row r="161" spans="20:20">
      <c r="T161" s="34" t="str">
        <f t="shared" si="2"/>
        <v/>
      </c>
    </row>
    <row r="162" spans="20:20">
      <c r="T162" s="34" t="str">
        <f t="shared" si="2"/>
        <v/>
      </c>
    </row>
    <row r="163" spans="20:20">
      <c r="T163" s="34" t="str">
        <f t="shared" si="2"/>
        <v/>
      </c>
    </row>
    <row r="164" spans="20:20">
      <c r="T164" s="34" t="str">
        <f t="shared" si="2"/>
        <v/>
      </c>
    </row>
    <row r="165" spans="20:20">
      <c r="T165" s="34" t="str">
        <f t="shared" si="2"/>
        <v/>
      </c>
    </row>
    <row r="166" spans="20:20">
      <c r="T166" s="34" t="str">
        <f t="shared" si="2"/>
        <v/>
      </c>
    </row>
    <row r="167" spans="20:20">
      <c r="T167" s="34" t="str">
        <f t="shared" si="2"/>
        <v/>
      </c>
    </row>
    <row r="168" spans="20:20">
      <c r="T168" s="34" t="str">
        <f t="shared" si="2"/>
        <v/>
      </c>
    </row>
    <row r="169" spans="20:20">
      <c r="T169" s="34" t="str">
        <f t="shared" si="2"/>
        <v/>
      </c>
    </row>
    <row r="170" spans="20:20">
      <c r="T170" s="34" t="str">
        <f t="shared" si="2"/>
        <v/>
      </c>
    </row>
    <row r="171" spans="20:20">
      <c r="T171" s="34" t="str">
        <f t="shared" si="2"/>
        <v/>
      </c>
    </row>
    <row r="172" spans="20:20">
      <c r="T172" s="34" t="str">
        <f t="shared" si="2"/>
        <v/>
      </c>
    </row>
    <row r="173" spans="20:20">
      <c r="T173" s="34" t="str">
        <f t="shared" si="2"/>
        <v/>
      </c>
    </row>
    <row r="174" spans="20:20">
      <c r="T174" s="34" t="str">
        <f t="shared" si="2"/>
        <v/>
      </c>
    </row>
    <row r="175" spans="20:20">
      <c r="T175" s="34" t="str">
        <f t="shared" si="2"/>
        <v/>
      </c>
    </row>
    <row r="176" spans="20:20">
      <c r="T176" s="34" t="str">
        <f t="shared" si="2"/>
        <v/>
      </c>
    </row>
    <row r="177" spans="20:20">
      <c r="T177" s="34" t="str">
        <f t="shared" si="2"/>
        <v/>
      </c>
    </row>
    <row r="178" spans="20:20">
      <c r="T178" s="34" t="str">
        <f t="shared" si="2"/>
        <v/>
      </c>
    </row>
    <row r="179" spans="20:20">
      <c r="T179" s="34" t="str">
        <f t="shared" si="2"/>
        <v/>
      </c>
    </row>
    <row r="180" spans="20:20">
      <c r="T180" s="34" t="str">
        <f t="shared" si="2"/>
        <v/>
      </c>
    </row>
    <row r="181" spans="20:20">
      <c r="T181" s="34" t="str">
        <f t="shared" si="2"/>
        <v/>
      </c>
    </row>
    <row r="182" spans="20:20">
      <c r="T182" s="34" t="str">
        <f t="shared" si="2"/>
        <v/>
      </c>
    </row>
    <row r="183" spans="20:20">
      <c r="T183" s="34" t="str">
        <f t="shared" si="2"/>
        <v/>
      </c>
    </row>
    <row r="184" spans="20:20">
      <c r="T184" s="34" t="str">
        <f t="shared" si="2"/>
        <v/>
      </c>
    </row>
    <row r="185" spans="20:20">
      <c r="T185" s="34" t="str">
        <f t="shared" si="2"/>
        <v/>
      </c>
    </row>
    <row r="186" spans="20:20">
      <c r="T186" s="34" t="str">
        <f t="shared" si="2"/>
        <v/>
      </c>
    </row>
    <row r="187" spans="20:20">
      <c r="T187" s="34" t="str">
        <f t="shared" si="2"/>
        <v/>
      </c>
    </row>
    <row r="188" spans="20:20">
      <c r="T188" s="34" t="str">
        <f t="shared" si="2"/>
        <v/>
      </c>
    </row>
    <row r="189" spans="20:20">
      <c r="T189" s="34" t="str">
        <f t="shared" si="2"/>
        <v/>
      </c>
    </row>
    <row r="190" spans="20:20">
      <c r="T190" s="34" t="str">
        <f t="shared" si="2"/>
        <v/>
      </c>
    </row>
    <row r="191" spans="20:20">
      <c r="T191" s="34" t="str">
        <f t="shared" si="2"/>
        <v/>
      </c>
    </row>
    <row r="192" spans="20:20">
      <c r="T192" s="34" t="str">
        <f t="shared" si="2"/>
        <v/>
      </c>
    </row>
    <row r="193" spans="20:20">
      <c r="T193" s="34" t="str">
        <f t="shared" si="2"/>
        <v/>
      </c>
    </row>
    <row r="194" spans="20:20">
      <c r="T194" s="34" t="str">
        <f t="shared" si="2"/>
        <v/>
      </c>
    </row>
    <row r="195" spans="20:20">
      <c r="T195" s="34" t="str">
        <f t="shared" ref="T195:T258" si="3">IF(AND(TRIM(Q195&amp;"")="",TRIM(R195&amp;"")=""),"",IF(R195&lt;5,"Misc Pallet",ROUNDUP(R195/7,0)&amp;" Pallet"&amp;IF(ROUNDUP(R195/7,0)&gt;1,"s","")))</f>
        <v/>
      </c>
    </row>
    <row r="196" spans="20:20">
      <c r="T196" s="34" t="str">
        <f t="shared" si="3"/>
        <v/>
      </c>
    </row>
    <row r="197" spans="20:20">
      <c r="T197" s="34" t="str">
        <f t="shared" si="3"/>
        <v/>
      </c>
    </row>
    <row r="198" spans="20:20">
      <c r="T198" s="34" t="str">
        <f t="shared" si="3"/>
        <v/>
      </c>
    </row>
    <row r="199" spans="20:20">
      <c r="T199" s="34" t="str">
        <f t="shared" si="3"/>
        <v/>
      </c>
    </row>
    <row r="200" spans="20:20">
      <c r="T200" s="34" t="str">
        <f t="shared" si="3"/>
        <v/>
      </c>
    </row>
    <row r="201" spans="20:20">
      <c r="T201" s="34" t="str">
        <f t="shared" si="3"/>
        <v/>
      </c>
    </row>
    <row r="202" spans="20:20">
      <c r="T202" s="34" t="str">
        <f t="shared" si="3"/>
        <v/>
      </c>
    </row>
    <row r="203" spans="20:20">
      <c r="T203" s="34" t="str">
        <f t="shared" si="3"/>
        <v/>
      </c>
    </row>
    <row r="204" spans="20:20">
      <c r="T204" s="34" t="str">
        <f t="shared" si="3"/>
        <v/>
      </c>
    </row>
    <row r="205" spans="20:20">
      <c r="T205" s="34" t="str">
        <f t="shared" si="3"/>
        <v/>
      </c>
    </row>
    <row r="206" spans="20:20">
      <c r="T206" s="34" t="str">
        <f t="shared" si="3"/>
        <v/>
      </c>
    </row>
    <row r="207" spans="20:20">
      <c r="T207" s="34" t="str">
        <f t="shared" si="3"/>
        <v/>
      </c>
    </row>
    <row r="208" spans="20:20">
      <c r="T208" s="34" t="str">
        <f t="shared" si="3"/>
        <v/>
      </c>
    </row>
    <row r="209" spans="20:20">
      <c r="T209" s="34" t="str">
        <f t="shared" si="3"/>
        <v/>
      </c>
    </row>
    <row r="210" spans="20:20">
      <c r="T210" s="34" t="str">
        <f t="shared" si="3"/>
        <v/>
      </c>
    </row>
    <row r="211" spans="20:20">
      <c r="T211" s="34" t="str">
        <f t="shared" si="3"/>
        <v/>
      </c>
    </row>
    <row r="212" spans="20:20">
      <c r="T212" s="34" t="str">
        <f t="shared" si="3"/>
        <v/>
      </c>
    </row>
    <row r="213" spans="20:20">
      <c r="T213" s="34" t="str">
        <f t="shared" si="3"/>
        <v/>
      </c>
    </row>
    <row r="214" spans="20:20">
      <c r="T214" s="34" t="str">
        <f t="shared" si="3"/>
        <v/>
      </c>
    </row>
    <row r="215" spans="20:20">
      <c r="T215" s="34" t="str">
        <f t="shared" si="3"/>
        <v/>
      </c>
    </row>
    <row r="216" spans="20:20">
      <c r="T216" s="34" t="str">
        <f t="shared" si="3"/>
        <v/>
      </c>
    </row>
    <row r="217" spans="20:20">
      <c r="T217" s="34" t="str">
        <f t="shared" si="3"/>
        <v/>
      </c>
    </row>
    <row r="218" spans="20:20">
      <c r="T218" s="34" t="str">
        <f t="shared" si="3"/>
        <v/>
      </c>
    </row>
    <row r="219" spans="20:20">
      <c r="T219" s="34" t="str">
        <f t="shared" si="3"/>
        <v/>
      </c>
    </row>
    <row r="220" spans="20:20">
      <c r="T220" s="34" t="str">
        <f t="shared" si="3"/>
        <v/>
      </c>
    </row>
    <row r="221" spans="20:20">
      <c r="T221" s="34" t="str">
        <f t="shared" si="3"/>
        <v/>
      </c>
    </row>
    <row r="222" spans="20:20">
      <c r="T222" s="34" t="str">
        <f t="shared" si="3"/>
        <v/>
      </c>
    </row>
    <row r="223" spans="20:20">
      <c r="T223" s="34" t="str">
        <f t="shared" si="3"/>
        <v/>
      </c>
    </row>
    <row r="224" spans="20:20">
      <c r="T224" s="34" t="str">
        <f t="shared" si="3"/>
        <v/>
      </c>
    </row>
    <row r="225" spans="20:20">
      <c r="T225" s="34" t="str">
        <f t="shared" si="3"/>
        <v/>
      </c>
    </row>
    <row r="226" spans="20:20">
      <c r="T226" s="34" t="str">
        <f t="shared" si="3"/>
        <v/>
      </c>
    </row>
    <row r="227" spans="20:20">
      <c r="T227" s="34" t="str">
        <f t="shared" si="3"/>
        <v/>
      </c>
    </row>
    <row r="228" spans="20:20">
      <c r="T228" s="34" t="str">
        <f t="shared" si="3"/>
        <v/>
      </c>
    </row>
    <row r="229" spans="20:20">
      <c r="T229" s="34" t="str">
        <f t="shared" si="3"/>
        <v/>
      </c>
    </row>
    <row r="230" spans="20:20">
      <c r="T230" s="34" t="str">
        <f t="shared" si="3"/>
        <v/>
      </c>
    </row>
    <row r="231" spans="20:20">
      <c r="T231" s="34" t="str">
        <f t="shared" si="3"/>
        <v/>
      </c>
    </row>
    <row r="232" spans="20:20">
      <c r="T232" s="34" t="str">
        <f t="shared" si="3"/>
        <v/>
      </c>
    </row>
    <row r="233" spans="20:20">
      <c r="T233" s="34" t="str">
        <f t="shared" si="3"/>
        <v/>
      </c>
    </row>
    <row r="234" spans="20:20">
      <c r="T234" s="34" t="str">
        <f t="shared" si="3"/>
        <v/>
      </c>
    </row>
    <row r="235" spans="20:20">
      <c r="T235" s="34" t="str">
        <f t="shared" si="3"/>
        <v/>
      </c>
    </row>
    <row r="236" spans="20:20">
      <c r="T236" s="34" t="str">
        <f t="shared" si="3"/>
        <v/>
      </c>
    </row>
    <row r="237" spans="20:20">
      <c r="T237" s="34" t="str">
        <f t="shared" si="3"/>
        <v/>
      </c>
    </row>
    <row r="238" spans="20:20">
      <c r="T238" s="34" t="str">
        <f t="shared" si="3"/>
        <v/>
      </c>
    </row>
    <row r="239" spans="20:20">
      <c r="T239" s="34" t="str">
        <f t="shared" si="3"/>
        <v/>
      </c>
    </row>
    <row r="240" spans="20:20">
      <c r="T240" s="34" t="str">
        <f t="shared" si="3"/>
        <v/>
      </c>
    </row>
    <row r="241" spans="20:20">
      <c r="T241" s="34" t="str">
        <f t="shared" si="3"/>
        <v/>
      </c>
    </row>
    <row r="242" spans="20:20">
      <c r="T242" s="34" t="str">
        <f t="shared" si="3"/>
        <v/>
      </c>
    </row>
    <row r="243" spans="20:20">
      <c r="T243" s="34" t="str">
        <f t="shared" si="3"/>
        <v/>
      </c>
    </row>
    <row r="244" spans="20:20">
      <c r="T244" s="34" t="str">
        <f t="shared" si="3"/>
        <v/>
      </c>
    </row>
    <row r="245" spans="20:20">
      <c r="T245" s="34" t="str">
        <f t="shared" si="3"/>
        <v/>
      </c>
    </row>
    <row r="246" spans="20:20">
      <c r="T246" s="34" t="str">
        <f t="shared" si="3"/>
        <v/>
      </c>
    </row>
    <row r="247" spans="20:20">
      <c r="T247" s="34" t="str">
        <f t="shared" si="3"/>
        <v/>
      </c>
    </row>
    <row r="248" spans="20:20">
      <c r="T248" s="34" t="str">
        <f t="shared" si="3"/>
        <v/>
      </c>
    </row>
    <row r="249" spans="20:20">
      <c r="T249" s="34" t="str">
        <f t="shared" si="3"/>
        <v/>
      </c>
    </row>
    <row r="250" spans="20:20">
      <c r="T250" s="34" t="str">
        <f t="shared" si="3"/>
        <v/>
      </c>
    </row>
    <row r="251" spans="20:20">
      <c r="T251" s="34" t="str">
        <f t="shared" si="3"/>
        <v/>
      </c>
    </row>
    <row r="252" spans="20:20">
      <c r="T252" s="34" t="str">
        <f t="shared" si="3"/>
        <v/>
      </c>
    </row>
    <row r="253" spans="20:20">
      <c r="T253" s="34" t="str">
        <f t="shared" si="3"/>
        <v/>
      </c>
    </row>
    <row r="254" spans="20:20">
      <c r="T254" s="34" t="str">
        <f t="shared" si="3"/>
        <v/>
      </c>
    </row>
    <row r="255" spans="20:20">
      <c r="T255" s="34" t="str">
        <f t="shared" si="3"/>
        <v/>
      </c>
    </row>
    <row r="256" spans="20:20">
      <c r="T256" s="34" t="str">
        <f t="shared" si="3"/>
        <v/>
      </c>
    </row>
    <row r="257" spans="20:20">
      <c r="T257" s="34" t="str">
        <f t="shared" si="3"/>
        <v/>
      </c>
    </row>
    <row r="258" spans="20:20">
      <c r="T258" s="34" t="str">
        <f t="shared" si="3"/>
        <v/>
      </c>
    </row>
    <row r="259" spans="20:20">
      <c r="T259" s="34" t="str">
        <f t="shared" ref="T259:T322" si="4">IF(AND(TRIM(Q259&amp;"")="",TRIM(R259&amp;"")=""),"",IF(R259&lt;5,"Misc Pallet",ROUNDUP(R259/7,0)&amp;" Pallet"&amp;IF(ROUNDUP(R259/7,0)&gt;1,"s","")))</f>
        <v/>
      </c>
    </row>
    <row r="260" spans="20:20">
      <c r="T260" s="34" t="str">
        <f t="shared" si="4"/>
        <v/>
      </c>
    </row>
    <row r="261" spans="20:20">
      <c r="T261" s="34" t="str">
        <f t="shared" si="4"/>
        <v/>
      </c>
    </row>
    <row r="262" spans="20:20">
      <c r="T262" s="34" t="str">
        <f t="shared" si="4"/>
        <v/>
      </c>
    </row>
    <row r="263" spans="20:20">
      <c r="T263" s="34" t="str">
        <f t="shared" si="4"/>
        <v/>
      </c>
    </row>
    <row r="264" spans="20:20">
      <c r="T264" s="34" t="str">
        <f t="shared" si="4"/>
        <v/>
      </c>
    </row>
    <row r="265" spans="20:20">
      <c r="T265" s="34" t="str">
        <f t="shared" si="4"/>
        <v/>
      </c>
    </row>
    <row r="266" spans="20:20">
      <c r="T266" s="34" t="str">
        <f t="shared" si="4"/>
        <v/>
      </c>
    </row>
    <row r="267" spans="20:20">
      <c r="T267" s="34" t="str">
        <f t="shared" si="4"/>
        <v/>
      </c>
    </row>
    <row r="268" spans="20:20">
      <c r="T268" s="34" t="str">
        <f t="shared" si="4"/>
        <v/>
      </c>
    </row>
    <row r="269" spans="20:20">
      <c r="T269" s="34" t="str">
        <f t="shared" si="4"/>
        <v/>
      </c>
    </row>
    <row r="270" spans="20:20">
      <c r="T270" s="34" t="str">
        <f t="shared" si="4"/>
        <v/>
      </c>
    </row>
    <row r="271" spans="20:20">
      <c r="T271" s="34" t="str">
        <f t="shared" si="4"/>
        <v/>
      </c>
    </row>
    <row r="272" spans="20:20">
      <c r="T272" s="34" t="str">
        <f t="shared" si="4"/>
        <v/>
      </c>
    </row>
    <row r="273" spans="20:20">
      <c r="T273" s="34" t="str">
        <f t="shared" si="4"/>
        <v/>
      </c>
    </row>
    <row r="274" spans="20:20">
      <c r="T274" s="34" t="str">
        <f t="shared" si="4"/>
        <v/>
      </c>
    </row>
    <row r="275" spans="20:20">
      <c r="T275" s="34" t="str">
        <f t="shared" si="4"/>
        <v/>
      </c>
    </row>
    <row r="276" spans="20:20">
      <c r="T276" s="34" t="str">
        <f t="shared" si="4"/>
        <v/>
      </c>
    </row>
    <row r="277" spans="20:20">
      <c r="T277" s="34" t="str">
        <f t="shared" si="4"/>
        <v/>
      </c>
    </row>
    <row r="278" spans="20:20">
      <c r="T278" s="34" t="str">
        <f t="shared" si="4"/>
        <v/>
      </c>
    </row>
    <row r="279" spans="20:20">
      <c r="T279" s="34" t="str">
        <f t="shared" si="4"/>
        <v/>
      </c>
    </row>
    <row r="280" spans="20:20">
      <c r="T280" s="34" t="str">
        <f t="shared" si="4"/>
        <v/>
      </c>
    </row>
    <row r="281" spans="20:20">
      <c r="T281" s="34" t="str">
        <f t="shared" si="4"/>
        <v/>
      </c>
    </row>
    <row r="282" spans="20:20">
      <c r="T282" s="34" t="str">
        <f t="shared" si="4"/>
        <v/>
      </c>
    </row>
    <row r="283" spans="20:20">
      <c r="T283" s="34" t="str">
        <f t="shared" si="4"/>
        <v/>
      </c>
    </row>
    <row r="284" spans="20:20">
      <c r="T284" s="34" t="str">
        <f t="shared" si="4"/>
        <v/>
      </c>
    </row>
    <row r="285" spans="20:20">
      <c r="T285" s="34" t="str">
        <f t="shared" si="4"/>
        <v/>
      </c>
    </row>
    <row r="286" spans="20:20">
      <c r="T286" s="34" t="str">
        <f t="shared" si="4"/>
        <v/>
      </c>
    </row>
    <row r="287" spans="20:20">
      <c r="T287" s="34" t="str">
        <f t="shared" si="4"/>
        <v/>
      </c>
    </row>
    <row r="288" spans="20:20">
      <c r="T288" s="34" t="str">
        <f t="shared" si="4"/>
        <v/>
      </c>
    </row>
    <row r="289" spans="20:20">
      <c r="T289" s="34" t="str">
        <f t="shared" si="4"/>
        <v/>
      </c>
    </row>
    <row r="290" spans="20:20">
      <c r="T290" s="34" t="str">
        <f t="shared" si="4"/>
        <v/>
      </c>
    </row>
    <row r="291" spans="20:20">
      <c r="T291" s="34" t="str">
        <f t="shared" si="4"/>
        <v/>
      </c>
    </row>
    <row r="292" spans="20:20">
      <c r="T292" s="34" t="str">
        <f t="shared" si="4"/>
        <v/>
      </c>
    </row>
    <row r="293" spans="20:20">
      <c r="T293" s="34" t="str">
        <f t="shared" si="4"/>
        <v/>
      </c>
    </row>
    <row r="294" spans="20:20">
      <c r="T294" s="34" t="str">
        <f t="shared" si="4"/>
        <v/>
      </c>
    </row>
    <row r="295" spans="20:20">
      <c r="T295" s="34" t="str">
        <f t="shared" si="4"/>
        <v/>
      </c>
    </row>
    <row r="296" spans="20:20">
      <c r="T296" s="34" t="str">
        <f t="shared" si="4"/>
        <v/>
      </c>
    </row>
    <row r="297" spans="20:20">
      <c r="T297" s="34" t="str">
        <f t="shared" si="4"/>
        <v/>
      </c>
    </row>
    <row r="298" spans="20:20">
      <c r="T298" s="34" t="str">
        <f t="shared" si="4"/>
        <v/>
      </c>
    </row>
    <row r="299" spans="20:20">
      <c r="T299" s="34" t="str">
        <f t="shared" si="4"/>
        <v/>
      </c>
    </row>
    <row r="300" spans="20:20">
      <c r="T300" s="34" t="str">
        <f t="shared" si="4"/>
        <v/>
      </c>
    </row>
    <row r="301" spans="20:20">
      <c r="T301" s="34" t="str">
        <f t="shared" si="4"/>
        <v/>
      </c>
    </row>
    <row r="302" spans="20:20">
      <c r="T302" s="34" t="str">
        <f t="shared" si="4"/>
        <v/>
      </c>
    </row>
    <row r="303" spans="20:20">
      <c r="T303" s="34" t="str">
        <f t="shared" si="4"/>
        <v/>
      </c>
    </row>
    <row r="304" spans="20:20">
      <c r="T304" s="34" t="str">
        <f t="shared" si="4"/>
        <v/>
      </c>
    </row>
    <row r="305" spans="20:20">
      <c r="T305" s="34" t="str">
        <f t="shared" si="4"/>
        <v/>
      </c>
    </row>
    <row r="306" spans="20:20">
      <c r="T306" s="34" t="str">
        <f t="shared" si="4"/>
        <v/>
      </c>
    </row>
    <row r="307" spans="20:20">
      <c r="T307" s="34" t="str">
        <f t="shared" si="4"/>
        <v/>
      </c>
    </row>
    <row r="308" spans="20:20">
      <c r="T308" s="34" t="str">
        <f t="shared" si="4"/>
        <v/>
      </c>
    </row>
    <row r="309" spans="20:20">
      <c r="T309" s="34" t="str">
        <f t="shared" si="4"/>
        <v/>
      </c>
    </row>
    <row r="310" spans="20:20">
      <c r="T310" s="34" t="str">
        <f t="shared" si="4"/>
        <v/>
      </c>
    </row>
    <row r="311" spans="20:20">
      <c r="T311" s="34" t="str">
        <f t="shared" si="4"/>
        <v/>
      </c>
    </row>
    <row r="312" spans="20:20">
      <c r="T312" s="34" t="str">
        <f t="shared" si="4"/>
        <v/>
      </c>
    </row>
    <row r="313" spans="20:20">
      <c r="T313" s="34" t="str">
        <f t="shared" si="4"/>
        <v/>
      </c>
    </row>
    <row r="314" spans="20:20">
      <c r="T314" s="34" t="str">
        <f t="shared" si="4"/>
        <v/>
      </c>
    </row>
    <row r="315" spans="20:20">
      <c r="T315" s="34" t="str">
        <f t="shared" si="4"/>
        <v/>
      </c>
    </row>
    <row r="316" spans="20:20">
      <c r="T316" s="34" t="str">
        <f t="shared" si="4"/>
        <v/>
      </c>
    </row>
    <row r="317" spans="20:20">
      <c r="T317" s="34" t="str">
        <f t="shared" si="4"/>
        <v/>
      </c>
    </row>
    <row r="318" spans="20:20">
      <c r="T318" s="34" t="str">
        <f t="shared" si="4"/>
        <v/>
      </c>
    </row>
    <row r="319" spans="20:20">
      <c r="T319" s="34" t="str">
        <f t="shared" si="4"/>
        <v/>
      </c>
    </row>
    <row r="320" spans="20:20">
      <c r="T320" s="34" t="str">
        <f t="shared" si="4"/>
        <v/>
      </c>
    </row>
    <row r="321" spans="20:20">
      <c r="T321" s="34" t="str">
        <f t="shared" si="4"/>
        <v/>
      </c>
    </row>
    <row r="322" spans="20:20">
      <c r="T322" s="34" t="str">
        <f t="shared" si="4"/>
        <v/>
      </c>
    </row>
    <row r="323" spans="20:20">
      <c r="T323" s="34" t="str">
        <f t="shared" ref="T323:T386" si="5">IF(AND(TRIM(Q323&amp;"")="",TRIM(R323&amp;"")=""),"",IF(R323&lt;5,"Misc Pallet",ROUNDUP(R323/7,0)&amp;" Pallet"&amp;IF(ROUNDUP(R323/7,0)&gt;1,"s","")))</f>
        <v/>
      </c>
    </row>
    <row r="324" spans="20:20">
      <c r="T324" s="34" t="str">
        <f t="shared" si="5"/>
        <v/>
      </c>
    </row>
    <row r="325" spans="20:20">
      <c r="T325" s="34" t="str">
        <f t="shared" si="5"/>
        <v/>
      </c>
    </row>
    <row r="326" spans="20:20">
      <c r="T326" s="34" t="str">
        <f t="shared" si="5"/>
        <v/>
      </c>
    </row>
    <row r="327" spans="20:20">
      <c r="T327" s="34" t="str">
        <f t="shared" si="5"/>
        <v/>
      </c>
    </row>
    <row r="328" spans="20:20">
      <c r="T328" s="34" t="str">
        <f t="shared" si="5"/>
        <v/>
      </c>
    </row>
    <row r="329" spans="20:20">
      <c r="T329" s="34" t="str">
        <f t="shared" si="5"/>
        <v/>
      </c>
    </row>
    <row r="330" spans="20:20">
      <c r="T330" s="34" t="str">
        <f t="shared" si="5"/>
        <v/>
      </c>
    </row>
    <row r="331" spans="20:20">
      <c r="T331" s="34" t="str">
        <f t="shared" si="5"/>
        <v/>
      </c>
    </row>
    <row r="332" spans="20:20">
      <c r="T332" s="34" t="str">
        <f t="shared" si="5"/>
        <v/>
      </c>
    </row>
    <row r="333" spans="20:20">
      <c r="T333" s="34" t="str">
        <f t="shared" si="5"/>
        <v/>
      </c>
    </row>
    <row r="334" spans="20:20">
      <c r="T334" s="34" t="str">
        <f t="shared" si="5"/>
        <v/>
      </c>
    </row>
    <row r="335" spans="20:20">
      <c r="T335" s="34" t="str">
        <f t="shared" si="5"/>
        <v/>
      </c>
    </row>
    <row r="336" spans="20:20">
      <c r="T336" s="34" t="str">
        <f t="shared" si="5"/>
        <v/>
      </c>
    </row>
    <row r="337" spans="20:20">
      <c r="T337" s="34" t="str">
        <f t="shared" si="5"/>
        <v/>
      </c>
    </row>
    <row r="338" spans="20:20">
      <c r="T338" s="34" t="str">
        <f t="shared" si="5"/>
        <v/>
      </c>
    </row>
    <row r="339" spans="20:20">
      <c r="T339" s="34" t="str">
        <f t="shared" si="5"/>
        <v/>
      </c>
    </row>
    <row r="340" spans="20:20">
      <c r="T340" s="34" t="str">
        <f t="shared" si="5"/>
        <v/>
      </c>
    </row>
    <row r="341" spans="20:20">
      <c r="T341" s="34" t="str">
        <f t="shared" si="5"/>
        <v/>
      </c>
    </row>
    <row r="342" spans="20:20">
      <c r="T342" s="34" t="str">
        <f t="shared" si="5"/>
        <v/>
      </c>
    </row>
    <row r="343" spans="20:20">
      <c r="T343" s="34" t="str">
        <f t="shared" si="5"/>
        <v/>
      </c>
    </row>
    <row r="344" spans="20:20">
      <c r="T344" s="34" t="str">
        <f t="shared" si="5"/>
        <v/>
      </c>
    </row>
    <row r="345" spans="20:20">
      <c r="T345" s="34" t="str">
        <f t="shared" si="5"/>
        <v/>
      </c>
    </row>
    <row r="346" spans="20:20">
      <c r="T346" s="34" t="str">
        <f t="shared" si="5"/>
        <v/>
      </c>
    </row>
    <row r="347" spans="20:20">
      <c r="T347" s="34" t="str">
        <f t="shared" si="5"/>
        <v/>
      </c>
    </row>
    <row r="348" spans="20:20">
      <c r="T348" s="34" t="str">
        <f t="shared" si="5"/>
        <v/>
      </c>
    </row>
    <row r="349" spans="20:20">
      <c r="T349" s="34" t="str">
        <f t="shared" si="5"/>
        <v/>
      </c>
    </row>
    <row r="350" spans="20:20">
      <c r="T350" s="34" t="str">
        <f t="shared" si="5"/>
        <v/>
      </c>
    </row>
    <row r="351" spans="20:20">
      <c r="T351" s="34" t="str">
        <f t="shared" si="5"/>
        <v/>
      </c>
    </row>
    <row r="352" spans="20:20">
      <c r="T352" s="34" t="str">
        <f t="shared" si="5"/>
        <v/>
      </c>
    </row>
    <row r="353" spans="20:20">
      <c r="T353" s="34" t="str">
        <f t="shared" si="5"/>
        <v/>
      </c>
    </row>
    <row r="354" spans="20:20">
      <c r="T354" s="34" t="str">
        <f t="shared" si="5"/>
        <v/>
      </c>
    </row>
    <row r="355" spans="20:20">
      <c r="T355" s="34" t="str">
        <f t="shared" si="5"/>
        <v/>
      </c>
    </row>
    <row r="356" spans="20:20">
      <c r="T356" s="34" t="str">
        <f t="shared" si="5"/>
        <v/>
      </c>
    </row>
    <row r="357" spans="20:20">
      <c r="T357" s="34" t="str">
        <f t="shared" si="5"/>
        <v/>
      </c>
    </row>
    <row r="358" spans="20:20">
      <c r="T358" s="34" t="str">
        <f t="shared" si="5"/>
        <v/>
      </c>
    </row>
    <row r="359" spans="20:20">
      <c r="T359" s="34" t="str">
        <f t="shared" si="5"/>
        <v/>
      </c>
    </row>
    <row r="360" spans="20:20">
      <c r="T360" s="34" t="str">
        <f t="shared" si="5"/>
        <v/>
      </c>
    </row>
    <row r="361" spans="20:20">
      <c r="T361" s="34" t="str">
        <f t="shared" si="5"/>
        <v/>
      </c>
    </row>
    <row r="362" spans="20:20">
      <c r="T362" s="34" t="str">
        <f t="shared" si="5"/>
        <v/>
      </c>
    </row>
    <row r="363" spans="20:20">
      <c r="T363" s="34" t="str">
        <f t="shared" si="5"/>
        <v/>
      </c>
    </row>
    <row r="364" spans="20:20">
      <c r="T364" s="34" t="str">
        <f t="shared" si="5"/>
        <v/>
      </c>
    </row>
    <row r="365" spans="20:20">
      <c r="T365" s="34" t="str">
        <f t="shared" si="5"/>
        <v/>
      </c>
    </row>
    <row r="366" spans="20:20">
      <c r="T366" s="34" t="str">
        <f t="shared" si="5"/>
        <v/>
      </c>
    </row>
    <row r="367" spans="20:20">
      <c r="T367" s="34" t="str">
        <f t="shared" si="5"/>
        <v/>
      </c>
    </row>
    <row r="368" spans="20:20">
      <c r="T368" s="34" t="str">
        <f t="shared" si="5"/>
        <v/>
      </c>
    </row>
    <row r="369" spans="20:20">
      <c r="T369" s="34" t="str">
        <f t="shared" si="5"/>
        <v/>
      </c>
    </row>
    <row r="370" spans="20:20">
      <c r="T370" s="34" t="str">
        <f t="shared" si="5"/>
        <v/>
      </c>
    </row>
    <row r="371" spans="20:20">
      <c r="T371" s="34" t="str">
        <f t="shared" si="5"/>
        <v/>
      </c>
    </row>
    <row r="372" spans="20:20">
      <c r="T372" s="34" t="str">
        <f t="shared" si="5"/>
        <v/>
      </c>
    </row>
    <row r="373" spans="20:20">
      <c r="T373" s="34" t="str">
        <f t="shared" si="5"/>
        <v/>
      </c>
    </row>
    <row r="374" spans="20:20">
      <c r="T374" s="34" t="str">
        <f t="shared" si="5"/>
        <v/>
      </c>
    </row>
    <row r="375" spans="20:20">
      <c r="T375" s="34" t="str">
        <f t="shared" si="5"/>
        <v/>
      </c>
    </row>
    <row r="376" spans="20:20">
      <c r="T376" s="34" t="str">
        <f t="shared" si="5"/>
        <v/>
      </c>
    </row>
    <row r="377" spans="20:20">
      <c r="T377" s="34" t="str">
        <f t="shared" si="5"/>
        <v/>
      </c>
    </row>
    <row r="378" spans="20:20">
      <c r="T378" s="34" t="str">
        <f t="shared" si="5"/>
        <v/>
      </c>
    </row>
    <row r="379" spans="20:20">
      <c r="T379" s="34" t="str">
        <f t="shared" si="5"/>
        <v/>
      </c>
    </row>
    <row r="380" spans="20:20">
      <c r="T380" s="34" t="str">
        <f t="shared" si="5"/>
        <v/>
      </c>
    </row>
    <row r="381" spans="20:20">
      <c r="T381" s="34" t="str">
        <f t="shared" si="5"/>
        <v/>
      </c>
    </row>
    <row r="382" spans="20:20">
      <c r="T382" s="34" t="str">
        <f t="shared" si="5"/>
        <v/>
      </c>
    </row>
    <row r="383" spans="20:20">
      <c r="T383" s="34" t="str">
        <f t="shared" si="5"/>
        <v/>
      </c>
    </row>
    <row r="384" spans="20:20">
      <c r="T384" s="34" t="str">
        <f t="shared" si="5"/>
        <v/>
      </c>
    </row>
    <row r="385" spans="20:20">
      <c r="T385" s="34" t="str">
        <f t="shared" si="5"/>
        <v/>
      </c>
    </row>
    <row r="386" spans="20:20">
      <c r="T386" s="34" t="str">
        <f t="shared" si="5"/>
        <v/>
      </c>
    </row>
    <row r="387" spans="20:20">
      <c r="T387" s="34" t="str">
        <f t="shared" ref="T387:T450" si="6">IF(AND(TRIM(Q387&amp;"")="",TRIM(R387&amp;"")=""),"",IF(R387&lt;5,"Misc Pallet",ROUNDUP(R387/7,0)&amp;" Pallet"&amp;IF(ROUNDUP(R387/7,0)&gt;1,"s","")))</f>
        <v/>
      </c>
    </row>
    <row r="388" spans="20:20">
      <c r="T388" s="34" t="str">
        <f t="shared" si="6"/>
        <v/>
      </c>
    </row>
    <row r="389" spans="20:20">
      <c r="T389" s="34" t="str">
        <f t="shared" si="6"/>
        <v/>
      </c>
    </row>
    <row r="390" spans="20:20">
      <c r="T390" s="34" t="str">
        <f t="shared" si="6"/>
        <v/>
      </c>
    </row>
    <row r="391" spans="20:20">
      <c r="T391" s="34" t="str">
        <f t="shared" si="6"/>
        <v/>
      </c>
    </row>
    <row r="392" spans="20:20">
      <c r="T392" s="34" t="str">
        <f t="shared" si="6"/>
        <v/>
      </c>
    </row>
    <row r="393" spans="20:20">
      <c r="T393" s="34" t="str">
        <f t="shared" si="6"/>
        <v/>
      </c>
    </row>
    <row r="394" spans="20:20">
      <c r="T394" s="34" t="str">
        <f t="shared" si="6"/>
        <v/>
      </c>
    </row>
    <row r="395" spans="20:20">
      <c r="T395" s="34" t="str">
        <f t="shared" si="6"/>
        <v/>
      </c>
    </row>
    <row r="396" spans="20:20">
      <c r="T396" s="34" t="str">
        <f t="shared" si="6"/>
        <v/>
      </c>
    </row>
    <row r="397" spans="20:20">
      <c r="T397" s="34" t="str">
        <f t="shared" si="6"/>
        <v/>
      </c>
    </row>
    <row r="398" spans="20:20">
      <c r="T398" s="34" t="str">
        <f t="shared" si="6"/>
        <v/>
      </c>
    </row>
    <row r="399" spans="20:20">
      <c r="T399" s="34" t="str">
        <f t="shared" si="6"/>
        <v/>
      </c>
    </row>
    <row r="400" spans="20:20">
      <c r="T400" s="34" t="str">
        <f t="shared" si="6"/>
        <v/>
      </c>
    </row>
    <row r="401" spans="20:20">
      <c r="T401" s="34" t="str">
        <f t="shared" si="6"/>
        <v/>
      </c>
    </row>
    <row r="402" spans="20:20">
      <c r="T402" s="34" t="str">
        <f t="shared" si="6"/>
        <v/>
      </c>
    </row>
    <row r="403" spans="20:20">
      <c r="T403" s="34" t="str">
        <f t="shared" si="6"/>
        <v/>
      </c>
    </row>
    <row r="404" spans="20:20">
      <c r="T404" s="34" t="str">
        <f t="shared" si="6"/>
        <v/>
      </c>
    </row>
    <row r="405" spans="20:20">
      <c r="T405" s="34" t="str">
        <f t="shared" si="6"/>
        <v/>
      </c>
    </row>
    <row r="406" spans="20:20">
      <c r="T406" s="34" t="str">
        <f t="shared" si="6"/>
        <v/>
      </c>
    </row>
    <row r="407" spans="20:20">
      <c r="T407" s="34" t="str">
        <f t="shared" si="6"/>
        <v/>
      </c>
    </row>
    <row r="408" spans="20:20">
      <c r="T408" s="34" t="str">
        <f t="shared" si="6"/>
        <v/>
      </c>
    </row>
    <row r="409" spans="20:20">
      <c r="T409" s="34" t="str">
        <f t="shared" si="6"/>
        <v/>
      </c>
    </row>
    <row r="410" spans="20:20">
      <c r="T410" s="34" t="str">
        <f t="shared" si="6"/>
        <v/>
      </c>
    </row>
    <row r="411" spans="20:20">
      <c r="T411" s="34" t="str">
        <f t="shared" si="6"/>
        <v/>
      </c>
    </row>
    <row r="412" spans="20:20">
      <c r="T412" s="34" t="str">
        <f t="shared" si="6"/>
        <v/>
      </c>
    </row>
    <row r="413" spans="20:20">
      <c r="T413" s="34" t="str">
        <f t="shared" si="6"/>
        <v/>
      </c>
    </row>
    <row r="414" spans="20:20">
      <c r="T414" s="34" t="str">
        <f t="shared" si="6"/>
        <v/>
      </c>
    </row>
    <row r="415" spans="20:20">
      <c r="T415" s="34" t="str">
        <f t="shared" si="6"/>
        <v/>
      </c>
    </row>
    <row r="416" spans="20:20">
      <c r="T416" s="34" t="str">
        <f t="shared" si="6"/>
        <v/>
      </c>
    </row>
    <row r="417" spans="20:20">
      <c r="T417" s="34" t="str">
        <f t="shared" si="6"/>
        <v/>
      </c>
    </row>
    <row r="418" spans="20:20">
      <c r="T418" s="34" t="str">
        <f t="shared" si="6"/>
        <v/>
      </c>
    </row>
    <row r="419" spans="20:20">
      <c r="T419" s="34" t="str">
        <f t="shared" si="6"/>
        <v/>
      </c>
    </row>
    <row r="420" spans="20:20">
      <c r="T420" s="34" t="str">
        <f t="shared" si="6"/>
        <v/>
      </c>
    </row>
    <row r="421" spans="20:20">
      <c r="T421" s="34" t="str">
        <f t="shared" si="6"/>
        <v/>
      </c>
    </row>
    <row r="422" spans="20:20">
      <c r="T422" s="34" t="str">
        <f t="shared" si="6"/>
        <v/>
      </c>
    </row>
    <row r="423" spans="20:20">
      <c r="T423" s="34" t="str">
        <f t="shared" si="6"/>
        <v/>
      </c>
    </row>
    <row r="424" spans="20:20">
      <c r="T424" s="34" t="str">
        <f t="shared" si="6"/>
        <v/>
      </c>
    </row>
    <row r="425" spans="20:20">
      <c r="T425" s="34" t="str">
        <f t="shared" si="6"/>
        <v/>
      </c>
    </row>
    <row r="426" spans="20:20">
      <c r="T426" s="34" t="str">
        <f t="shared" si="6"/>
        <v/>
      </c>
    </row>
    <row r="427" spans="20:20">
      <c r="T427" s="34" t="str">
        <f t="shared" si="6"/>
        <v/>
      </c>
    </row>
    <row r="428" spans="20:20">
      <c r="T428" s="34" t="str">
        <f t="shared" si="6"/>
        <v/>
      </c>
    </row>
    <row r="429" spans="20:20">
      <c r="T429" s="34" t="str">
        <f t="shared" si="6"/>
        <v/>
      </c>
    </row>
    <row r="430" spans="20:20">
      <c r="T430" s="34" t="str">
        <f t="shared" si="6"/>
        <v/>
      </c>
    </row>
    <row r="431" spans="20:20">
      <c r="T431" s="34" t="str">
        <f t="shared" si="6"/>
        <v/>
      </c>
    </row>
    <row r="432" spans="20:20">
      <c r="T432" s="34" t="str">
        <f t="shared" si="6"/>
        <v/>
      </c>
    </row>
    <row r="433" spans="20:20">
      <c r="T433" s="34" t="str">
        <f t="shared" si="6"/>
        <v/>
      </c>
    </row>
    <row r="434" spans="20:20">
      <c r="T434" s="34" t="str">
        <f t="shared" si="6"/>
        <v/>
      </c>
    </row>
    <row r="435" spans="20:20">
      <c r="T435" s="34" t="str">
        <f t="shared" si="6"/>
        <v/>
      </c>
    </row>
    <row r="436" spans="20:20">
      <c r="T436" s="34" t="str">
        <f t="shared" si="6"/>
        <v/>
      </c>
    </row>
    <row r="437" spans="20:20">
      <c r="T437" s="34" t="str">
        <f t="shared" si="6"/>
        <v/>
      </c>
    </row>
    <row r="438" spans="20:20">
      <c r="T438" s="34" t="str">
        <f t="shared" si="6"/>
        <v/>
      </c>
    </row>
    <row r="439" spans="20:20">
      <c r="T439" s="34" t="str">
        <f t="shared" si="6"/>
        <v/>
      </c>
    </row>
    <row r="440" spans="20:20">
      <c r="T440" s="34" t="str">
        <f t="shared" si="6"/>
        <v/>
      </c>
    </row>
    <row r="441" spans="20:20">
      <c r="T441" s="34" t="str">
        <f t="shared" si="6"/>
        <v/>
      </c>
    </row>
    <row r="442" spans="20:20">
      <c r="T442" s="34" t="str">
        <f t="shared" si="6"/>
        <v/>
      </c>
    </row>
    <row r="443" spans="20:20">
      <c r="T443" s="34" t="str">
        <f t="shared" si="6"/>
        <v/>
      </c>
    </row>
    <row r="444" spans="20:20">
      <c r="T444" s="34" t="str">
        <f t="shared" si="6"/>
        <v/>
      </c>
    </row>
    <row r="445" spans="20:20">
      <c r="T445" s="34" t="str">
        <f t="shared" si="6"/>
        <v/>
      </c>
    </row>
    <row r="446" spans="20:20">
      <c r="T446" s="34" t="str">
        <f t="shared" si="6"/>
        <v/>
      </c>
    </row>
    <row r="447" spans="20:20">
      <c r="T447" s="34" t="str">
        <f t="shared" si="6"/>
        <v/>
      </c>
    </row>
    <row r="448" spans="20:20">
      <c r="T448" s="34" t="str">
        <f t="shared" si="6"/>
        <v/>
      </c>
    </row>
    <row r="449" spans="20:20">
      <c r="T449" s="34" t="str">
        <f t="shared" si="6"/>
        <v/>
      </c>
    </row>
    <row r="450" spans="20:20">
      <c r="T450" s="34" t="str">
        <f t="shared" si="6"/>
        <v/>
      </c>
    </row>
    <row r="451" spans="20:20">
      <c r="T451" s="34" t="str">
        <f t="shared" ref="T451:T514" si="7">IF(AND(TRIM(Q451&amp;"")="",TRIM(R451&amp;"")=""),"",IF(R451&lt;5,"Misc Pallet",ROUNDUP(R451/7,0)&amp;" Pallet"&amp;IF(ROUNDUP(R451/7,0)&gt;1,"s","")))</f>
        <v/>
      </c>
    </row>
    <row r="452" spans="20:20">
      <c r="T452" s="34" t="str">
        <f t="shared" si="7"/>
        <v/>
      </c>
    </row>
    <row r="453" spans="20:20">
      <c r="T453" s="34" t="str">
        <f t="shared" si="7"/>
        <v/>
      </c>
    </row>
    <row r="454" spans="20:20">
      <c r="T454" s="34" t="str">
        <f t="shared" si="7"/>
        <v/>
      </c>
    </row>
    <row r="455" spans="20:20">
      <c r="T455" s="34" t="str">
        <f t="shared" si="7"/>
        <v/>
      </c>
    </row>
    <row r="456" spans="20:20">
      <c r="T456" s="34" t="str">
        <f t="shared" si="7"/>
        <v/>
      </c>
    </row>
    <row r="457" spans="20:20">
      <c r="T457" s="34" t="str">
        <f t="shared" si="7"/>
        <v/>
      </c>
    </row>
    <row r="458" spans="20:20">
      <c r="T458" s="34" t="str">
        <f t="shared" si="7"/>
        <v/>
      </c>
    </row>
    <row r="459" spans="20:20">
      <c r="T459" s="34" t="str">
        <f t="shared" si="7"/>
        <v/>
      </c>
    </row>
    <row r="460" spans="20:20">
      <c r="T460" s="34" t="str">
        <f t="shared" si="7"/>
        <v/>
      </c>
    </row>
    <row r="461" spans="20:20">
      <c r="T461" s="34" t="str">
        <f t="shared" si="7"/>
        <v/>
      </c>
    </row>
    <row r="462" spans="20:20">
      <c r="T462" s="34" t="str">
        <f t="shared" si="7"/>
        <v/>
      </c>
    </row>
    <row r="463" spans="20:20">
      <c r="T463" s="34" t="str">
        <f t="shared" si="7"/>
        <v/>
      </c>
    </row>
    <row r="464" spans="20:20">
      <c r="T464" s="34" t="str">
        <f t="shared" si="7"/>
        <v/>
      </c>
    </row>
    <row r="465" spans="20:20">
      <c r="T465" s="34" t="str">
        <f t="shared" si="7"/>
        <v/>
      </c>
    </row>
    <row r="466" spans="20:20">
      <c r="T466" s="34" t="str">
        <f t="shared" si="7"/>
        <v/>
      </c>
    </row>
    <row r="467" spans="20:20">
      <c r="T467" s="34" t="str">
        <f t="shared" si="7"/>
        <v/>
      </c>
    </row>
    <row r="468" spans="20:20">
      <c r="T468" s="34" t="str">
        <f t="shared" si="7"/>
        <v/>
      </c>
    </row>
    <row r="469" spans="20:20">
      <c r="T469" s="34" t="str">
        <f t="shared" si="7"/>
        <v/>
      </c>
    </row>
    <row r="470" spans="20:20">
      <c r="T470" s="34" t="str">
        <f t="shared" si="7"/>
        <v/>
      </c>
    </row>
    <row r="471" spans="20:20">
      <c r="T471" s="34" t="str">
        <f t="shared" si="7"/>
        <v/>
      </c>
    </row>
    <row r="472" spans="20:20">
      <c r="T472" s="34" t="str">
        <f t="shared" si="7"/>
        <v/>
      </c>
    </row>
    <row r="473" spans="20:20">
      <c r="T473" s="34" t="str">
        <f t="shared" si="7"/>
        <v/>
      </c>
    </row>
    <row r="474" spans="20:20">
      <c r="T474" s="34" t="str">
        <f t="shared" si="7"/>
        <v/>
      </c>
    </row>
    <row r="475" spans="20:20">
      <c r="T475" s="34" t="str">
        <f t="shared" si="7"/>
        <v/>
      </c>
    </row>
    <row r="476" spans="20:20">
      <c r="T476" s="34" t="str">
        <f t="shared" si="7"/>
        <v/>
      </c>
    </row>
    <row r="477" spans="20:20">
      <c r="T477" s="34" t="str">
        <f t="shared" si="7"/>
        <v/>
      </c>
    </row>
    <row r="478" spans="20:20">
      <c r="T478" s="34" t="str">
        <f t="shared" si="7"/>
        <v/>
      </c>
    </row>
    <row r="479" spans="20:20">
      <c r="T479" s="34" t="str">
        <f t="shared" si="7"/>
        <v/>
      </c>
    </row>
    <row r="480" spans="20:20">
      <c r="T480" s="34" t="str">
        <f t="shared" si="7"/>
        <v/>
      </c>
    </row>
    <row r="481" spans="20:20">
      <c r="T481" s="34" t="str">
        <f t="shared" si="7"/>
        <v/>
      </c>
    </row>
    <row r="482" spans="20:20">
      <c r="T482" s="34" t="str">
        <f t="shared" si="7"/>
        <v/>
      </c>
    </row>
    <row r="483" spans="20:20">
      <c r="T483" s="34" t="str">
        <f t="shared" si="7"/>
        <v/>
      </c>
    </row>
    <row r="484" spans="20:20">
      <c r="T484" s="34" t="str">
        <f t="shared" si="7"/>
        <v/>
      </c>
    </row>
    <row r="485" spans="20:20">
      <c r="T485" s="34" t="str">
        <f t="shared" si="7"/>
        <v/>
      </c>
    </row>
    <row r="486" spans="20:20">
      <c r="T486" s="34" t="str">
        <f t="shared" si="7"/>
        <v/>
      </c>
    </row>
    <row r="487" spans="20:20">
      <c r="T487" s="34" t="str">
        <f t="shared" si="7"/>
        <v/>
      </c>
    </row>
    <row r="488" spans="20:20">
      <c r="T488" s="34" t="str">
        <f t="shared" si="7"/>
        <v/>
      </c>
    </row>
    <row r="489" spans="20:20">
      <c r="T489" s="34" t="str">
        <f t="shared" si="7"/>
        <v/>
      </c>
    </row>
    <row r="490" spans="20:20">
      <c r="T490" s="34" t="str">
        <f t="shared" si="7"/>
        <v/>
      </c>
    </row>
    <row r="491" spans="20:20">
      <c r="T491" s="34" t="str">
        <f t="shared" si="7"/>
        <v/>
      </c>
    </row>
    <row r="492" spans="20:20">
      <c r="T492" s="34" t="str">
        <f t="shared" si="7"/>
        <v/>
      </c>
    </row>
    <row r="493" spans="20:20">
      <c r="T493" s="34" t="str">
        <f t="shared" si="7"/>
        <v/>
      </c>
    </row>
    <row r="494" spans="20:20">
      <c r="T494" s="34" t="str">
        <f t="shared" si="7"/>
        <v/>
      </c>
    </row>
    <row r="495" spans="20:20">
      <c r="T495" s="34" t="str">
        <f t="shared" si="7"/>
        <v/>
      </c>
    </row>
    <row r="496" spans="20:20">
      <c r="T496" s="34" t="str">
        <f t="shared" si="7"/>
        <v/>
      </c>
    </row>
    <row r="497" spans="20:20">
      <c r="T497" s="34" t="str">
        <f t="shared" si="7"/>
        <v/>
      </c>
    </row>
    <row r="498" spans="20:20">
      <c r="T498" s="34" t="str">
        <f t="shared" si="7"/>
        <v/>
      </c>
    </row>
    <row r="499" spans="20:20">
      <c r="T499" s="34" t="str">
        <f t="shared" si="7"/>
        <v/>
      </c>
    </row>
    <row r="500" spans="20:20">
      <c r="T500" s="34" t="str">
        <f t="shared" si="7"/>
        <v/>
      </c>
    </row>
    <row r="501" spans="20:20">
      <c r="T501" s="34" t="str">
        <f t="shared" si="7"/>
        <v/>
      </c>
    </row>
    <row r="502" spans="20:20">
      <c r="T502" s="34" t="str">
        <f t="shared" si="7"/>
        <v/>
      </c>
    </row>
    <row r="503" spans="20:20">
      <c r="T503" s="34" t="str">
        <f t="shared" si="7"/>
        <v/>
      </c>
    </row>
    <row r="504" spans="20:20">
      <c r="T504" s="34" t="str">
        <f t="shared" si="7"/>
        <v/>
      </c>
    </row>
    <row r="505" spans="20:20">
      <c r="T505" s="34" t="str">
        <f t="shared" si="7"/>
        <v/>
      </c>
    </row>
    <row r="506" spans="20:20">
      <c r="T506" s="34" t="str">
        <f t="shared" si="7"/>
        <v/>
      </c>
    </row>
    <row r="507" spans="20:20">
      <c r="T507" s="34" t="str">
        <f t="shared" si="7"/>
        <v/>
      </c>
    </row>
    <row r="508" spans="20:20">
      <c r="T508" s="34" t="str">
        <f t="shared" si="7"/>
        <v/>
      </c>
    </row>
    <row r="509" spans="20:20">
      <c r="T509" s="34" t="str">
        <f t="shared" si="7"/>
        <v/>
      </c>
    </row>
    <row r="510" spans="20:20">
      <c r="T510" s="34" t="str">
        <f t="shared" si="7"/>
        <v/>
      </c>
    </row>
    <row r="511" spans="20:20">
      <c r="T511" s="34" t="str">
        <f t="shared" si="7"/>
        <v/>
      </c>
    </row>
    <row r="512" spans="20:20">
      <c r="T512" s="34" t="str">
        <f t="shared" si="7"/>
        <v/>
      </c>
    </row>
    <row r="513" spans="20:20">
      <c r="T513" s="34" t="str">
        <f t="shared" si="7"/>
        <v/>
      </c>
    </row>
    <row r="514" spans="20:20">
      <c r="T514" s="34" t="str">
        <f t="shared" si="7"/>
        <v/>
      </c>
    </row>
    <row r="515" spans="20:20">
      <c r="T515" s="34" t="str">
        <f t="shared" ref="T515:T578" si="8">IF(AND(TRIM(Q515&amp;"")="",TRIM(R515&amp;"")=""),"",IF(R515&lt;5,"Misc Pallet",ROUNDUP(R515/7,0)&amp;" Pallet"&amp;IF(ROUNDUP(R515/7,0)&gt;1,"s","")))</f>
        <v/>
      </c>
    </row>
    <row r="516" spans="20:20">
      <c r="T516" s="34" t="str">
        <f t="shared" si="8"/>
        <v/>
      </c>
    </row>
    <row r="517" spans="20:20">
      <c r="T517" s="34" t="str">
        <f t="shared" si="8"/>
        <v/>
      </c>
    </row>
    <row r="518" spans="20:20">
      <c r="T518" s="34" t="str">
        <f t="shared" si="8"/>
        <v/>
      </c>
    </row>
    <row r="519" spans="20:20">
      <c r="T519" s="34" t="str">
        <f t="shared" si="8"/>
        <v/>
      </c>
    </row>
    <row r="520" spans="20:20">
      <c r="T520" s="34" t="str">
        <f t="shared" si="8"/>
        <v/>
      </c>
    </row>
    <row r="521" spans="20:20">
      <c r="T521" s="34" t="str">
        <f t="shared" si="8"/>
        <v/>
      </c>
    </row>
    <row r="522" spans="20:20">
      <c r="T522" s="34" t="str">
        <f t="shared" si="8"/>
        <v/>
      </c>
    </row>
    <row r="523" spans="20:20">
      <c r="T523" s="34" t="str">
        <f t="shared" si="8"/>
        <v/>
      </c>
    </row>
    <row r="524" spans="20:20">
      <c r="T524" s="34" t="str">
        <f t="shared" si="8"/>
        <v/>
      </c>
    </row>
    <row r="525" spans="20:20">
      <c r="T525" s="34" t="str">
        <f t="shared" si="8"/>
        <v/>
      </c>
    </row>
    <row r="526" spans="20:20">
      <c r="T526" s="34" t="str">
        <f t="shared" si="8"/>
        <v/>
      </c>
    </row>
    <row r="527" spans="20:20">
      <c r="T527" s="34" t="str">
        <f t="shared" si="8"/>
        <v/>
      </c>
    </row>
    <row r="528" spans="20:20">
      <c r="T528" s="34" t="str">
        <f t="shared" si="8"/>
        <v/>
      </c>
    </row>
    <row r="529" spans="20:20">
      <c r="T529" s="34" t="str">
        <f t="shared" si="8"/>
        <v/>
      </c>
    </row>
    <row r="530" spans="20:20">
      <c r="T530" s="34" t="str">
        <f t="shared" si="8"/>
        <v/>
      </c>
    </row>
    <row r="531" spans="20:20">
      <c r="T531" s="34" t="str">
        <f t="shared" si="8"/>
        <v/>
      </c>
    </row>
    <row r="532" spans="20:20">
      <c r="T532" s="34" t="str">
        <f t="shared" si="8"/>
        <v/>
      </c>
    </row>
    <row r="533" spans="20:20">
      <c r="T533" s="34" t="str">
        <f t="shared" si="8"/>
        <v/>
      </c>
    </row>
    <row r="534" spans="20:20">
      <c r="T534" s="34" t="str">
        <f t="shared" si="8"/>
        <v/>
      </c>
    </row>
    <row r="535" spans="20:20">
      <c r="T535" s="34" t="str">
        <f t="shared" si="8"/>
        <v/>
      </c>
    </row>
    <row r="536" spans="20:20">
      <c r="T536" s="34" t="str">
        <f t="shared" si="8"/>
        <v/>
      </c>
    </row>
    <row r="537" spans="20:20">
      <c r="T537" s="34" t="str">
        <f t="shared" si="8"/>
        <v/>
      </c>
    </row>
    <row r="538" spans="20:20">
      <c r="T538" s="34" t="str">
        <f t="shared" si="8"/>
        <v/>
      </c>
    </row>
    <row r="539" spans="20:20">
      <c r="T539" s="34" t="str">
        <f t="shared" si="8"/>
        <v/>
      </c>
    </row>
    <row r="540" spans="20:20">
      <c r="T540" s="34" t="str">
        <f t="shared" si="8"/>
        <v/>
      </c>
    </row>
    <row r="541" spans="20:20">
      <c r="T541" s="34" t="str">
        <f t="shared" si="8"/>
        <v/>
      </c>
    </row>
    <row r="542" spans="20:20">
      <c r="T542" s="34" t="str">
        <f t="shared" si="8"/>
        <v/>
      </c>
    </row>
    <row r="543" spans="20:20">
      <c r="T543" s="34" t="str">
        <f t="shared" si="8"/>
        <v/>
      </c>
    </row>
    <row r="544" spans="20:20">
      <c r="T544" s="34" t="str">
        <f t="shared" si="8"/>
        <v/>
      </c>
    </row>
    <row r="545" spans="20:20">
      <c r="T545" s="34" t="str">
        <f t="shared" si="8"/>
        <v/>
      </c>
    </row>
    <row r="546" spans="20:20">
      <c r="T546" s="34" t="str">
        <f t="shared" si="8"/>
        <v/>
      </c>
    </row>
    <row r="547" spans="20:20">
      <c r="T547" s="34" t="str">
        <f t="shared" si="8"/>
        <v/>
      </c>
    </row>
    <row r="548" spans="20:20">
      <c r="T548" s="34" t="str">
        <f t="shared" si="8"/>
        <v/>
      </c>
    </row>
    <row r="549" spans="20:20">
      <c r="T549" s="34" t="str">
        <f t="shared" si="8"/>
        <v/>
      </c>
    </row>
    <row r="550" spans="20:20">
      <c r="T550" s="34" t="str">
        <f t="shared" si="8"/>
        <v/>
      </c>
    </row>
    <row r="551" spans="20:20">
      <c r="T551" s="34" t="str">
        <f t="shared" si="8"/>
        <v/>
      </c>
    </row>
    <row r="552" spans="20:20">
      <c r="T552" s="34" t="str">
        <f t="shared" si="8"/>
        <v/>
      </c>
    </row>
    <row r="553" spans="20:20">
      <c r="T553" s="34" t="str">
        <f t="shared" si="8"/>
        <v/>
      </c>
    </row>
    <row r="554" spans="20:20">
      <c r="T554" s="34" t="str">
        <f t="shared" si="8"/>
        <v/>
      </c>
    </row>
    <row r="555" spans="20:20">
      <c r="T555" s="34" t="str">
        <f t="shared" si="8"/>
        <v/>
      </c>
    </row>
    <row r="556" spans="20:20">
      <c r="T556" s="34" t="str">
        <f t="shared" si="8"/>
        <v/>
      </c>
    </row>
    <row r="557" spans="20:20">
      <c r="T557" s="34" t="str">
        <f t="shared" si="8"/>
        <v/>
      </c>
    </row>
    <row r="558" spans="20:20">
      <c r="T558" s="34" t="str">
        <f t="shared" si="8"/>
        <v/>
      </c>
    </row>
    <row r="559" spans="20:20">
      <c r="T559" s="34" t="str">
        <f t="shared" si="8"/>
        <v/>
      </c>
    </row>
    <row r="560" spans="20:20">
      <c r="T560" s="34" t="str">
        <f t="shared" si="8"/>
        <v/>
      </c>
    </row>
    <row r="561" spans="20:20">
      <c r="T561" s="34" t="str">
        <f t="shared" si="8"/>
        <v/>
      </c>
    </row>
    <row r="562" spans="20:20">
      <c r="T562" s="34" t="str">
        <f t="shared" si="8"/>
        <v/>
      </c>
    </row>
    <row r="563" spans="20:20">
      <c r="T563" s="34" t="str">
        <f t="shared" si="8"/>
        <v/>
      </c>
    </row>
    <row r="564" spans="20:20">
      <c r="T564" s="34" t="str">
        <f t="shared" si="8"/>
        <v/>
      </c>
    </row>
    <row r="565" spans="20:20">
      <c r="T565" s="34" t="str">
        <f t="shared" si="8"/>
        <v/>
      </c>
    </row>
    <row r="566" spans="20:20">
      <c r="T566" s="34" t="str">
        <f t="shared" si="8"/>
        <v/>
      </c>
    </row>
    <row r="567" spans="20:20">
      <c r="T567" s="34" t="str">
        <f t="shared" si="8"/>
        <v/>
      </c>
    </row>
    <row r="568" spans="20:20">
      <c r="T568" s="34" t="str">
        <f t="shared" si="8"/>
        <v/>
      </c>
    </row>
    <row r="569" spans="20:20">
      <c r="T569" s="34" t="str">
        <f t="shared" si="8"/>
        <v/>
      </c>
    </row>
    <row r="570" spans="20:20">
      <c r="T570" s="34" t="str">
        <f t="shared" si="8"/>
        <v/>
      </c>
    </row>
    <row r="571" spans="20:20">
      <c r="T571" s="34" t="str">
        <f t="shared" si="8"/>
        <v/>
      </c>
    </row>
    <row r="572" spans="20:20">
      <c r="T572" s="34" t="str">
        <f t="shared" si="8"/>
        <v/>
      </c>
    </row>
    <row r="573" spans="20:20">
      <c r="T573" s="34" t="str">
        <f t="shared" si="8"/>
        <v/>
      </c>
    </row>
    <row r="574" spans="20:20">
      <c r="T574" s="34" t="str">
        <f t="shared" si="8"/>
        <v/>
      </c>
    </row>
    <row r="575" spans="20:20">
      <c r="T575" s="34" t="str">
        <f t="shared" si="8"/>
        <v/>
      </c>
    </row>
    <row r="576" spans="20:20">
      <c r="T576" s="34" t="str">
        <f t="shared" si="8"/>
        <v/>
      </c>
    </row>
    <row r="577" spans="20:20">
      <c r="T577" s="34" t="str">
        <f t="shared" si="8"/>
        <v/>
      </c>
    </row>
    <row r="578" spans="20:20">
      <c r="T578" s="34" t="str">
        <f t="shared" si="8"/>
        <v/>
      </c>
    </row>
    <row r="579" spans="20:20">
      <c r="T579" s="34" t="str">
        <f t="shared" ref="T579:T642" si="9">IF(AND(TRIM(Q579&amp;"")="",TRIM(R579&amp;"")=""),"",IF(R579&lt;5,"Misc Pallet",ROUNDUP(R579/7,0)&amp;" Pallet"&amp;IF(ROUNDUP(R579/7,0)&gt;1,"s","")))</f>
        <v/>
      </c>
    </row>
    <row r="580" spans="20:20">
      <c r="T580" s="34" t="str">
        <f t="shared" si="9"/>
        <v/>
      </c>
    </row>
    <row r="581" spans="20:20">
      <c r="T581" s="34" t="str">
        <f t="shared" si="9"/>
        <v/>
      </c>
    </row>
    <row r="582" spans="20:20">
      <c r="T582" s="34" t="str">
        <f t="shared" si="9"/>
        <v/>
      </c>
    </row>
    <row r="583" spans="20:20">
      <c r="T583" s="34" t="str">
        <f t="shared" si="9"/>
        <v/>
      </c>
    </row>
    <row r="584" spans="20:20">
      <c r="T584" s="34" t="str">
        <f t="shared" si="9"/>
        <v/>
      </c>
    </row>
    <row r="585" spans="20:20">
      <c r="T585" s="34" t="str">
        <f t="shared" si="9"/>
        <v/>
      </c>
    </row>
    <row r="586" spans="20:20">
      <c r="T586" s="34" t="str">
        <f t="shared" si="9"/>
        <v/>
      </c>
    </row>
    <row r="587" spans="20:20">
      <c r="T587" s="34" t="str">
        <f t="shared" si="9"/>
        <v/>
      </c>
    </row>
    <row r="588" spans="20:20">
      <c r="T588" s="34" t="str">
        <f t="shared" si="9"/>
        <v/>
      </c>
    </row>
    <row r="589" spans="20:20">
      <c r="T589" s="34" t="str">
        <f t="shared" si="9"/>
        <v/>
      </c>
    </row>
    <row r="590" spans="20:20">
      <c r="T590" s="34" t="str">
        <f t="shared" si="9"/>
        <v/>
      </c>
    </row>
    <row r="591" spans="20:20">
      <c r="T591" s="34" t="str">
        <f t="shared" si="9"/>
        <v/>
      </c>
    </row>
    <row r="592" spans="20:20">
      <c r="T592" s="34" t="str">
        <f t="shared" si="9"/>
        <v/>
      </c>
    </row>
    <row r="593" spans="20:20">
      <c r="T593" s="34" t="str">
        <f t="shared" si="9"/>
        <v/>
      </c>
    </row>
    <row r="594" spans="20:20">
      <c r="T594" s="34" t="str">
        <f t="shared" si="9"/>
        <v/>
      </c>
    </row>
    <row r="595" spans="20:20">
      <c r="T595" s="34" t="str">
        <f t="shared" si="9"/>
        <v/>
      </c>
    </row>
    <row r="596" spans="20:20">
      <c r="T596" s="34" t="str">
        <f t="shared" si="9"/>
        <v/>
      </c>
    </row>
    <row r="597" spans="20:20">
      <c r="T597" s="34" t="str">
        <f t="shared" si="9"/>
        <v/>
      </c>
    </row>
    <row r="598" spans="20:20">
      <c r="T598" s="34" t="str">
        <f t="shared" si="9"/>
        <v/>
      </c>
    </row>
    <row r="599" spans="20:20">
      <c r="T599" s="34" t="str">
        <f t="shared" si="9"/>
        <v/>
      </c>
    </row>
    <row r="600" spans="20:20">
      <c r="T600" s="34" t="str">
        <f t="shared" si="9"/>
        <v/>
      </c>
    </row>
    <row r="601" spans="20:20">
      <c r="T601" s="34" t="str">
        <f t="shared" si="9"/>
        <v/>
      </c>
    </row>
    <row r="602" spans="20:20">
      <c r="T602" s="34" t="str">
        <f t="shared" si="9"/>
        <v/>
      </c>
    </row>
    <row r="603" spans="20:20">
      <c r="T603" s="34" t="str">
        <f t="shared" si="9"/>
        <v/>
      </c>
    </row>
    <row r="604" spans="20:20">
      <c r="T604" s="34" t="str">
        <f t="shared" si="9"/>
        <v/>
      </c>
    </row>
    <row r="605" spans="20:20">
      <c r="T605" s="34" t="str">
        <f t="shared" si="9"/>
        <v/>
      </c>
    </row>
    <row r="606" spans="20:20">
      <c r="T606" s="34" t="str">
        <f t="shared" si="9"/>
        <v/>
      </c>
    </row>
    <row r="607" spans="20:20">
      <c r="T607" s="34" t="str">
        <f t="shared" si="9"/>
        <v/>
      </c>
    </row>
    <row r="608" spans="20:20">
      <c r="T608" s="34" t="str">
        <f t="shared" si="9"/>
        <v/>
      </c>
    </row>
    <row r="609" spans="20:20">
      <c r="T609" s="34" t="str">
        <f t="shared" si="9"/>
        <v/>
      </c>
    </row>
    <row r="610" spans="20:20">
      <c r="T610" s="34" t="str">
        <f t="shared" si="9"/>
        <v/>
      </c>
    </row>
    <row r="611" spans="20:20">
      <c r="T611" s="34" t="str">
        <f t="shared" si="9"/>
        <v/>
      </c>
    </row>
    <row r="612" spans="20:20">
      <c r="T612" s="34" t="str">
        <f t="shared" si="9"/>
        <v/>
      </c>
    </row>
    <row r="613" spans="20:20">
      <c r="T613" s="34" t="str">
        <f t="shared" si="9"/>
        <v/>
      </c>
    </row>
    <row r="614" spans="20:20">
      <c r="T614" s="34" t="str">
        <f t="shared" si="9"/>
        <v/>
      </c>
    </row>
    <row r="615" spans="20:20">
      <c r="T615" s="34" t="str">
        <f t="shared" si="9"/>
        <v/>
      </c>
    </row>
    <row r="616" spans="20:20">
      <c r="T616" s="34" t="str">
        <f t="shared" si="9"/>
        <v/>
      </c>
    </row>
    <row r="617" spans="20:20">
      <c r="T617" s="34" t="str">
        <f t="shared" si="9"/>
        <v/>
      </c>
    </row>
    <row r="618" spans="20:20">
      <c r="T618" s="34" t="str">
        <f t="shared" si="9"/>
        <v/>
      </c>
    </row>
    <row r="619" spans="20:20">
      <c r="T619" s="34" t="str">
        <f t="shared" si="9"/>
        <v/>
      </c>
    </row>
    <row r="620" spans="20:20">
      <c r="T620" s="34" t="str">
        <f t="shared" si="9"/>
        <v/>
      </c>
    </row>
    <row r="621" spans="20:20">
      <c r="T621" s="34" t="str">
        <f t="shared" si="9"/>
        <v/>
      </c>
    </row>
    <row r="622" spans="20:20">
      <c r="T622" s="34" t="str">
        <f t="shared" si="9"/>
        <v/>
      </c>
    </row>
    <row r="623" spans="20:20">
      <c r="T623" s="34" t="str">
        <f t="shared" si="9"/>
        <v/>
      </c>
    </row>
    <row r="624" spans="20:20">
      <c r="T624" s="34" t="str">
        <f t="shared" si="9"/>
        <v/>
      </c>
    </row>
    <row r="625" spans="20:20">
      <c r="T625" s="34" t="str">
        <f t="shared" si="9"/>
        <v/>
      </c>
    </row>
    <row r="626" spans="20:20">
      <c r="T626" s="34" t="str">
        <f t="shared" si="9"/>
        <v/>
      </c>
    </row>
    <row r="627" spans="20:20">
      <c r="T627" s="34" t="str">
        <f t="shared" si="9"/>
        <v/>
      </c>
    </row>
    <row r="628" spans="20:20">
      <c r="T628" s="34" t="str">
        <f t="shared" si="9"/>
        <v/>
      </c>
    </row>
    <row r="629" spans="20:20">
      <c r="T629" s="34" t="str">
        <f t="shared" si="9"/>
        <v/>
      </c>
    </row>
    <row r="630" spans="20:20">
      <c r="T630" s="34" t="str">
        <f t="shared" si="9"/>
        <v/>
      </c>
    </row>
    <row r="631" spans="20:20">
      <c r="T631" s="34" t="str">
        <f t="shared" si="9"/>
        <v/>
      </c>
    </row>
    <row r="632" spans="20:20">
      <c r="T632" s="34" t="str">
        <f t="shared" si="9"/>
        <v/>
      </c>
    </row>
    <row r="633" spans="20:20">
      <c r="T633" s="34" t="str">
        <f t="shared" si="9"/>
        <v/>
      </c>
    </row>
    <row r="634" spans="20:20">
      <c r="T634" s="34" t="str">
        <f t="shared" si="9"/>
        <v/>
      </c>
    </row>
    <row r="635" spans="20:20">
      <c r="T635" s="34" t="str">
        <f t="shared" si="9"/>
        <v/>
      </c>
    </row>
    <row r="636" spans="20:20">
      <c r="T636" s="34" t="str">
        <f t="shared" si="9"/>
        <v/>
      </c>
    </row>
    <row r="637" spans="20:20">
      <c r="T637" s="34" t="str">
        <f t="shared" si="9"/>
        <v/>
      </c>
    </row>
    <row r="638" spans="20:20">
      <c r="T638" s="34" t="str">
        <f t="shared" si="9"/>
        <v/>
      </c>
    </row>
    <row r="639" spans="20:20">
      <c r="T639" s="34" t="str">
        <f t="shared" si="9"/>
        <v/>
      </c>
    </row>
    <row r="640" spans="20:20">
      <c r="T640" s="34" t="str">
        <f t="shared" si="9"/>
        <v/>
      </c>
    </row>
    <row r="641" spans="20:20">
      <c r="T641" s="34" t="str">
        <f t="shared" si="9"/>
        <v/>
      </c>
    </row>
    <row r="642" spans="20:20">
      <c r="T642" s="34" t="str">
        <f t="shared" si="9"/>
        <v/>
      </c>
    </row>
    <row r="643" spans="20:20">
      <c r="T643" s="34" t="str">
        <f t="shared" ref="T643:T706" si="10">IF(AND(TRIM(Q643&amp;"")="",TRIM(R643&amp;"")=""),"",IF(R643&lt;5,"Misc Pallet",ROUNDUP(R643/7,0)&amp;" Pallet"&amp;IF(ROUNDUP(R643/7,0)&gt;1,"s","")))</f>
        <v/>
      </c>
    </row>
    <row r="644" spans="20:20">
      <c r="T644" s="34" t="str">
        <f t="shared" si="10"/>
        <v/>
      </c>
    </row>
    <row r="645" spans="20:20">
      <c r="T645" s="34" t="str">
        <f t="shared" si="10"/>
        <v/>
      </c>
    </row>
    <row r="646" spans="20:20">
      <c r="T646" s="34" t="str">
        <f t="shared" si="10"/>
        <v/>
      </c>
    </row>
    <row r="647" spans="20:20">
      <c r="T647" s="34" t="str">
        <f t="shared" si="10"/>
        <v/>
      </c>
    </row>
    <row r="648" spans="20:20">
      <c r="T648" s="34" t="str">
        <f t="shared" si="10"/>
        <v/>
      </c>
    </row>
    <row r="649" spans="20:20">
      <c r="T649" s="34" t="str">
        <f t="shared" si="10"/>
        <v/>
      </c>
    </row>
    <row r="650" spans="20:20">
      <c r="T650" s="34" t="str">
        <f t="shared" si="10"/>
        <v/>
      </c>
    </row>
    <row r="651" spans="20:20">
      <c r="T651" s="34" t="str">
        <f t="shared" si="10"/>
        <v/>
      </c>
    </row>
    <row r="652" spans="20:20">
      <c r="T652" s="34" t="str">
        <f t="shared" si="10"/>
        <v/>
      </c>
    </row>
    <row r="653" spans="20:20">
      <c r="T653" s="34" t="str">
        <f t="shared" si="10"/>
        <v/>
      </c>
    </row>
    <row r="654" spans="20:20">
      <c r="T654" s="34" t="str">
        <f t="shared" si="10"/>
        <v/>
      </c>
    </row>
    <row r="655" spans="20:20">
      <c r="T655" s="34" t="str">
        <f t="shared" si="10"/>
        <v/>
      </c>
    </row>
    <row r="656" spans="20:20">
      <c r="T656" s="34" t="str">
        <f t="shared" si="10"/>
        <v/>
      </c>
    </row>
    <row r="657" spans="20:20">
      <c r="T657" s="34" t="str">
        <f t="shared" si="10"/>
        <v/>
      </c>
    </row>
    <row r="658" spans="20:20">
      <c r="T658" s="34" t="str">
        <f t="shared" si="10"/>
        <v/>
      </c>
    </row>
    <row r="659" spans="20:20">
      <c r="T659" s="34" t="str">
        <f t="shared" si="10"/>
        <v/>
      </c>
    </row>
    <row r="660" spans="20:20">
      <c r="T660" s="34" t="str">
        <f t="shared" si="10"/>
        <v/>
      </c>
    </row>
    <row r="661" spans="20:20">
      <c r="T661" s="34" t="str">
        <f t="shared" si="10"/>
        <v/>
      </c>
    </row>
    <row r="662" spans="20:20">
      <c r="T662" s="34" t="str">
        <f t="shared" si="10"/>
        <v/>
      </c>
    </row>
    <row r="663" spans="20:20">
      <c r="T663" s="34" t="str">
        <f t="shared" si="10"/>
        <v/>
      </c>
    </row>
    <row r="664" spans="20:20">
      <c r="T664" s="34" t="str">
        <f t="shared" si="10"/>
        <v/>
      </c>
    </row>
    <row r="665" spans="20:20">
      <c r="T665" s="34" t="str">
        <f t="shared" si="10"/>
        <v/>
      </c>
    </row>
    <row r="666" spans="20:20">
      <c r="T666" s="34" t="str">
        <f t="shared" si="10"/>
        <v/>
      </c>
    </row>
    <row r="667" spans="20:20">
      <c r="T667" s="34" t="str">
        <f t="shared" si="10"/>
        <v/>
      </c>
    </row>
    <row r="668" spans="20:20">
      <c r="T668" s="34" t="str">
        <f t="shared" si="10"/>
        <v/>
      </c>
    </row>
    <row r="669" spans="20:20">
      <c r="T669" s="34" t="str">
        <f t="shared" si="10"/>
        <v/>
      </c>
    </row>
    <row r="670" spans="20:20">
      <c r="T670" s="34" t="str">
        <f t="shared" si="10"/>
        <v/>
      </c>
    </row>
    <row r="671" spans="20:20">
      <c r="T671" s="34" t="str">
        <f t="shared" si="10"/>
        <v/>
      </c>
    </row>
    <row r="672" spans="20:20">
      <c r="T672" s="34" t="str">
        <f t="shared" si="10"/>
        <v/>
      </c>
    </row>
    <row r="673" spans="20:20">
      <c r="T673" s="34" t="str">
        <f t="shared" si="10"/>
        <v/>
      </c>
    </row>
    <row r="674" spans="20:20">
      <c r="T674" s="34" t="str">
        <f t="shared" si="10"/>
        <v/>
      </c>
    </row>
    <row r="675" spans="20:20">
      <c r="T675" s="34" t="str">
        <f t="shared" si="10"/>
        <v/>
      </c>
    </row>
    <row r="676" spans="20:20">
      <c r="T676" s="34" t="str">
        <f t="shared" si="10"/>
        <v/>
      </c>
    </row>
    <row r="677" spans="20:20">
      <c r="T677" s="34" t="str">
        <f t="shared" si="10"/>
        <v/>
      </c>
    </row>
    <row r="678" spans="20:20">
      <c r="T678" s="34" t="str">
        <f t="shared" si="10"/>
        <v/>
      </c>
    </row>
    <row r="679" spans="20:20">
      <c r="T679" s="34" t="str">
        <f t="shared" si="10"/>
        <v/>
      </c>
    </row>
    <row r="680" spans="20:20">
      <c r="T680" s="34" t="str">
        <f t="shared" si="10"/>
        <v/>
      </c>
    </row>
    <row r="681" spans="20:20">
      <c r="T681" s="34" t="str">
        <f t="shared" si="10"/>
        <v/>
      </c>
    </row>
    <row r="682" spans="20:20">
      <c r="T682" s="34" t="str">
        <f t="shared" si="10"/>
        <v/>
      </c>
    </row>
    <row r="683" spans="20:20">
      <c r="T683" s="34" t="str">
        <f t="shared" si="10"/>
        <v/>
      </c>
    </row>
    <row r="684" spans="20:20">
      <c r="T684" s="34" t="str">
        <f t="shared" si="10"/>
        <v/>
      </c>
    </row>
    <row r="685" spans="20:20">
      <c r="T685" s="34" t="str">
        <f t="shared" si="10"/>
        <v/>
      </c>
    </row>
    <row r="686" spans="20:20">
      <c r="T686" s="34" t="str">
        <f t="shared" si="10"/>
        <v/>
      </c>
    </row>
    <row r="687" spans="20:20">
      <c r="T687" s="34" t="str">
        <f t="shared" si="10"/>
        <v/>
      </c>
    </row>
    <row r="688" spans="20:20">
      <c r="T688" s="34" t="str">
        <f t="shared" si="10"/>
        <v/>
      </c>
    </row>
    <row r="689" spans="20:20">
      <c r="T689" s="34" t="str">
        <f t="shared" si="10"/>
        <v/>
      </c>
    </row>
    <row r="690" spans="20:20">
      <c r="T690" s="34" t="str">
        <f t="shared" si="10"/>
        <v/>
      </c>
    </row>
    <row r="691" spans="20:20">
      <c r="T691" s="34" t="str">
        <f t="shared" si="10"/>
        <v/>
      </c>
    </row>
    <row r="692" spans="20:20">
      <c r="T692" s="34" t="str">
        <f t="shared" si="10"/>
        <v/>
      </c>
    </row>
    <row r="693" spans="20:20">
      <c r="T693" s="34" t="str">
        <f t="shared" si="10"/>
        <v/>
      </c>
    </row>
    <row r="694" spans="20:20">
      <c r="T694" s="34" t="str">
        <f t="shared" si="10"/>
        <v/>
      </c>
    </row>
    <row r="695" spans="20:20">
      <c r="T695" s="34" t="str">
        <f t="shared" si="10"/>
        <v/>
      </c>
    </row>
    <row r="696" spans="20:20">
      <c r="T696" s="34" t="str">
        <f t="shared" si="10"/>
        <v/>
      </c>
    </row>
    <row r="697" spans="20:20">
      <c r="T697" s="34" t="str">
        <f t="shared" si="10"/>
        <v/>
      </c>
    </row>
    <row r="698" spans="20:20">
      <c r="T698" s="34" t="str">
        <f t="shared" si="10"/>
        <v/>
      </c>
    </row>
    <row r="699" spans="20:20">
      <c r="T699" s="34" t="str">
        <f t="shared" si="10"/>
        <v/>
      </c>
    </row>
    <row r="700" spans="20:20">
      <c r="T700" s="34" t="str">
        <f t="shared" si="10"/>
        <v/>
      </c>
    </row>
    <row r="701" spans="20:20">
      <c r="T701" s="34" t="str">
        <f t="shared" si="10"/>
        <v/>
      </c>
    </row>
    <row r="702" spans="20:20">
      <c r="T702" s="34" t="str">
        <f t="shared" si="10"/>
        <v/>
      </c>
    </row>
    <row r="703" spans="20:20">
      <c r="T703" s="34" t="str">
        <f t="shared" si="10"/>
        <v/>
      </c>
    </row>
    <row r="704" spans="20:20">
      <c r="T704" s="34" t="str">
        <f t="shared" si="10"/>
        <v/>
      </c>
    </row>
    <row r="705" spans="20:20">
      <c r="T705" s="34" t="str">
        <f t="shared" si="10"/>
        <v/>
      </c>
    </row>
    <row r="706" spans="20:20">
      <c r="T706" s="34" t="str">
        <f t="shared" si="10"/>
        <v/>
      </c>
    </row>
    <row r="707" spans="20:20">
      <c r="T707" s="34" t="str">
        <f t="shared" ref="T707:T770" si="11">IF(AND(TRIM(Q707&amp;"")="",TRIM(R707&amp;"")=""),"",IF(R707&lt;5,"Misc Pallet",ROUNDUP(R707/7,0)&amp;" Pallet"&amp;IF(ROUNDUP(R707/7,0)&gt;1,"s","")))</f>
        <v/>
      </c>
    </row>
    <row r="708" spans="20:20">
      <c r="T708" s="34" t="str">
        <f t="shared" si="11"/>
        <v/>
      </c>
    </row>
    <row r="709" spans="20:20">
      <c r="T709" s="34" t="str">
        <f t="shared" si="11"/>
        <v/>
      </c>
    </row>
    <row r="710" spans="20:20">
      <c r="T710" s="34" t="str">
        <f t="shared" si="11"/>
        <v/>
      </c>
    </row>
    <row r="711" spans="20:20">
      <c r="T711" s="34" t="str">
        <f t="shared" si="11"/>
        <v/>
      </c>
    </row>
    <row r="712" spans="20:20">
      <c r="T712" s="34" t="str">
        <f t="shared" si="11"/>
        <v/>
      </c>
    </row>
    <row r="713" spans="20:20">
      <c r="T713" s="34" t="str">
        <f t="shared" si="11"/>
        <v/>
      </c>
    </row>
    <row r="714" spans="20:20">
      <c r="T714" s="34" t="str">
        <f t="shared" si="11"/>
        <v/>
      </c>
    </row>
    <row r="715" spans="20:20">
      <c r="T715" s="34" t="str">
        <f t="shared" si="11"/>
        <v/>
      </c>
    </row>
    <row r="716" spans="20:20">
      <c r="T716" s="34" t="str">
        <f t="shared" si="11"/>
        <v/>
      </c>
    </row>
    <row r="717" spans="20:20">
      <c r="T717" s="34" t="str">
        <f t="shared" si="11"/>
        <v/>
      </c>
    </row>
    <row r="718" spans="20:20">
      <c r="T718" s="34" t="str">
        <f t="shared" si="11"/>
        <v/>
      </c>
    </row>
    <row r="719" spans="20:20">
      <c r="T719" s="34" t="str">
        <f t="shared" si="11"/>
        <v/>
      </c>
    </row>
    <row r="720" spans="20:20">
      <c r="T720" s="34" t="str">
        <f t="shared" si="11"/>
        <v/>
      </c>
    </row>
    <row r="721" spans="20:20">
      <c r="T721" s="34" t="str">
        <f t="shared" si="11"/>
        <v/>
      </c>
    </row>
    <row r="722" spans="20:20">
      <c r="T722" s="34" t="str">
        <f t="shared" si="11"/>
        <v/>
      </c>
    </row>
    <row r="723" spans="20:20">
      <c r="T723" s="34" t="str">
        <f t="shared" si="11"/>
        <v/>
      </c>
    </row>
    <row r="724" spans="20:20">
      <c r="T724" s="34" t="str">
        <f t="shared" si="11"/>
        <v/>
      </c>
    </row>
    <row r="725" spans="20:20">
      <c r="T725" s="34" t="str">
        <f t="shared" si="11"/>
        <v/>
      </c>
    </row>
    <row r="726" spans="20:20">
      <c r="T726" s="34" t="str">
        <f t="shared" si="11"/>
        <v/>
      </c>
    </row>
    <row r="727" spans="20:20">
      <c r="T727" s="34" t="str">
        <f t="shared" si="11"/>
        <v/>
      </c>
    </row>
    <row r="728" spans="20:20">
      <c r="T728" s="34" t="str">
        <f t="shared" si="11"/>
        <v/>
      </c>
    </row>
    <row r="729" spans="20:20">
      <c r="T729" s="34" t="str">
        <f t="shared" si="11"/>
        <v/>
      </c>
    </row>
    <row r="730" spans="20:20">
      <c r="T730" s="34" t="str">
        <f t="shared" si="11"/>
        <v/>
      </c>
    </row>
    <row r="731" spans="20:20">
      <c r="T731" s="34" t="str">
        <f t="shared" si="11"/>
        <v/>
      </c>
    </row>
    <row r="732" spans="20:20">
      <c r="T732" s="34" t="str">
        <f t="shared" si="11"/>
        <v/>
      </c>
    </row>
    <row r="733" spans="20:20">
      <c r="T733" s="34" t="str">
        <f t="shared" si="11"/>
        <v/>
      </c>
    </row>
    <row r="734" spans="20:20">
      <c r="T734" s="34" t="str">
        <f t="shared" si="11"/>
        <v/>
      </c>
    </row>
    <row r="735" spans="20:20">
      <c r="T735" s="34" t="str">
        <f t="shared" si="11"/>
        <v/>
      </c>
    </row>
    <row r="736" spans="20:20">
      <c r="T736" s="34" t="str">
        <f t="shared" si="11"/>
        <v/>
      </c>
    </row>
    <row r="737" spans="20:20">
      <c r="T737" s="34" t="str">
        <f t="shared" si="11"/>
        <v/>
      </c>
    </row>
    <row r="738" spans="20:20">
      <c r="T738" s="34" t="str">
        <f t="shared" si="11"/>
        <v/>
      </c>
    </row>
    <row r="739" spans="20:20">
      <c r="T739" s="34" t="str">
        <f t="shared" si="11"/>
        <v/>
      </c>
    </row>
    <row r="740" spans="20:20">
      <c r="T740" s="34" t="str">
        <f t="shared" si="11"/>
        <v/>
      </c>
    </row>
    <row r="741" spans="20:20">
      <c r="T741" s="34" t="str">
        <f t="shared" si="11"/>
        <v/>
      </c>
    </row>
    <row r="742" spans="20:20">
      <c r="T742" s="34" t="str">
        <f t="shared" si="11"/>
        <v/>
      </c>
    </row>
    <row r="743" spans="20:20">
      <c r="T743" s="34" t="str">
        <f t="shared" si="11"/>
        <v/>
      </c>
    </row>
    <row r="744" spans="20:20">
      <c r="T744" s="34" t="str">
        <f t="shared" si="11"/>
        <v/>
      </c>
    </row>
    <row r="745" spans="20:20">
      <c r="T745" s="34" t="str">
        <f t="shared" si="11"/>
        <v/>
      </c>
    </row>
    <row r="746" spans="20:20">
      <c r="T746" s="34" t="str">
        <f t="shared" si="11"/>
        <v/>
      </c>
    </row>
    <row r="747" spans="20:20">
      <c r="T747" s="34" t="str">
        <f t="shared" si="11"/>
        <v/>
      </c>
    </row>
    <row r="748" spans="20:20">
      <c r="T748" s="34" t="str">
        <f t="shared" si="11"/>
        <v/>
      </c>
    </row>
    <row r="749" spans="20:20">
      <c r="T749" s="34" t="str">
        <f t="shared" si="11"/>
        <v/>
      </c>
    </row>
    <row r="750" spans="20:20">
      <c r="T750" s="34" t="str">
        <f t="shared" si="11"/>
        <v/>
      </c>
    </row>
    <row r="751" spans="20:20">
      <c r="T751" s="34" t="str">
        <f t="shared" si="11"/>
        <v/>
      </c>
    </row>
    <row r="752" spans="20:20">
      <c r="T752" s="34" t="str">
        <f t="shared" si="11"/>
        <v/>
      </c>
    </row>
    <row r="753" spans="20:20">
      <c r="T753" s="34" t="str">
        <f t="shared" si="11"/>
        <v/>
      </c>
    </row>
    <row r="754" spans="20:20">
      <c r="T754" s="34" t="str">
        <f t="shared" si="11"/>
        <v/>
      </c>
    </row>
    <row r="755" spans="20:20">
      <c r="T755" s="34" t="str">
        <f t="shared" si="11"/>
        <v/>
      </c>
    </row>
    <row r="756" spans="20:20">
      <c r="T756" s="34" t="str">
        <f t="shared" si="11"/>
        <v/>
      </c>
    </row>
    <row r="757" spans="20:20">
      <c r="T757" s="34" t="str">
        <f t="shared" si="11"/>
        <v/>
      </c>
    </row>
    <row r="758" spans="20:20">
      <c r="T758" s="34" t="str">
        <f t="shared" si="11"/>
        <v/>
      </c>
    </row>
    <row r="759" spans="20:20">
      <c r="T759" s="34" t="str">
        <f t="shared" si="11"/>
        <v/>
      </c>
    </row>
    <row r="760" spans="20:20">
      <c r="T760" s="34" t="str">
        <f t="shared" si="11"/>
        <v/>
      </c>
    </row>
    <row r="761" spans="20:20">
      <c r="T761" s="34" t="str">
        <f t="shared" si="11"/>
        <v/>
      </c>
    </row>
    <row r="762" spans="20:20">
      <c r="T762" s="34" t="str">
        <f t="shared" si="11"/>
        <v/>
      </c>
    </row>
    <row r="763" spans="20:20">
      <c r="T763" s="34" t="str">
        <f t="shared" si="11"/>
        <v/>
      </c>
    </row>
    <row r="764" spans="20:20">
      <c r="T764" s="34" t="str">
        <f t="shared" si="11"/>
        <v/>
      </c>
    </row>
    <row r="765" spans="20:20">
      <c r="T765" s="34" t="str">
        <f t="shared" si="11"/>
        <v/>
      </c>
    </row>
    <row r="766" spans="20:20">
      <c r="T766" s="34" t="str">
        <f t="shared" si="11"/>
        <v/>
      </c>
    </row>
    <row r="767" spans="20:20">
      <c r="T767" s="34" t="str">
        <f t="shared" si="11"/>
        <v/>
      </c>
    </row>
    <row r="768" spans="20:20">
      <c r="T768" s="34" t="str">
        <f t="shared" si="11"/>
        <v/>
      </c>
    </row>
    <row r="769" spans="20:20">
      <c r="T769" s="34" t="str">
        <f t="shared" si="11"/>
        <v/>
      </c>
    </row>
    <row r="770" spans="20:20">
      <c r="T770" s="34" t="str">
        <f t="shared" si="11"/>
        <v/>
      </c>
    </row>
    <row r="771" spans="20:20">
      <c r="T771" s="34" t="str">
        <f t="shared" ref="T771:T813" si="12">IF(AND(TRIM(Q771&amp;"")="",TRIM(R771&amp;"")=""),"",IF(R771&lt;5,"Misc Pallet",ROUNDUP(R771/7,0)&amp;" Pallet"&amp;IF(ROUNDUP(R771/7,0)&gt;1,"s","")))</f>
        <v/>
      </c>
    </row>
    <row r="772" spans="20:20">
      <c r="T772" s="34" t="str">
        <f t="shared" si="12"/>
        <v/>
      </c>
    </row>
    <row r="773" spans="20:20">
      <c r="T773" s="34" t="str">
        <f t="shared" si="12"/>
        <v/>
      </c>
    </row>
    <row r="774" spans="20:20">
      <c r="T774" s="34" t="str">
        <f t="shared" si="12"/>
        <v/>
      </c>
    </row>
    <row r="775" spans="20:20">
      <c r="T775" s="34" t="str">
        <f t="shared" si="12"/>
        <v/>
      </c>
    </row>
    <row r="776" spans="20:20">
      <c r="T776" s="34" t="str">
        <f t="shared" si="12"/>
        <v/>
      </c>
    </row>
    <row r="777" spans="20:20">
      <c r="T777" s="34" t="str">
        <f t="shared" si="12"/>
        <v/>
      </c>
    </row>
    <row r="778" spans="20:20">
      <c r="T778" s="34" t="str">
        <f t="shared" si="12"/>
        <v/>
      </c>
    </row>
    <row r="779" spans="20:20">
      <c r="T779" s="34" t="str">
        <f t="shared" si="12"/>
        <v/>
      </c>
    </row>
    <row r="780" spans="20:20">
      <c r="T780" s="34" t="str">
        <f t="shared" si="12"/>
        <v/>
      </c>
    </row>
    <row r="781" spans="20:20">
      <c r="T781" s="34" t="str">
        <f t="shared" si="12"/>
        <v/>
      </c>
    </row>
    <row r="782" spans="20:20">
      <c r="T782" s="34" t="str">
        <f t="shared" si="12"/>
        <v/>
      </c>
    </row>
    <row r="783" spans="20:20">
      <c r="T783" s="34" t="str">
        <f t="shared" si="12"/>
        <v/>
      </c>
    </row>
    <row r="784" spans="20:20">
      <c r="T784" s="34" t="str">
        <f t="shared" si="12"/>
        <v/>
      </c>
    </row>
    <row r="785" spans="20:20">
      <c r="T785" s="34" t="str">
        <f t="shared" si="12"/>
        <v/>
      </c>
    </row>
    <row r="786" spans="20:20">
      <c r="T786" s="34" t="str">
        <f t="shared" si="12"/>
        <v/>
      </c>
    </row>
    <row r="787" spans="20:20">
      <c r="T787" s="34" t="str">
        <f t="shared" si="12"/>
        <v/>
      </c>
    </row>
    <row r="788" spans="20:20">
      <c r="T788" s="34" t="str">
        <f t="shared" si="12"/>
        <v/>
      </c>
    </row>
    <row r="789" spans="20:20">
      <c r="T789" s="34" t="str">
        <f t="shared" si="12"/>
        <v/>
      </c>
    </row>
    <row r="790" spans="20:20">
      <c r="T790" s="34" t="str">
        <f t="shared" si="12"/>
        <v/>
      </c>
    </row>
    <row r="791" spans="20:20">
      <c r="T791" s="34" t="str">
        <f t="shared" si="12"/>
        <v/>
      </c>
    </row>
    <row r="792" spans="20:20">
      <c r="T792" s="34" t="str">
        <f t="shared" si="12"/>
        <v/>
      </c>
    </row>
    <row r="793" spans="20:20">
      <c r="T793" s="34" t="str">
        <f>IF(AND(TRIM(Q793&amp;"")="",TRIM(R793&amp;"")=""),"",IF(R793&lt;5,"Misc Pallet",ROUNDUP(R793/7,0)&amp;" Pallet"&amp;IF(ROUNDUP(R793/7,0)&gt;1,"s","")))</f>
        <v/>
      </c>
    </row>
    <row r="794" spans="20:20">
      <c r="T794" s="34" t="str">
        <f t="shared" si="12"/>
        <v/>
      </c>
    </row>
    <row r="795" spans="20:20">
      <c r="T795" s="34" t="str">
        <f t="shared" si="12"/>
        <v/>
      </c>
    </row>
    <row r="796" spans="20:20">
      <c r="T796" s="34" t="str">
        <f t="shared" si="12"/>
        <v/>
      </c>
    </row>
    <row r="797" spans="20:20">
      <c r="T797" s="34" t="str">
        <f t="shared" si="12"/>
        <v/>
      </c>
    </row>
    <row r="798" spans="20:20">
      <c r="T798" s="34" t="str">
        <f t="shared" si="12"/>
        <v/>
      </c>
    </row>
    <row r="799" spans="20:20">
      <c r="T799" s="34" t="str">
        <f t="shared" si="12"/>
        <v/>
      </c>
    </row>
    <row r="800" spans="20:20">
      <c r="T800" s="34" t="str">
        <f t="shared" si="12"/>
        <v/>
      </c>
    </row>
    <row r="801" spans="20:20">
      <c r="T801" s="34" t="str">
        <f t="shared" si="12"/>
        <v/>
      </c>
    </row>
    <row r="802" spans="20:20">
      <c r="T802" s="34" t="str">
        <f t="shared" si="12"/>
        <v/>
      </c>
    </row>
    <row r="803" spans="20:20">
      <c r="T803" s="34" t="str">
        <f t="shared" si="12"/>
        <v/>
      </c>
    </row>
    <row r="804" spans="20:20">
      <c r="T804" s="34" t="str">
        <f t="shared" si="12"/>
        <v/>
      </c>
    </row>
    <row r="805" spans="20:20">
      <c r="T805" s="34" t="str">
        <f t="shared" si="12"/>
        <v/>
      </c>
    </row>
    <row r="806" spans="20:20">
      <c r="T806" s="34" t="str">
        <f t="shared" si="12"/>
        <v/>
      </c>
    </row>
    <row r="807" spans="20:20">
      <c r="T807" s="34" t="str">
        <f t="shared" si="12"/>
        <v/>
      </c>
    </row>
    <row r="808" spans="20:20">
      <c r="T808" s="34" t="str">
        <f t="shared" si="12"/>
        <v/>
      </c>
    </row>
    <row r="809" spans="20:20">
      <c r="T809" s="34" t="str">
        <f t="shared" si="12"/>
        <v/>
      </c>
    </row>
    <row r="810" spans="20:20">
      <c r="T810" s="34" t="str">
        <f t="shared" si="12"/>
        <v/>
      </c>
    </row>
    <row r="811" spans="20:20">
      <c r="T811" s="34" t="str">
        <f t="shared" si="12"/>
        <v/>
      </c>
    </row>
    <row r="812" spans="20:20">
      <c r="T812" s="34" t="str">
        <f t="shared" si="12"/>
        <v/>
      </c>
    </row>
    <row r="813" spans="20:20">
      <c r="T813" s="34" t="str">
        <f t="shared" si="12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CCA6-E723-4A96-B62F-1C736A3B2E38}">
  <dimension ref="A1:F6"/>
  <sheetViews>
    <sheetView workbookViewId="0">
      <selection activeCell="E5" sqref="E5"/>
    </sheetView>
  </sheetViews>
  <sheetFormatPr defaultRowHeight="12.75"/>
  <cols>
    <col min="1" max="1" width="24.5703125" customWidth="1"/>
    <col min="4" max="4" width="15.85546875" customWidth="1"/>
    <col min="5" max="5" width="14.7109375" style="39" customWidth="1"/>
    <col min="6" max="6" width="9.140625" style="39"/>
  </cols>
  <sheetData>
    <row r="1" spans="1:6" ht="18">
      <c r="A1" s="48" t="str">
        <f ca="1">"Truck List Pallets: "&amp;TEXT(TODAY(),"m/d/yyyy")</f>
        <v>Truck List Pallets: 5/20/2026</v>
      </c>
      <c r="B1" s="48"/>
      <c r="C1" s="48"/>
      <c r="D1" s="48"/>
      <c r="E1" s="48"/>
      <c r="F1" s="48"/>
    </row>
    <row r="2" spans="1:6" s="19" customFormat="1">
      <c r="A2" s="40" t="e" cm="1" vm="1">
        <f t="array" ref="A2:F3">_xlfn.LET(
_xlpm.header,'Pallets Helper'!Q1:V1,
_xlpm.data,IFERROR(_xlfn._xlws.FILTER('Pallets Helper'!Q2:V10000,TRIM('Pallets Helper'!Q2:Q10000&amp;"")&lt;&gt;""),""),
_xlfn.VSTACK(_xlpm.header,_xlpm.data)
)</f>
        <v>#VALUE!</v>
      </c>
      <c r="B2" s="41">
        <v>0</v>
      </c>
      <c r="C2" s="41">
        <v>0</v>
      </c>
      <c r="D2" s="40" t="str">
        <v>Pallets Count</v>
      </c>
      <c r="E2" s="42" t="str">
        <v>Totals:</v>
      </c>
      <c r="F2" s="43">
        <v>0</v>
      </c>
    </row>
    <row r="3" spans="1:6">
      <c r="A3" t="str">
        <v/>
      </c>
      <c r="B3" t="e">
        <v>#N/A</v>
      </c>
      <c r="C3" t="e">
        <v>#N/A</v>
      </c>
      <c r="D3" t="e">
        <v>#N/A</v>
      </c>
      <c r="E3" s="44" t="e">
        <v>#N/A</v>
      </c>
      <c r="F3" s="45" t="e">
        <v>#N/A</v>
      </c>
    </row>
    <row r="4" spans="1:6">
      <c r="E4" s="44"/>
      <c r="F4" s="45"/>
    </row>
    <row r="5" spans="1:6">
      <c r="E5" s="44"/>
      <c r="F5" s="45"/>
    </row>
    <row r="6" spans="1:6">
      <c r="E6" s="46"/>
      <c r="F6" s="47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Kennen McIntyre</dc:creator>
  <cp:keywords/>
  <dc:description/>
  <cp:lastModifiedBy>Kennen McIntyre</cp:lastModifiedBy>
  <cp:revision/>
  <dcterms:created xsi:type="dcterms:W3CDTF">2026-05-12T18:38:42Z</dcterms:created>
  <dcterms:modified xsi:type="dcterms:W3CDTF">2026-05-20T12:40:21Z</dcterms:modified>
  <cp:category/>
  <cp:contentStatus/>
</cp:coreProperties>
</file>